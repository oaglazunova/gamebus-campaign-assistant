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malopeza\Downloads\"/>
    </mc:Choice>
  </mc:AlternateContent>
  <xr:revisionPtr revIDLastSave="6292" documentId="13_ncr:1_{D0E0487A-424C-4FBB-85E1-B15823F6881D}" xr6:coauthVersionLast="47" xr6:coauthVersionMax="47" xr10:uidLastSave="{4EC4EB1E-6293-4780-BA7E-18BE23E2ADFD}"/>
  <bookViews>
    <workbookView xWindow="-30828" yWindow="-7836" windowWidth="30936" windowHeight="16776" firstSheet="7" activeTab="7" xr2:uid="{3B49F678-D1BA-4799-A3FD-9F9B13FB8202}"/>
  </bookViews>
  <sheets>
    <sheet name="Readme" sheetId="8" r:id="rId1"/>
    <sheet name="1. Experts Groups" sheetId="16" r:id="rId2"/>
    <sheet name="2. Level Systematic (Structure)" sheetId="15" r:id="rId3"/>
    <sheet name="3. Activity Matrix" sheetId="2" r:id="rId4"/>
    <sheet name="4.2. Badge Description" sheetId="20" r:id="rId5"/>
    <sheet name="4. Task Breakdown" sheetId="3" r:id="rId6"/>
    <sheet name="4.1. Quiz creation" sheetId="19" r:id="rId7"/>
    <sheet name="4.3. Levels" sheetId="21" r:id="rId8"/>
    <sheet name="5. TTM-Task Creation Guidelines" sheetId="4" r:id="rId9"/>
    <sheet name="6. Gamification Guidelines" sheetId="5" r:id="rId10"/>
    <sheet name="8.Calendar &amp; Seasonal Timelines" sheetId="10" r:id="rId11"/>
    <sheet name="7. Framing Guidelines" sheetId="18" r:id="rId12"/>
    <sheet name="9. Terminology" sheetId="12" r:id="rId13"/>
    <sheet name="10. Lists" sheetId="17"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5" l="1"/>
  <c r="G8" i="15"/>
  <c r="G7" i="15"/>
  <c r="G6" i="15"/>
  <c r="G5" i="15"/>
  <c r="G4" i="15"/>
  <c r="G3" i="15"/>
  <c r="F314" i="3"/>
  <c r="F315" i="3"/>
  <c r="F316" i="3"/>
  <c r="F317" i="3"/>
  <c r="F318" i="3"/>
  <c r="F319" i="3"/>
  <c r="F320" i="3"/>
  <c r="F321" i="3"/>
  <c r="F322" i="3"/>
  <c r="F323" i="3"/>
  <c r="F324" i="3"/>
  <c r="F325" i="3"/>
  <c r="F326" i="3"/>
  <c r="F327" i="3"/>
  <c r="F300" i="3"/>
  <c r="F301" i="3"/>
  <c r="F302" i="3"/>
  <c r="F303" i="3"/>
  <c r="F304" i="3"/>
  <c r="F305" i="3"/>
  <c r="F306" i="3"/>
  <c r="F307" i="3"/>
  <c r="F308" i="3"/>
  <c r="F309" i="3"/>
  <c r="F310" i="3"/>
  <c r="F311" i="3"/>
  <c r="F312" i="3"/>
  <c r="F313" i="3"/>
  <c r="F286" i="3"/>
  <c r="F287" i="3"/>
  <c r="F288" i="3"/>
  <c r="F289" i="3"/>
  <c r="F290" i="3"/>
  <c r="F291" i="3"/>
  <c r="F292" i="3"/>
  <c r="F293" i="3"/>
  <c r="F294" i="3"/>
  <c r="F295" i="3"/>
  <c r="F296" i="3"/>
  <c r="F297" i="3"/>
  <c r="F298" i="3"/>
  <c r="F299" i="3"/>
  <c r="F272" i="3"/>
  <c r="F273" i="3"/>
  <c r="F274" i="3"/>
  <c r="F275" i="3"/>
  <c r="F276" i="3"/>
  <c r="F277" i="3"/>
  <c r="F278" i="3"/>
  <c r="F279" i="3"/>
  <c r="F280" i="3"/>
  <c r="F281" i="3"/>
  <c r="F282" i="3"/>
  <c r="F283" i="3"/>
  <c r="F284" i="3"/>
  <c r="F285" i="3"/>
  <c r="F259" i="3"/>
  <c r="F260" i="3"/>
  <c r="F261" i="3"/>
  <c r="F262" i="3"/>
  <c r="F263" i="3"/>
  <c r="F264" i="3"/>
  <c r="F265" i="3"/>
  <c r="F266" i="3"/>
  <c r="F267" i="3"/>
  <c r="F268" i="3"/>
  <c r="F269" i="3"/>
  <c r="F270" i="3"/>
  <c r="F271" i="3"/>
  <c r="F258" i="3"/>
  <c r="F245" i="3"/>
  <c r="F246" i="3"/>
  <c r="F247" i="3"/>
  <c r="F248" i="3"/>
  <c r="F249" i="3"/>
  <c r="F250" i="3"/>
  <c r="F251" i="3"/>
  <c r="F252" i="3"/>
  <c r="F253" i="3"/>
  <c r="F254" i="3"/>
  <c r="F255" i="3"/>
  <c r="F256" i="3"/>
  <c r="F257" i="3"/>
  <c r="F244" i="3"/>
  <c r="F231" i="3"/>
  <c r="F232" i="3"/>
  <c r="F233" i="3"/>
  <c r="F234" i="3"/>
  <c r="F235" i="3"/>
  <c r="F236" i="3"/>
  <c r="F237" i="3"/>
  <c r="F238" i="3"/>
  <c r="F239" i="3"/>
  <c r="F240" i="3"/>
  <c r="F241" i="3"/>
  <c r="F242" i="3"/>
  <c r="F243" i="3"/>
  <c r="F230" i="3"/>
  <c r="F217" i="3"/>
  <c r="F218" i="3"/>
  <c r="F219" i="3"/>
  <c r="F220" i="3"/>
  <c r="F221" i="3"/>
  <c r="F222" i="3"/>
  <c r="F223" i="3"/>
  <c r="F224" i="3"/>
  <c r="F225" i="3"/>
  <c r="F226" i="3"/>
  <c r="F227" i="3"/>
  <c r="F228" i="3"/>
  <c r="F229" i="3"/>
  <c r="F216" i="3"/>
  <c r="F203" i="3"/>
  <c r="F204" i="3"/>
  <c r="F205" i="3"/>
  <c r="F206" i="3"/>
  <c r="F207" i="3"/>
  <c r="F208" i="3"/>
  <c r="F209" i="3"/>
  <c r="F210" i="3"/>
  <c r="F211" i="3"/>
  <c r="F212" i="3"/>
  <c r="F213" i="3"/>
  <c r="F214" i="3"/>
  <c r="F215" i="3"/>
  <c r="F202" i="3"/>
  <c r="F201" i="3"/>
  <c r="F75" i="3"/>
  <c r="F74" i="3"/>
  <c r="F73" i="3"/>
  <c r="F200" i="3"/>
  <c r="F192" i="3"/>
  <c r="F193" i="3"/>
  <c r="F194" i="3"/>
  <c r="F195" i="3"/>
  <c r="F196" i="3"/>
  <c r="F197" i="3"/>
  <c r="F198" i="3"/>
  <c r="F199" i="3"/>
  <c r="F190" i="3"/>
  <c r="F191" i="3"/>
  <c r="F189" i="3"/>
  <c r="F188" i="3"/>
  <c r="F186" i="3"/>
  <c r="F187"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A5" i="15"/>
  <c r="F3" i="3"/>
  <c r="F4" i="3"/>
  <c r="F5" i="3"/>
  <c r="F6" i="3"/>
  <c r="F7" i="3"/>
  <c r="F8" i="3"/>
  <c r="F9" i="3"/>
  <c r="F10" i="3"/>
  <c r="F11" i="3"/>
  <c r="F12" i="3"/>
  <c r="F13" i="3"/>
  <c r="F14" i="3"/>
  <c r="F15" i="3"/>
  <c r="F16" i="3"/>
  <c r="A3" i="15"/>
  <c r="A4" i="15"/>
  <c r="A6" i="15"/>
  <c r="A7" i="15"/>
  <c r="A8" i="15"/>
  <c r="A9" i="15"/>
  <c r="A1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tc={8DEAF300-C04A-4E1D-A589-F8F720423D86}</author>
    <author>tc={913F8803-4203-4F7E-B0E6-355442452543}</author>
    <author>tc={8FF62CFC-CFE1-442D-B9C6-B0CA667588C5}</author>
    <author>tc={B9201838-488A-4EA4-9DF9-DCC96230C94F}</author>
    <author>tc={0E9F3537-434E-4C49-B2E0-6031A569FBBA}</author>
  </authors>
  <commentList>
    <comment ref="J3" authorId="0" shapeId="0" xr:uid="{8DEAF300-C04A-4E1D-A589-F8F720423D86}">
      <text>
        <t>[Threaded comment]
Your version of Excel allows you to read this threaded comment; however, any edits to it will get removed if the file is opened in a newer version of Excel. Learn more: https://go.microsoft.com/fwlink/?linkid=870924
Comment:
    Task code</t>
      </text>
    </comment>
    <comment ref="B5" authorId="1" shapeId="0" xr:uid="{913F8803-4203-4F7E-B0E6-355442452543}">
      <text>
        <t>[Threaded comment]
Your version of Excel allows you to read this threaded comment; however, any edits to it will get removed if the file is opened in a newer version of Excel. Learn more: https://go.microsoft.com/fwlink/?linkid=870924
Comment:
    Behavioral Change Category/Variable Code</t>
      </text>
    </comment>
    <comment ref="D5" authorId="2" shapeId="0" xr:uid="{8FF62CFC-CFE1-442D-B9C6-B0CA667588C5}">
      <text>
        <t>[Threaded comment]
Your version of Excel allows you to read this threaded comment; however, any edits to it will get removed if the file is opened in a newer version of Excel. Learn more: https://go.microsoft.com/fwlink/?linkid=870924
Comment:
    Activity (Track) Code</t>
      </text>
    </comment>
    <comment ref="C7" authorId="3" shapeId="0" xr:uid="{B9201838-488A-4EA4-9DF9-DCC96230C94F}">
      <text>
        <t xml:space="preserve">[Threaded comment]
Your version of Excel allows you to read this threaded comment; however, any edits to it will get removed if the file is opened in a newer version of Excel. Learn more: https://go.microsoft.com/fwlink/?linkid=870924
Comment:
    Danish Health Authority recommends to limit sitting time making breaks
</t>
      </text>
    </comment>
    <comment ref="C9" authorId="4" shapeId="0" xr:uid="{0E9F3537-434E-4C49-B2E0-6031A569FBBA}">
      <text>
        <t xml:space="preserve">[Threaded comment]
Your version of Excel allows you to read this threaded comment; however, any edits to it will get removed if the file is opened in a newer version of Excel. Learn more: https://go.microsoft.com/fwlink/?linkid=870924
Comment:
    Danish Health Authority recommends at least 60 minutes per day of moderate PA (when you are slightly out of breath and 3 times per week when you are out of breath)  for children 5-17 y.o.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tc={C98E431F-8C33-45F8-B335-B8F6B9DCC8F8}</author>
  </authors>
  <commentList>
    <comment ref="A2" authorId="0" shapeId="0" xr:uid="{C98E431F-8C33-45F8-B335-B8F6B9DCC8F8}">
      <text>
        <t>[Threaded comment]
Your version of Excel allows you to read this threaded comment; however, any edits to it will get removed if the file is opened in a newer version of Excel. Learn more: https://go.microsoft.com/fwlink/?linkid=870924
Comment:
    Activity (Track) Code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author>
    <author>tc={A84D2A09-2654-4D2A-9109-90ABD43FE7D5}</author>
    <author>tc={83258CCD-2E12-4604-9AD8-0AF52D96FF61}</author>
    <author>tc={65914534-9511-41C0-8DD7-23FA667E8D4B}</author>
    <author>tc={90E24116-7AFA-4C7E-9F43-9C4A1A75C059}</author>
  </authors>
  <commentList>
    <comment ref="O2" authorId="0" shapeId="0" xr:uid="{437A2411-725F-4230-8B21-2E13679106E6}">
      <text>
        <r>
          <rPr>
            <sz val="11"/>
            <color rgb="FF000000"/>
            <rFont val="Aptos Narrow"/>
            <family val="2"/>
          </rPr>
          <t xml:space="preserve">Maria Lopez:
</t>
        </r>
        <r>
          <rPr>
            <sz val="11"/>
            <color rgb="FF000000"/>
            <rFont val="Aptos Narrow"/>
            <family val="2"/>
          </rPr>
          <t>max_times_fired: Amount of times activity can be logged in the defined time frame (min_days_between_fire)</t>
        </r>
      </text>
    </comment>
    <comment ref="P9" authorId="1" shapeId="0" xr:uid="{A84D2A09-2654-4D2A-9109-90ABD43FE7D5}">
      <text>
        <t>[Threaded comment]
Your version of Excel allows you to read this threaded comment; however, any edits to it will get removed if the file is opened in a newer version of Excel. Learn more: https://go.microsoft.com/fwlink/?linkid=870924
Comment:
    This is yet to be fined-tuned</t>
      </text>
    </comment>
    <comment ref="P10" authorId="2" shapeId="0" xr:uid="{83258CCD-2E12-4604-9AD8-0AF52D96FF61}">
      <text>
        <t>[Threaded comment]
Your version of Excel allows you to read this threaded comment; however, any edits to it will get removed if the file is opened in a newer version of Excel. Learn more: https://go.microsoft.com/fwlink/?linkid=870924
Comment:
    This is yet to be fined-tuned</t>
      </text>
    </comment>
    <comment ref="P11" authorId="3" shapeId="0" xr:uid="{65914534-9511-41C0-8DD7-23FA667E8D4B}">
      <text>
        <t>[Threaded comment]
Your version of Excel allows you to read this threaded comment; however, any edits to it will get removed if the file is opened in a newer version of Excel. Learn more: https://go.microsoft.com/fwlink/?linkid=870924
Comment:
    This is yet to be fined-tuned</t>
      </text>
    </comment>
    <comment ref="P12" authorId="4" shapeId="0" xr:uid="{90E24116-7AFA-4C7E-9F43-9C4A1A75C059}">
      <text>
        <t>[Threaded comment]
Your version of Excel allows you to read this threaded comment; however, any edits to it will get removed if the file is opened in a newer version of Excel. Learn more: https://go.microsoft.com/fwlink/?linkid=870924
Comment:
    This is yet to be fined-tuned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tc={33FF714F-2376-994B-A706-A2EFAB449BFE}</author>
  </authors>
  <commentList>
    <comment ref="G5" authorId="0" shapeId="0" xr:uid="{33FF714F-2376-994B-A706-A2EFAB449BFE}">
      <text>
        <t>[Threaded comment]
Your version of Excel allows you to read this threaded comment; however, any edits to it will get removed if the file is opened in a newer version of Excel. Learn more: https://go.microsoft.com/fwlink/?linkid=870924
Comment:
    Task code</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<sst xmlns="http://schemas.openxmlformats.org/spreadsheetml/2006/main" count="4724" uniqueCount="2157">
  <si>
    <t>ReadMe</t>
  </si>
  <si>
    <t> </t>
  </si>
  <si>
    <t>This is the documentation on the systematic development and structural configuration of the Gamebus Campaigns for the long-term trials of the HealthyW8 Project</t>
  </si>
  <si>
    <t>Sheet Index</t>
  </si>
  <si>
    <t>Sheet #</t>
  </si>
  <si>
    <t>Sheet Name</t>
  </si>
  <si>
    <t>Purpose</t>
  </si>
  <si>
    <t>Experts Groups</t>
  </si>
  <si>
    <r>
      <t xml:space="preserve">Table where designated experts from the different partner institutes select a </t>
    </r>
    <r>
      <rPr>
        <b/>
        <sz val="11"/>
        <color rgb="FF000000"/>
        <rFont val="Aptos Narrow"/>
        <family val="2"/>
        <scheme val="minor"/>
      </rPr>
      <t>dimension</t>
    </r>
    <r>
      <rPr>
        <sz val="11"/>
        <color rgb="FF000000"/>
        <rFont val="Aptos Narrow"/>
        <family val="2"/>
        <scheme val="minor"/>
      </rPr>
      <t xml:space="preserve"> and </t>
    </r>
    <r>
      <rPr>
        <b/>
        <sz val="11"/>
        <color rgb="FF000000"/>
        <rFont val="Aptos Narrow"/>
        <family val="2"/>
        <scheme val="minor"/>
      </rPr>
      <t xml:space="preserve">age group </t>
    </r>
    <r>
      <rPr>
        <sz val="11"/>
        <color rgb="FF000000"/>
        <rFont val="Aptos Narrow"/>
        <family val="2"/>
        <scheme val="minor"/>
      </rPr>
      <t xml:space="preserve">for which they are developing campaign content. </t>
    </r>
  </si>
  <si>
    <t>Level Systematic</t>
  </si>
  <si>
    <r>
      <t>Main structure of the</t>
    </r>
    <r>
      <rPr>
        <b/>
        <sz val="11"/>
        <color rgb="FF000000"/>
        <rFont val="Aptos Narrow"/>
        <family val="2"/>
        <scheme val="minor"/>
      </rPr>
      <t xml:space="preserve"> level progression mechanics</t>
    </r>
    <r>
      <rPr>
        <sz val="11"/>
        <color rgb="FF000000"/>
        <rFont val="Aptos Narrow"/>
        <family val="2"/>
        <scheme val="minor"/>
      </rPr>
      <t xml:space="preserve"> of the long-term trial campaigns. This is based on the</t>
    </r>
    <r>
      <rPr>
        <b/>
        <sz val="11"/>
        <color rgb="FF000000"/>
        <rFont val="Aptos Narrow"/>
        <family val="2"/>
        <scheme val="minor"/>
      </rPr>
      <t xml:space="preserve"> TTM theoretical framework</t>
    </r>
  </si>
  <si>
    <t>Activity Matrix</t>
  </si>
  <si>
    <r>
      <t xml:space="preserve">Mapping of the (selected) </t>
    </r>
    <r>
      <rPr>
        <b/>
        <sz val="11"/>
        <color rgb="FF000000"/>
        <rFont val="Aptos Narrow"/>
        <family val="2"/>
        <scheme val="minor"/>
      </rPr>
      <t>behavioral change variables</t>
    </r>
    <r>
      <rPr>
        <sz val="11"/>
        <color rgb="FF000000"/>
        <rFont val="Aptos Narrow"/>
        <family val="2"/>
        <scheme val="minor"/>
      </rPr>
      <t xml:space="preserve"> per</t>
    </r>
    <r>
      <rPr>
        <b/>
        <sz val="11"/>
        <color rgb="FF000000"/>
        <rFont val="Aptos Narrow"/>
        <family val="2"/>
        <scheme val="minor"/>
      </rPr>
      <t xml:space="preserve"> dimension</t>
    </r>
    <r>
      <rPr>
        <sz val="11"/>
        <color rgb="FF000000"/>
        <rFont val="Aptos Narrow"/>
        <family val="2"/>
        <scheme val="minor"/>
      </rPr>
      <t>, their corresponding</t>
    </r>
    <r>
      <rPr>
        <b/>
        <sz val="11"/>
        <color rgb="FF000000"/>
        <rFont val="Aptos Narrow"/>
        <family val="2"/>
        <scheme val="minor"/>
      </rPr>
      <t xml:space="preserve"> activity tracks</t>
    </r>
    <r>
      <rPr>
        <sz val="11"/>
        <color rgb="FF000000"/>
        <rFont val="Aptos Narrow"/>
        <family val="2"/>
        <scheme val="minor"/>
      </rPr>
      <t xml:space="preserve"> and a general description of the</t>
    </r>
    <r>
      <rPr>
        <b/>
        <sz val="11"/>
        <color rgb="FF000000"/>
        <rFont val="Aptos Narrow"/>
        <family val="2"/>
        <scheme val="minor"/>
      </rPr>
      <t xml:space="preserve"> tasks</t>
    </r>
    <r>
      <rPr>
        <sz val="11"/>
        <color rgb="FF000000"/>
        <rFont val="Aptos Narrow"/>
        <family val="2"/>
        <scheme val="minor"/>
      </rPr>
      <t xml:space="preserve"> matching each TTM stage</t>
    </r>
  </si>
  <si>
    <t>Task breakdown</t>
  </si>
  <si>
    <r>
      <t xml:space="preserve">Specific </t>
    </r>
    <r>
      <rPr>
        <b/>
        <sz val="11"/>
        <color rgb="FF000000"/>
        <rFont val="Aptos Narrow"/>
        <family val="2"/>
        <scheme val="minor"/>
      </rPr>
      <t>break down of tasks</t>
    </r>
    <r>
      <rPr>
        <sz val="11"/>
        <color rgb="FF000000"/>
        <rFont val="Aptos Narrow"/>
        <family val="2"/>
        <scheme val="minor"/>
      </rPr>
      <t xml:space="preserve"> in all  different TTM-based levels and their corresponding </t>
    </r>
    <r>
      <rPr>
        <b/>
        <sz val="11"/>
        <color rgb="FF000000"/>
        <rFont val="Aptos Narrow"/>
        <family val="2"/>
        <scheme val="minor"/>
      </rPr>
      <t>configuration in Gamebus</t>
    </r>
  </si>
  <si>
    <t>TTM - Task Creation Guidelines</t>
  </si>
  <si>
    <r>
      <t xml:space="preserve">TTM SOC based </t>
    </r>
    <r>
      <rPr>
        <b/>
        <sz val="11"/>
        <color theme="1"/>
        <rFont val="Aptos Narrow"/>
        <family val="2"/>
        <scheme val="minor"/>
      </rPr>
      <t>guidelines</t>
    </r>
    <r>
      <rPr>
        <sz val="11"/>
        <color theme="1"/>
        <rFont val="Aptos Narrow"/>
        <family val="2"/>
        <scheme val="minor"/>
      </rPr>
      <t xml:space="preserve"> helpful to create tasks for each of the dimensions</t>
    </r>
  </si>
  <si>
    <t>Gamification Guidelines</t>
  </si>
  <si>
    <r>
      <t xml:space="preserve">Checklist of possible </t>
    </r>
    <r>
      <rPr>
        <b/>
        <sz val="11"/>
        <color rgb="FF000000"/>
        <rFont val="Aptos Narrow"/>
        <family val="2"/>
        <scheme val="minor"/>
      </rPr>
      <t>gamification elements</t>
    </r>
    <r>
      <rPr>
        <sz val="11"/>
        <color rgb="FF000000"/>
        <rFont val="Aptos Narrow"/>
        <family val="2"/>
        <scheme val="minor"/>
      </rPr>
      <t xml:space="preserve"> based on the</t>
    </r>
    <r>
      <rPr>
        <b/>
        <sz val="11"/>
        <color rgb="FF000000"/>
        <rFont val="Aptos Narrow"/>
        <family val="2"/>
        <scheme val="minor"/>
      </rPr>
      <t xml:space="preserve"> SDT</t>
    </r>
    <r>
      <rPr>
        <sz val="11"/>
        <color rgb="FF000000"/>
        <rFont val="Aptos Narrow"/>
        <family val="2"/>
        <scheme val="minor"/>
      </rPr>
      <t xml:space="preserve"> theoretical background</t>
    </r>
  </si>
  <si>
    <t>Framing Guidelines</t>
  </si>
  <si>
    <t>List of recommendations based on framing and nudging background on how to write meaningful and motivating tasks</t>
  </si>
  <si>
    <t>Calendar &amp;Seasonal Timelines</t>
  </si>
  <si>
    <t>Calendar of the long-term trial timeframe and overview of seasonal waves timelines</t>
  </si>
  <si>
    <t>Terminology</t>
  </si>
  <si>
    <t>Shows terminology used in this document</t>
  </si>
  <si>
    <t>Lists</t>
  </si>
  <si>
    <t>Base options for pivot tables  (DO NOT TOUCH! Unless you want to add a new "Task Type" Option)</t>
  </si>
  <si>
    <t>Instructions</t>
  </si>
  <si>
    <t xml:space="preserve">1. </t>
  </si>
  <si>
    <r>
      <rPr>
        <sz val="11"/>
        <color rgb="FF000000"/>
        <rFont val="Aptos Narrow"/>
        <scheme val="minor"/>
      </rPr>
      <t xml:space="preserve">Go to </t>
    </r>
    <r>
      <rPr>
        <b/>
        <sz val="11"/>
        <color rgb="FF000000"/>
        <rFont val="Aptos Narrow"/>
        <scheme val="minor"/>
      </rPr>
      <t>Sheet 1 (Experts Groups)</t>
    </r>
    <r>
      <rPr>
        <sz val="11"/>
        <color rgb="FF000000"/>
        <rFont val="Aptos Narrow"/>
        <scheme val="minor"/>
      </rPr>
      <t xml:space="preserve"> and select the </t>
    </r>
    <r>
      <rPr>
        <b/>
        <sz val="11"/>
        <color rgb="FF000000"/>
        <rFont val="Aptos Narrow"/>
        <scheme val="minor"/>
      </rPr>
      <t>dimension</t>
    </r>
    <r>
      <rPr>
        <sz val="11"/>
        <color rgb="FF000000"/>
        <rFont val="Aptos Narrow"/>
        <scheme val="minor"/>
      </rPr>
      <t xml:space="preserve"> and </t>
    </r>
    <r>
      <rPr>
        <b/>
        <sz val="11"/>
        <color rgb="FF000000"/>
        <rFont val="Aptos Narrow"/>
        <scheme val="minor"/>
      </rPr>
      <t>age group</t>
    </r>
    <r>
      <rPr>
        <sz val="11"/>
        <color rgb="FF000000"/>
        <rFont val="Aptos Narrow"/>
        <scheme val="minor"/>
      </rPr>
      <t xml:space="preserve"> for which you are focusing in </t>
    </r>
    <r>
      <rPr>
        <b/>
        <sz val="11"/>
        <color rgb="FF000000"/>
        <rFont val="Aptos Narrow"/>
        <scheme val="minor"/>
      </rPr>
      <t>creating campaign content.</t>
    </r>
    <r>
      <rPr>
        <sz val="11"/>
        <color rgb="FF000000"/>
        <rFont val="Aptos Narrow"/>
        <scheme val="minor"/>
      </rPr>
      <t xml:space="preserve"> Take into account your expertise and age group trial in which you are already involved. The objective of this table is to create 9 dedicated expert groups that will focus on creating content (tasks) for each age group on the designated dimension.</t>
    </r>
  </si>
  <si>
    <t xml:space="preserve">2. </t>
  </si>
  <si>
    <t xml:space="preserve">The theoretical background of the new campaign design is based on the Transtheoretical Model - Stages of Change (TTM SOC) and the Self-Determination Theory (SDT). The tasks and levels are going to be modelled after TTM and the overarching game elements are modelled after the SDT. </t>
  </si>
  <si>
    <t>3.</t>
  </si>
  <si>
    <t>To get a general overview of the proposed design framework and its theoretical base it is recommended to:</t>
  </si>
  <si>
    <r>
      <rPr>
        <b/>
        <sz val="11"/>
        <color theme="1"/>
        <rFont val="Aptos Narrow"/>
        <family val="2"/>
        <scheme val="minor"/>
      </rPr>
      <t xml:space="preserve">A. </t>
    </r>
    <r>
      <rPr>
        <sz val="11"/>
        <color theme="1"/>
        <rFont val="Aptos Narrow"/>
        <family val="2"/>
        <scheme val="minor"/>
      </rPr>
      <t>Check the</t>
    </r>
    <r>
      <rPr>
        <b/>
        <sz val="11"/>
        <color theme="1"/>
        <rFont val="Aptos Narrow"/>
        <family val="2"/>
        <scheme val="minor"/>
      </rPr>
      <t xml:space="preserve"> video</t>
    </r>
    <r>
      <rPr>
        <sz val="11"/>
        <color theme="1"/>
        <rFont val="Aptos Narrow"/>
        <family val="2"/>
        <scheme val="minor"/>
      </rPr>
      <t xml:space="preserve"> of the explanation of the Gamebus Campaign Design Framework:</t>
    </r>
  </si>
  <si>
    <t>https://cloud.lih.lu/f/1936355</t>
  </si>
  <si>
    <r>
      <t xml:space="preserve">B. </t>
    </r>
    <r>
      <rPr>
        <sz val="11"/>
        <color theme="1"/>
        <rFont val="Aptos Narrow"/>
        <family val="2"/>
        <scheme val="minor"/>
      </rPr>
      <t xml:space="preserve">Check the corresponding  </t>
    </r>
    <r>
      <rPr>
        <b/>
        <sz val="11"/>
        <color theme="1"/>
        <rFont val="Aptos Narrow"/>
        <family val="2"/>
        <scheme val="minor"/>
      </rPr>
      <t xml:space="preserve">slides </t>
    </r>
    <r>
      <rPr>
        <sz val="11"/>
        <color theme="1"/>
        <rFont val="Aptos Narrow"/>
        <family val="2"/>
        <scheme val="minor"/>
      </rPr>
      <t>also containing all relevant information on the Gamebus Campaign Design Framework:</t>
    </r>
  </si>
  <si>
    <t>https://cloud.lih.lu/f/1936147</t>
  </si>
  <si>
    <r>
      <rPr>
        <b/>
        <sz val="11"/>
        <color theme="1"/>
        <rFont val="Aptos Narrow"/>
        <family val="2"/>
        <scheme val="minor"/>
      </rPr>
      <t>C.</t>
    </r>
    <r>
      <rPr>
        <sz val="11"/>
        <color theme="1"/>
        <rFont val="Aptos Narrow"/>
        <family val="2"/>
        <scheme val="minor"/>
      </rPr>
      <t xml:space="preserve"> For punctual clarifications or questions, contact relevant partners: Angélica López - DFKI ( maria.lopez@dfki.de), Serge Autexier - DFKI (serge.autexier@dfki.de), Chungwan (Hugo) Lo - BIPS (lo@leibniz-bips.de)</t>
    </r>
  </si>
  <si>
    <t>4.</t>
  </si>
  <si>
    <r>
      <t>After a general overview of the framework you can head to</t>
    </r>
    <r>
      <rPr>
        <b/>
        <sz val="11"/>
        <color theme="1"/>
        <rFont val="Aptos Narrow"/>
        <family val="2"/>
        <scheme val="minor"/>
      </rPr>
      <t xml:space="preserve"> Sheet 5  (TTM - Task Creation Guidelines)</t>
    </r>
    <r>
      <rPr>
        <sz val="11"/>
        <color theme="1"/>
        <rFont val="Aptos Narrow"/>
        <family val="2"/>
        <scheme val="minor"/>
      </rPr>
      <t xml:space="preserve">, which was created as an initial guide on content creation based on the TTM stages of change. It gives examples of the types of tasks and content that belong to each of the TTM stages. </t>
    </r>
  </si>
  <si>
    <t>5.</t>
  </si>
  <si>
    <r>
      <rPr>
        <sz val="11"/>
        <color rgb="FF242424"/>
        <rFont val="Aptos Narrow"/>
      </rPr>
      <t xml:space="preserve">You can additionally refer to </t>
    </r>
    <r>
      <rPr>
        <b/>
        <sz val="11"/>
        <color rgb="FF242424"/>
        <rFont val="Aptos Narrow"/>
      </rPr>
      <t>Sheet 7 (Framing Guidelines)</t>
    </r>
    <r>
      <rPr>
        <sz val="11"/>
        <color rgb="FF242424"/>
        <rFont val="Aptos Narrow"/>
      </rPr>
      <t xml:space="preserve"> which is meant to give some support on how to better phrase or frame the tasks.</t>
    </r>
  </si>
  <si>
    <t>6.</t>
  </si>
  <si>
    <r>
      <rPr>
        <b/>
        <sz val="11"/>
        <color theme="1"/>
        <rFont val="Aptos Narrow"/>
        <family val="2"/>
        <scheme val="minor"/>
      </rPr>
      <t xml:space="preserve">Sheet 2  (Level Systematic) </t>
    </r>
    <r>
      <rPr>
        <sz val="11"/>
        <color theme="1"/>
        <rFont val="Aptos Narrow"/>
        <family val="2"/>
        <scheme val="minor"/>
      </rPr>
      <t>contains the summarized overview of the content and systematic associated to each Gamebus level. The campaigns will have</t>
    </r>
    <r>
      <rPr>
        <b/>
        <sz val="11"/>
        <color theme="1"/>
        <rFont val="Aptos Narrow"/>
        <family val="2"/>
        <scheme val="minor"/>
      </rPr>
      <t xml:space="preserve"> 8 levels</t>
    </r>
    <r>
      <rPr>
        <sz val="11"/>
        <color theme="1"/>
        <rFont val="Aptos Narrow"/>
        <family val="2"/>
        <scheme val="minor"/>
      </rPr>
      <t xml:space="preserve"> in total (per Activity Track). Each level will contain a combination of sustenance and transition tasks matching the different TTM Stages ( PC: Precontemplation, C: Contemplation, P: Preparation, A: Action, M: Maintenance)</t>
    </r>
  </si>
  <si>
    <t>7.</t>
  </si>
  <si>
    <r>
      <rPr>
        <sz val="11"/>
        <color rgb="FF000000"/>
        <rFont val="Aptos Narrow"/>
        <scheme val="minor"/>
      </rPr>
      <t>Once you get an idea on how the tasks and levels are configured you can then go to</t>
    </r>
    <r>
      <rPr>
        <b/>
        <sz val="11"/>
        <color rgb="FF000000"/>
        <rFont val="Aptos Narrow"/>
        <scheme val="minor"/>
      </rPr>
      <t xml:space="preserve"> Sheet 3 (Activity Matrix)</t>
    </r>
    <r>
      <rPr>
        <sz val="11"/>
        <color rgb="FF000000"/>
        <rFont val="Aptos Narrow"/>
        <scheme val="minor"/>
      </rPr>
      <t>, which contains the overall mapping of</t>
    </r>
    <r>
      <rPr>
        <b/>
        <sz val="11"/>
        <color rgb="FF000000"/>
        <rFont val="Aptos Narrow"/>
        <scheme val="minor"/>
      </rPr>
      <t xml:space="preserve"> dimension </t>
    </r>
    <r>
      <rPr>
        <sz val="11"/>
        <color rgb="FF000000"/>
        <rFont val="Aptos Narrow"/>
        <scheme val="minor"/>
      </rPr>
      <t xml:space="preserve">(PA, Nutrition, Mindfulness) to </t>
    </r>
    <r>
      <rPr>
        <b/>
        <sz val="11"/>
        <color rgb="FF000000"/>
        <rFont val="Aptos Narrow"/>
        <scheme val="minor"/>
      </rPr>
      <t xml:space="preserve">behavioral change variable </t>
    </r>
    <r>
      <rPr>
        <sz val="11"/>
        <color rgb="FF000000"/>
        <rFont val="Aptos Narrow"/>
        <scheme val="minor"/>
      </rPr>
      <t xml:space="preserve">(e.g., step count, water intake, sleep) to </t>
    </r>
    <r>
      <rPr>
        <b/>
        <sz val="11"/>
        <color rgb="FF000000"/>
        <rFont val="Aptos Narrow"/>
        <scheme val="minor"/>
      </rPr>
      <t>activity track</t>
    </r>
    <r>
      <rPr>
        <sz val="11"/>
        <color rgb="FF000000"/>
        <rFont val="Aptos Narrow"/>
        <scheme val="minor"/>
      </rPr>
      <t xml:space="preserve"> (e.g., Jogging,5 a day, Sleep Hygiene)  and finally to the </t>
    </r>
    <r>
      <rPr>
        <b/>
        <sz val="11"/>
        <color rgb="FF000000"/>
        <rFont val="Aptos Narrow"/>
        <scheme val="minor"/>
      </rPr>
      <t>tasks</t>
    </r>
    <r>
      <rPr>
        <sz val="11"/>
        <color rgb="FF000000"/>
        <rFont val="Aptos Narrow"/>
        <scheme val="minor"/>
      </rPr>
      <t xml:space="preserve"> matching each TTM Stage. (The defined variables and activity tracks are yet to be defined. This document contains inittial suggestions)</t>
    </r>
  </si>
  <si>
    <t>8.</t>
  </si>
  <si>
    <r>
      <rPr>
        <sz val="11"/>
        <color rgb="FF000000"/>
        <rFont val="Aptos Narrow"/>
        <scheme val="minor"/>
      </rPr>
      <t xml:space="preserve">Having that structure above as a base, you can start adding  into </t>
    </r>
    <r>
      <rPr>
        <b/>
        <sz val="11"/>
        <color rgb="FF000000"/>
        <rFont val="Aptos Narrow"/>
        <scheme val="minor"/>
      </rPr>
      <t xml:space="preserve">Sheet 3 (Activity Matrix) </t>
    </r>
    <r>
      <rPr>
        <sz val="11"/>
        <color rgb="FF000000"/>
        <rFont val="Aptos Narrow"/>
        <scheme val="minor"/>
      </rPr>
      <t xml:space="preserve">general descriptions or goals of each TTM-stage-based task per activity track . </t>
    </r>
    <r>
      <rPr>
        <b/>
        <sz val="11"/>
        <color rgb="FF000000"/>
        <rFont val="Aptos Narrow"/>
        <scheme val="minor"/>
      </rPr>
      <t>Sheet 3 is meant to be a general mapping and content overview.</t>
    </r>
    <r>
      <rPr>
        <sz val="11"/>
        <color rgb="FF000000"/>
        <rFont val="Aptos Narrow"/>
        <scheme val="minor"/>
      </rPr>
      <t xml:space="preserve"> In the case of step count, the general description of </t>
    </r>
    <r>
      <rPr>
        <b/>
        <sz val="11"/>
        <color rgb="FF000000"/>
        <rFont val="Aptos Narrow"/>
        <scheme val="minor"/>
      </rPr>
      <t xml:space="preserve">PC1 </t>
    </r>
    <r>
      <rPr>
        <sz val="11"/>
        <color rgb="FF000000"/>
        <rFont val="Aptos Narrow"/>
        <scheme val="minor"/>
      </rPr>
      <t>is " (Awareness of) Current Step Count"</t>
    </r>
    <r>
      <rPr>
        <b/>
        <sz val="11"/>
        <color rgb="FF000000"/>
        <rFont val="Aptos Narrow"/>
        <scheme val="minor"/>
      </rPr>
      <t xml:space="preserve"> </t>
    </r>
    <r>
      <rPr>
        <sz val="11"/>
        <color rgb="FF000000"/>
        <rFont val="Aptos Narrow"/>
        <scheme val="minor"/>
      </rPr>
      <t xml:space="preserve"> and </t>
    </r>
    <r>
      <rPr>
        <b/>
        <sz val="11"/>
        <color rgb="FF000000"/>
        <rFont val="Aptos Narrow"/>
        <scheme val="minor"/>
      </rPr>
      <t>PC2</t>
    </r>
    <r>
      <rPr>
        <sz val="11"/>
        <color rgb="FF000000"/>
        <rFont val="Aptos Narrow"/>
        <scheme val="minor"/>
      </rPr>
      <t xml:space="preserve"> is a "Step Tracking Check". Be mindful of the "sustenance" (PC1) and "transition" (PC2*) content type.</t>
    </r>
  </si>
  <si>
    <t>9.</t>
  </si>
  <si>
    <r>
      <rPr>
        <b/>
        <sz val="11"/>
        <color rgb="FF000000"/>
        <rFont val="Aptos Narrow"/>
        <scheme val="minor"/>
      </rPr>
      <t xml:space="preserve">Sheet 4 (Task Breakdown) </t>
    </r>
    <r>
      <rPr>
        <sz val="11"/>
        <color rgb="FF000000"/>
        <rFont val="Aptos Narrow"/>
        <scheme val="minor"/>
      </rPr>
      <t xml:space="preserve">includes a granular description and settings of each of the tasks that are originally mapped into the </t>
    </r>
    <r>
      <rPr>
        <b/>
        <sz val="11"/>
        <color rgb="FF000000"/>
        <rFont val="Aptos Narrow"/>
        <scheme val="minor"/>
      </rPr>
      <t>Activity Matrix (Sheet 3)</t>
    </r>
    <r>
      <rPr>
        <sz val="11"/>
        <color rgb="FF000000"/>
        <rFont val="Aptos Narrow"/>
        <scheme val="minor"/>
      </rPr>
      <t xml:space="preserve">. This is the main working sheet. </t>
    </r>
  </si>
  <si>
    <t>10.</t>
  </si>
  <si>
    <r>
      <rPr>
        <sz val="11"/>
        <color rgb="FF000000"/>
        <rFont val="Aptos Narrow"/>
        <scheme val="minor"/>
      </rPr>
      <t xml:space="preserve">Minding the codes for the behavioral change variables, type of activity and TTM stage is relevant as it connects the activity matrix with the content at the task breakdown sheet. Each task will have its code consisting of : </t>
    </r>
    <r>
      <rPr>
        <b/>
        <sz val="11"/>
        <color rgb="FF000000"/>
        <rFont val="Aptos Narrow"/>
        <scheme val="minor"/>
      </rPr>
      <t xml:space="preserve">(TTMStage)(TaskNo). - Type of Activity - TargetGroup . </t>
    </r>
    <r>
      <rPr>
        <sz val="11"/>
        <color rgb="FF000000"/>
        <rFont val="Aptos Narrow"/>
        <scheme val="minor"/>
      </rPr>
      <t>If one has the code:</t>
    </r>
    <r>
      <rPr>
        <b/>
        <sz val="11"/>
        <color rgb="FF000000"/>
        <rFont val="Aptos Narrow"/>
        <scheme val="minor"/>
      </rPr>
      <t xml:space="preserve">  PC1- PA1 - A - Young , </t>
    </r>
    <r>
      <rPr>
        <sz val="11"/>
        <color rgb="FF000000"/>
        <rFont val="Aptos Narrow"/>
        <scheme val="minor"/>
      </rPr>
      <t>one can infer that this is a sustainance task (1) of the Precontemplation Stage (PC) for the Activity Step Count (PA1 - A) and targeted at young adults (Young)</t>
    </r>
  </si>
  <si>
    <t>11.</t>
  </si>
  <si>
    <r>
      <t xml:space="preserve">Now you can create an entry for each one of your tasks at the </t>
    </r>
    <r>
      <rPr>
        <b/>
        <sz val="11"/>
        <color theme="1"/>
        <rFont val="Aptos Narrow"/>
        <family val="2"/>
        <scheme val="minor"/>
      </rPr>
      <t xml:space="preserve">Task Breakdown Sheet (Sheet 4) </t>
    </r>
    <r>
      <rPr>
        <sz val="11"/>
        <color theme="1"/>
        <rFont val="Aptos Narrow"/>
        <family val="2"/>
        <scheme val="minor"/>
      </rPr>
      <t>considering that:</t>
    </r>
  </si>
  <si>
    <r>
      <rPr>
        <b/>
        <sz val="11"/>
        <color rgb="FF000000"/>
        <rFont val="Aptos Narrow"/>
        <scheme val="minor"/>
      </rPr>
      <t xml:space="preserve">A. Select appropiate wave: </t>
    </r>
    <r>
      <rPr>
        <sz val="11"/>
        <color rgb="FF000000"/>
        <rFont val="Aptos Narrow"/>
        <scheme val="minor"/>
      </rPr>
      <t xml:space="preserve">Main, Spring, Summer, Autumn, Winter, Easter, Christmas. The main TTM-based structure is always "Main", </t>
    </r>
  </si>
  <si>
    <r>
      <rPr>
        <b/>
        <sz val="11"/>
        <color rgb="FF000000"/>
        <rFont val="Aptos Narrow"/>
        <scheme val="minor"/>
      </rPr>
      <t>B.</t>
    </r>
    <r>
      <rPr>
        <sz val="11"/>
        <color rgb="FF000000"/>
        <rFont val="Aptos Narrow"/>
        <scheme val="minor"/>
      </rPr>
      <t xml:space="preserve"> </t>
    </r>
    <r>
      <rPr>
        <b/>
        <sz val="11"/>
        <color rgb="FF000000"/>
        <rFont val="Aptos Narrow"/>
        <scheme val="minor"/>
      </rPr>
      <t xml:space="preserve">Connect Task Breakdown Entry with Activity Matrix through "Task Code" </t>
    </r>
    <r>
      <rPr>
        <sz val="11"/>
        <color rgb="FF000000"/>
        <rFont val="Aptos Narrow"/>
        <scheme val="minor"/>
      </rPr>
      <t>(Behavioral Change Variable, Type of Activity, TTM Stage, Task No.)</t>
    </r>
  </si>
  <si>
    <r>
      <rPr>
        <b/>
        <sz val="11"/>
        <color rgb="FF000000"/>
        <rFont val="Aptos Narrow"/>
        <scheme val="minor"/>
      </rPr>
      <t xml:space="preserve">C. Select appropriate Task Type. </t>
    </r>
    <r>
      <rPr>
        <sz val="11"/>
        <color rgb="FF000000"/>
        <rFont val="Aptos Narrow"/>
        <scheme val="minor"/>
      </rPr>
      <t>As defined by the TTM Guidelines (Sheet 5) or by creating a new type (Sheet 9)</t>
    </r>
  </si>
  <si>
    <r>
      <rPr>
        <b/>
        <sz val="11"/>
        <color theme="1"/>
        <rFont val="Aptos Narrow"/>
        <family val="2"/>
        <scheme val="minor"/>
      </rPr>
      <t xml:space="preserve">D.  Add associated SDT mechanism (Optional). </t>
    </r>
    <r>
      <rPr>
        <sz val="11"/>
        <color theme="1"/>
        <rFont val="Aptos Narrow"/>
        <family val="2"/>
        <scheme val="minor"/>
      </rPr>
      <t xml:space="preserve">The support for this can be found on </t>
    </r>
    <r>
      <rPr>
        <b/>
        <sz val="11"/>
        <color theme="1"/>
        <rFont val="Aptos Narrow"/>
        <family val="2"/>
        <scheme val="minor"/>
      </rPr>
      <t>Sheet 6 (Gamification Guidelines)</t>
    </r>
  </si>
  <si>
    <r>
      <t>E. Add Task Title</t>
    </r>
    <r>
      <rPr>
        <sz val="11"/>
        <color theme="1"/>
        <rFont val="Aptos Narrow"/>
        <family val="2"/>
        <scheme val="minor"/>
      </rPr>
      <t xml:space="preserve"> (Task name to be displayed in GameBus Campaign)</t>
    </r>
  </si>
  <si>
    <r>
      <rPr>
        <b/>
        <sz val="11"/>
        <color theme="1"/>
        <rFont val="Aptos Narrow"/>
        <family val="2"/>
        <scheme val="minor"/>
      </rPr>
      <t xml:space="preserve">F. Select Target Group </t>
    </r>
    <r>
      <rPr>
        <sz val="11"/>
        <color theme="1"/>
        <rFont val="Aptos Narrow"/>
        <family val="2"/>
        <scheme val="minor"/>
      </rPr>
      <t>(Young, Elderly, Children)</t>
    </r>
  </si>
  <si>
    <r>
      <t xml:space="preserve">G. Add a Short Description of Task </t>
    </r>
    <r>
      <rPr>
        <sz val="11"/>
        <color theme="1"/>
        <rFont val="Aptos Narrow"/>
        <family val="2"/>
        <scheme val="minor"/>
      </rPr>
      <t>and, if needed, some extra notes for configuration</t>
    </r>
  </si>
  <si>
    <r>
      <t>H. Select Appropriate Gamebus configuration settings</t>
    </r>
    <r>
      <rPr>
        <sz val="11"/>
        <color theme="1"/>
        <rFont val="Aptos Narrow"/>
        <family val="2"/>
        <scheme val="minor"/>
      </rPr>
      <t xml:space="preserve"> ( reward count, timeframe to reset, requirements, allowed activity type, conditions, points, data providers)</t>
    </r>
    <r>
      <rPr>
        <b/>
        <sz val="11"/>
        <color theme="1"/>
        <rFont val="Aptos Narrow"/>
        <family val="2"/>
        <scheme val="minor"/>
      </rPr>
      <t xml:space="preserve">. </t>
    </r>
    <r>
      <rPr>
        <sz val="11"/>
        <color theme="1"/>
        <rFont val="Aptos Narrow"/>
        <family val="2"/>
        <scheme val="minor"/>
      </rPr>
      <t>For Documentation on this head to :https://campaigns.healthyw8.gamebus.eu/editor/docs</t>
    </r>
  </si>
  <si>
    <r>
      <t xml:space="preserve">I. Update Current Status. </t>
    </r>
    <r>
      <rPr>
        <sz val="11"/>
        <color theme="1"/>
        <rFont val="Aptos Narrow"/>
        <family val="2"/>
        <scheme val="minor"/>
      </rPr>
      <t>To keep log of when it was created and/or updated, implemented into Gamebus campaign and, if possible, by whom.</t>
    </r>
  </si>
  <si>
    <t>Dimension</t>
  </si>
  <si>
    <t>TargetGroups</t>
  </si>
  <si>
    <t>Persons in the Group</t>
  </si>
  <si>
    <t>Institute (Affiliation)</t>
  </si>
  <si>
    <t>Physical Activity</t>
  </si>
  <si>
    <t>Young Adults</t>
  </si>
  <si>
    <t>Angelica</t>
  </si>
  <si>
    <t>DFKI</t>
  </si>
  <si>
    <t>Elderly</t>
  </si>
  <si>
    <t>Luca</t>
  </si>
  <si>
    <t>BIPS</t>
  </si>
  <si>
    <t>Children</t>
  </si>
  <si>
    <t>Aleksandra</t>
  </si>
  <si>
    <t>DTU</t>
  </si>
  <si>
    <t>Mindfulness</t>
  </si>
  <si>
    <t>Cassandra</t>
  </si>
  <si>
    <t>Suzan</t>
  </si>
  <si>
    <t>TU/e</t>
  </si>
  <si>
    <t>Nutrition</t>
  </si>
  <si>
    <t>Hugo</t>
  </si>
  <si>
    <t>Yvonne</t>
  </si>
  <si>
    <t>IDISBA</t>
  </si>
  <si>
    <t>Level</t>
  </si>
  <si>
    <t>Sustenance Tasks Previous Level (Relapse Cause)</t>
  </si>
  <si>
    <t>Sustenance Tasks Current Level</t>
  </si>
  <si>
    <t>Transition Tasks</t>
  </si>
  <si>
    <t>Level Name</t>
  </si>
  <si>
    <t>Level structure idea Yvonne</t>
  </si>
  <si>
    <t>-</t>
  </si>
  <si>
    <t>PC1</t>
  </si>
  <si>
    <t>PC2</t>
  </si>
  <si>
    <t>Newbie</t>
  </si>
  <si>
    <t>C1</t>
  </si>
  <si>
    <t>C2</t>
  </si>
  <si>
    <t>Rookie</t>
  </si>
  <si>
    <t>P1</t>
  </si>
  <si>
    <t>P2</t>
  </si>
  <si>
    <t>Amateur</t>
  </si>
  <si>
    <t>Relapse border</t>
  </si>
  <si>
    <t>A1</t>
  </si>
  <si>
    <t>Proficient</t>
  </si>
  <si>
    <t>M1</t>
  </si>
  <si>
    <t>A2</t>
  </si>
  <si>
    <t>Skilled</t>
  </si>
  <si>
    <t>M2</t>
  </si>
  <si>
    <t>A3</t>
  </si>
  <si>
    <t>Expert</t>
  </si>
  <si>
    <t>M3</t>
  </si>
  <si>
    <t>A4</t>
  </si>
  <si>
    <t>Master</t>
  </si>
  <si>
    <t>M4</t>
  </si>
  <si>
    <t>Grandmaster</t>
  </si>
  <si>
    <r>
      <t xml:space="preserve">Only doing </t>
    </r>
    <r>
      <rPr>
        <u/>
        <sz val="12"/>
        <color theme="1"/>
        <rFont val="Aptos Narrow"/>
        <family val="2"/>
        <scheme val="minor"/>
      </rPr>
      <t>sustenance tasks from previous level</t>
    </r>
    <r>
      <rPr>
        <sz val="12"/>
        <color theme="1"/>
        <rFont val="Aptos Narrow"/>
        <family val="2"/>
        <scheme val="minor"/>
      </rPr>
      <t xml:space="preserve"> should</t>
    </r>
    <r>
      <rPr>
        <b/>
        <sz val="12"/>
        <color theme="1"/>
        <rFont val="Aptos Narrow"/>
        <family val="2"/>
        <scheme val="minor"/>
      </rPr>
      <t xml:space="preserve"> not be sufficient to keep the level</t>
    </r>
    <r>
      <rPr>
        <sz val="12"/>
        <color theme="1"/>
        <rFont val="Aptos Narrow"/>
        <family val="2"/>
        <scheme val="minor"/>
      </rPr>
      <t xml:space="preserve"> (or they must be performed more often). Not fulfilling these tasks causes </t>
    </r>
    <r>
      <rPr>
        <b/>
        <sz val="12"/>
        <color theme="1"/>
        <rFont val="Aptos Narrow"/>
        <family val="2"/>
        <scheme val="minor"/>
      </rPr>
      <t>fallback</t>
    </r>
    <r>
      <rPr>
        <sz val="12"/>
        <color theme="1"/>
        <rFont val="Aptos Narrow"/>
        <family val="2"/>
        <scheme val="minor"/>
      </rPr>
      <t xml:space="preserve"> to previous level</t>
    </r>
  </si>
  <si>
    <r>
      <rPr>
        <u/>
        <sz val="12"/>
        <color theme="1"/>
        <rFont val="Aptos Narrow"/>
        <family val="2"/>
        <scheme val="minor"/>
      </rPr>
      <t>Sustenance tasks of current level</t>
    </r>
    <r>
      <rPr>
        <sz val="12"/>
        <color theme="1"/>
        <rFont val="Aptos Narrow"/>
        <family val="2"/>
        <scheme val="minor"/>
      </rPr>
      <t xml:space="preserve"> keep you in that level. Not fulfilling does not cause fallback.</t>
    </r>
  </si>
  <si>
    <r>
      <t xml:space="preserve">Completing </t>
    </r>
    <r>
      <rPr>
        <u/>
        <sz val="12"/>
        <color theme="1"/>
        <rFont val="Aptos Narrow"/>
        <family val="2"/>
        <scheme val="minor"/>
      </rPr>
      <t>transition tasks</t>
    </r>
    <r>
      <rPr>
        <sz val="12"/>
        <color theme="1"/>
        <rFont val="Aptos Narrow"/>
        <family val="2"/>
        <scheme val="minor"/>
      </rPr>
      <t xml:space="preserve"> is the condition to move forward to next level</t>
    </r>
  </si>
  <si>
    <t>TTM Stage</t>
  </si>
  <si>
    <t>PreContemplation</t>
  </si>
  <si>
    <t>Contemplation</t>
  </si>
  <si>
    <t>Preparation</t>
  </si>
  <si>
    <t xml:space="preserve">Action </t>
  </si>
  <si>
    <t xml:space="preserve">Maintenance </t>
  </si>
  <si>
    <t xml:space="preserve">Behavioral Change Variable </t>
  </si>
  <si>
    <t>Type of activity (Activity Track)</t>
  </si>
  <si>
    <t>short-term evaluation tool</t>
  </si>
  <si>
    <t>short-term indicators</t>
  </si>
  <si>
    <t>long-term evaluation tool</t>
  </si>
  <si>
    <t>long-term indicators</t>
  </si>
  <si>
    <t>PC2*</t>
  </si>
  <si>
    <t>C2*</t>
  </si>
  <si>
    <t>P2*</t>
  </si>
  <si>
    <t>A1*</t>
  </si>
  <si>
    <t>A2*</t>
  </si>
  <si>
    <t>A3*</t>
  </si>
  <si>
    <t>A4*</t>
  </si>
  <si>
    <t>PreContemplation - Sustenance</t>
  </si>
  <si>
    <t>Precontemplation - Transition</t>
  </si>
  <si>
    <t>Contemplation - Sustenance</t>
  </si>
  <si>
    <t>Contemplation - Transition</t>
  </si>
  <si>
    <t>Preparation - Sustenance</t>
  </si>
  <si>
    <t>Preparation - Transition</t>
  </si>
  <si>
    <t xml:space="preserve">Action 1 - Transition </t>
  </si>
  <si>
    <t xml:space="preserve">Action 2 - Transition </t>
  </si>
  <si>
    <t xml:space="preserve">Action 3 - Transition </t>
  </si>
  <si>
    <t>Action 4 - Transition</t>
  </si>
  <si>
    <t>Maintenance 1</t>
  </si>
  <si>
    <t>Maintenance 2</t>
  </si>
  <si>
    <t>Maintenance 3</t>
  </si>
  <si>
    <t>Maintenance 4</t>
  </si>
  <si>
    <t>PA1</t>
  </si>
  <si>
    <t>Step Count ("Step Quest")</t>
  </si>
  <si>
    <t>PA1 - A</t>
  </si>
  <si>
    <t>Step Count</t>
  </si>
  <si>
    <t>Garmin sensor data; Actigraph</t>
  </si>
  <si>
    <t>Step Count  (DAY_AGGREGATE_WALK)</t>
  </si>
  <si>
    <r>
      <rPr>
        <sz val="10"/>
        <color rgb="FF000000"/>
        <rFont val="Aptos Narrow"/>
        <scheme val="minor"/>
      </rPr>
      <t>Step</t>
    </r>
    <r>
      <rPr>
        <b/>
        <sz val="10"/>
        <color rgb="FF000000"/>
        <rFont val="Aptos Narrow"/>
        <scheme val="minor"/>
      </rPr>
      <t xml:space="preserve"> Count</t>
    </r>
  </si>
  <si>
    <r>
      <rPr>
        <b/>
        <sz val="10"/>
        <color rgb="FF000000"/>
        <rFont val="Aptos Narrow"/>
        <scheme val="minor"/>
      </rPr>
      <t xml:space="preserve">Survey Question:  </t>
    </r>
    <r>
      <rPr>
        <sz val="10"/>
        <color rgb="FF000000"/>
        <rFont val="Aptos Narrow"/>
        <scheme val="minor"/>
      </rPr>
      <t>Current Step Count</t>
    </r>
  </si>
  <si>
    <r>
      <t xml:space="preserve">Survey Question: </t>
    </r>
    <r>
      <rPr>
        <sz val="10"/>
        <color rgb="FF000000"/>
        <rFont val="Aptos Narrow"/>
        <scheme val="minor"/>
      </rPr>
      <t>Step (Activity) Tracking Check</t>
    </r>
  </si>
  <si>
    <r>
      <rPr>
        <b/>
        <sz val="10"/>
        <color rgb="FF000000"/>
        <rFont val="Aptos Narrow"/>
        <scheme val="minor"/>
      </rPr>
      <t>Quizz</t>
    </r>
    <r>
      <rPr>
        <sz val="10"/>
        <color rgb="FF000000"/>
        <rFont val="Aptos Narrow"/>
        <scheme val="minor"/>
      </rPr>
      <t>: Benefits of (average) daily  steps</t>
    </r>
  </si>
  <si>
    <r>
      <t xml:space="preserve">Tips/ Info: </t>
    </r>
    <r>
      <rPr>
        <sz val="10"/>
        <color rgb="FF000000"/>
        <rFont val="Aptos Narrow"/>
        <scheme val="minor"/>
      </rPr>
      <t>Introducing idea of tracking daily steps with fitness tracker.</t>
    </r>
  </si>
  <si>
    <r>
      <t xml:space="preserve">Instructions/ Guidance (Video): </t>
    </r>
    <r>
      <rPr>
        <sz val="10"/>
        <color rgb="FF000000"/>
        <rFont val="Aptos Narrow"/>
        <scheme val="minor"/>
      </rPr>
      <t>Introduction to HW8 Watch App</t>
    </r>
  </si>
  <si>
    <r>
      <rPr>
        <b/>
        <sz val="10"/>
        <color rgb="FF242424"/>
        <rFont val="Aptos Narrow"/>
        <scheme val="minor"/>
      </rPr>
      <t>Activity Log</t>
    </r>
    <r>
      <rPr>
        <sz val="10"/>
        <color rgb="FF242424"/>
        <rFont val="Aptos Narrow"/>
        <scheme val="minor"/>
      </rPr>
      <t>: First step tracking &amp; logging with HW8 Watch App</t>
    </r>
  </si>
  <si>
    <r>
      <rPr>
        <b/>
        <sz val="10"/>
        <color rgb="FF000000"/>
        <rFont val="Aptos Narrow"/>
        <scheme val="minor"/>
      </rPr>
      <t xml:space="preserve">Activity Log: </t>
    </r>
    <r>
      <rPr>
        <sz val="10"/>
        <color rgb="FF000000"/>
        <rFont val="Aptos Narrow"/>
        <scheme val="minor"/>
      </rPr>
      <t>4000 Steps</t>
    </r>
  </si>
  <si>
    <r>
      <rPr>
        <b/>
        <sz val="10"/>
        <color rgb="FF000000"/>
        <rFont val="Aptos Narrow"/>
        <scheme val="minor"/>
      </rPr>
      <t xml:space="preserve">Activity Log: </t>
    </r>
    <r>
      <rPr>
        <sz val="10"/>
        <color rgb="FF000000"/>
        <rFont val="Aptos Narrow"/>
        <scheme val="minor"/>
      </rPr>
      <t>6000 Steps</t>
    </r>
  </si>
  <si>
    <r>
      <rPr>
        <b/>
        <sz val="10"/>
        <color rgb="FF000000"/>
        <rFont val="Aptos Narrow"/>
        <scheme val="minor"/>
      </rPr>
      <t>Activity Log:</t>
    </r>
    <r>
      <rPr>
        <sz val="10"/>
        <color rgb="FF000000"/>
        <rFont val="Aptos Narrow"/>
        <scheme val="minor"/>
      </rPr>
      <t xml:space="preserve"> 8000 Steps</t>
    </r>
  </si>
  <si>
    <r>
      <rPr>
        <b/>
        <sz val="10"/>
        <color rgb="FF000000"/>
        <rFont val="Aptos Narrow"/>
        <scheme val="minor"/>
      </rPr>
      <t>Activity Log:</t>
    </r>
    <r>
      <rPr>
        <sz val="10"/>
        <color rgb="FF000000"/>
        <rFont val="Aptos Narrow"/>
        <scheme val="minor"/>
      </rPr>
      <t xml:space="preserve"> 9000 Steps</t>
    </r>
  </si>
  <si>
    <r>
      <rPr>
        <b/>
        <sz val="10"/>
        <color rgb="FF000000"/>
        <rFont val="Aptos Narrow"/>
        <scheme val="minor"/>
      </rPr>
      <t xml:space="preserve">Activity Log: </t>
    </r>
    <r>
      <rPr>
        <sz val="10"/>
        <color rgb="FF000000"/>
        <rFont val="Aptos Narrow"/>
        <scheme val="minor"/>
      </rPr>
      <t>4000 Steps - 5 days a week</t>
    </r>
  </si>
  <si>
    <r>
      <rPr>
        <b/>
        <sz val="10"/>
        <color rgb="FF000000"/>
        <rFont val="Aptos Narrow"/>
        <scheme val="minor"/>
      </rPr>
      <t xml:space="preserve">Activity Log: </t>
    </r>
    <r>
      <rPr>
        <sz val="10"/>
        <color rgb="FF000000"/>
        <rFont val="Aptos Narrow"/>
        <scheme val="minor"/>
      </rPr>
      <t>6000 Steps - 5 days a week</t>
    </r>
  </si>
  <si>
    <r>
      <rPr>
        <b/>
        <sz val="10"/>
        <color rgb="FF000000"/>
        <rFont val="Aptos Narrow"/>
        <scheme val="minor"/>
      </rPr>
      <t>Activity Log:</t>
    </r>
    <r>
      <rPr>
        <sz val="10"/>
        <color rgb="FF000000"/>
        <rFont val="Aptos Narrow"/>
        <scheme val="minor"/>
      </rPr>
      <t xml:space="preserve"> 8000 Steps - 4 days a week</t>
    </r>
  </si>
  <si>
    <r>
      <rPr>
        <b/>
        <sz val="10"/>
        <color rgb="FF000000"/>
        <rFont val="Aptos Narrow"/>
        <scheme val="minor"/>
      </rPr>
      <t>Activity Log:</t>
    </r>
    <r>
      <rPr>
        <sz val="10"/>
        <color rgb="FF000000"/>
        <rFont val="Aptos Narrow"/>
        <scheme val="minor"/>
      </rPr>
      <t xml:space="preserve"> 9000 Steps - 4 days a week</t>
    </r>
  </si>
  <si>
    <t xml:space="preserve">PA2 </t>
  </si>
  <si>
    <t>Walking ("The Wonder Walk")</t>
  </si>
  <si>
    <t>PA2- A</t>
  </si>
  <si>
    <t>Daily walking</t>
  </si>
  <si>
    <t xml:space="preserve"> 
Step Count (DAY_AGGREGATE_WALK)</t>
  </si>
  <si>
    <t>IPAQ  (item 1); Garmin sensor data; Actigraph</t>
  </si>
  <si>
    <r>
      <rPr>
        <sz val="10"/>
        <color rgb="FF000000"/>
        <rFont val="Aptos Narrow"/>
        <scheme val="minor"/>
      </rPr>
      <t xml:space="preserve">Step </t>
    </r>
    <r>
      <rPr>
        <b/>
        <sz val="10"/>
        <color rgb="FF000000"/>
        <rFont val="Aptos Narrow"/>
        <scheme val="minor"/>
      </rPr>
      <t>Count</t>
    </r>
    <r>
      <rPr>
        <sz val="10"/>
        <color rgb="FF000000"/>
        <rFont val="Aptos Narrow"/>
        <scheme val="minor"/>
      </rPr>
      <t xml:space="preserve">; Walking </t>
    </r>
    <r>
      <rPr>
        <b/>
        <sz val="10"/>
        <color rgb="FF000000"/>
        <rFont val="Aptos Narrow"/>
        <scheme val="minor"/>
      </rPr>
      <t>duration</t>
    </r>
    <r>
      <rPr>
        <sz val="10"/>
        <color rgb="FF000000"/>
        <rFont val="Aptos Narrow"/>
        <scheme val="minor"/>
      </rPr>
      <t xml:space="preserve"> ( hours - minutes); </t>
    </r>
    <r>
      <rPr>
        <b/>
        <sz val="10"/>
        <color rgb="FF000000"/>
        <rFont val="Aptos Narrow"/>
        <scheme val="minor"/>
      </rPr>
      <t>frequency</t>
    </r>
    <r>
      <rPr>
        <sz val="10"/>
        <color rgb="FF000000"/>
        <rFont val="Aptos Narrow"/>
        <scheme val="minor"/>
      </rPr>
      <t xml:space="preserve"> (days/week)</t>
    </r>
  </si>
  <si>
    <r>
      <t xml:space="preserve">Open Question: </t>
    </r>
    <r>
      <rPr>
        <sz val="10"/>
        <color rgb="FF000000"/>
        <rFont val="Aptos Narrow"/>
        <scheme val="minor"/>
      </rPr>
      <t>Daily Walking Current Habits</t>
    </r>
  </si>
  <si>
    <r>
      <t xml:space="preserve">Survey Question: </t>
    </r>
    <r>
      <rPr>
        <sz val="10"/>
        <color rgb="FF000000"/>
        <rFont val="Aptos Narrow"/>
        <scheme val="minor"/>
      </rPr>
      <t>Identifying Barriers</t>
    </r>
  </si>
  <si>
    <r>
      <t xml:space="preserve">Tips/Info: </t>
    </r>
    <r>
      <rPr>
        <sz val="10"/>
        <color rgb="FF000000"/>
        <rFont val="Aptos Narrow"/>
        <scheme val="minor"/>
      </rPr>
      <t>stronger leg muscles and healthier bones to be strong and healthy</t>
    </r>
  </si>
  <si>
    <r>
      <rPr>
        <b/>
        <sz val="10"/>
        <color rgb="FF000000"/>
        <rFont val="Aptos Narrow"/>
        <scheme val="minor"/>
      </rPr>
      <t>Info (Video):</t>
    </r>
    <r>
      <rPr>
        <sz val="10"/>
        <color rgb="FF000000"/>
        <rFont val="Aptos Narrow"/>
        <scheme val="minor"/>
      </rPr>
      <t xml:space="preserve"> to make daily walking more fun</t>
    </r>
  </si>
  <si>
    <r>
      <rPr>
        <b/>
        <sz val="10"/>
        <color rgb="FF000000"/>
        <rFont val="Aptos Narrow"/>
        <scheme val="minor"/>
      </rPr>
      <t xml:space="preserve">Instruction/ Guidance:  </t>
    </r>
    <r>
      <rPr>
        <sz val="10"/>
        <color rgb="FF000000"/>
        <rFont val="Aptos Narrow"/>
        <scheme val="minor"/>
      </rPr>
      <t>Walk Scheduling</t>
    </r>
  </si>
  <si>
    <r>
      <t>Instruction/ Guidance:</t>
    </r>
    <r>
      <rPr>
        <sz val="10"/>
        <color rgb="FF000000"/>
        <rFont val="Aptos Narrow"/>
        <scheme val="minor"/>
      </rPr>
      <t xml:space="preserve"> Colour hunt with your buddy</t>
    </r>
  </si>
  <si>
    <r>
      <t xml:space="preserve">Activity Log: </t>
    </r>
    <r>
      <rPr>
        <sz val="10"/>
        <color rgb="FF000000"/>
        <rFont val="Aptos Narrow"/>
        <scheme val="minor"/>
      </rPr>
      <t xml:space="preserve">15 minute walk </t>
    </r>
  </si>
  <si>
    <r>
      <t xml:space="preserve">Activity Log: </t>
    </r>
    <r>
      <rPr>
        <sz val="10"/>
        <color rgb="FF000000"/>
        <rFont val="Aptos Narrow"/>
        <scheme val="minor"/>
      </rPr>
      <t>~30 minute walk (Extend the route from school or kindergarten)</t>
    </r>
  </si>
  <si>
    <r>
      <t xml:space="preserve">Activity Log: </t>
    </r>
    <r>
      <rPr>
        <sz val="10"/>
        <color rgb="FF000000"/>
        <rFont val="Aptos Narrow"/>
        <scheme val="minor"/>
      </rPr>
      <t xml:space="preserve">60 minute walk </t>
    </r>
  </si>
  <si>
    <r>
      <t xml:space="preserve">Activity Log: </t>
    </r>
    <r>
      <rPr>
        <sz val="10"/>
        <color rgb="FF000000"/>
        <rFont val="Aptos Narrow"/>
        <scheme val="minor"/>
      </rPr>
      <t xml:space="preserve">75 minute walk </t>
    </r>
  </si>
  <si>
    <r>
      <t xml:space="preserve">Activity Log: </t>
    </r>
    <r>
      <rPr>
        <sz val="10"/>
        <color rgb="FF000000"/>
        <rFont val="Aptos Narrow"/>
        <scheme val="minor"/>
      </rPr>
      <t xml:space="preserve">15 minute walk - 3 times a week </t>
    </r>
  </si>
  <si>
    <r>
      <t xml:space="preserve">Activity Log: </t>
    </r>
    <r>
      <rPr>
        <sz val="10"/>
        <color rgb="FF000000"/>
        <rFont val="Aptos Narrow"/>
        <scheme val="minor"/>
      </rPr>
      <t>~30 minute walk - 3 times a week</t>
    </r>
  </si>
  <si>
    <r>
      <t xml:space="preserve">Activity Log: </t>
    </r>
    <r>
      <rPr>
        <sz val="10"/>
        <color rgb="FF000000"/>
        <rFont val="Aptos Narrow"/>
        <scheme val="minor"/>
      </rPr>
      <t>60 minute walk - 2 times a week</t>
    </r>
  </si>
  <si>
    <r>
      <t xml:space="preserve">Activity Log: </t>
    </r>
    <r>
      <rPr>
        <sz val="10"/>
        <color rgb="FF000000"/>
        <rFont val="Aptos Narrow"/>
        <scheme val="minor"/>
      </rPr>
      <t>30</t>
    </r>
    <r>
      <rPr>
        <b/>
        <sz val="10"/>
        <color rgb="FF000000"/>
        <rFont val="Aptos Narrow"/>
        <scheme val="minor"/>
      </rPr>
      <t xml:space="preserve"> </t>
    </r>
    <r>
      <rPr>
        <sz val="10"/>
        <color rgb="FF000000"/>
        <rFont val="Aptos Narrow"/>
        <scheme val="minor"/>
      </rPr>
      <t>minute walk  -  5 times a week</t>
    </r>
  </si>
  <si>
    <t>PA3</t>
  </si>
  <si>
    <t>(Reduced) Sitting time (Active Pauses), diversify outdoor walking time</t>
  </si>
  <si>
    <t>PA3 - A</t>
  </si>
  <si>
    <t xml:space="preserve"> Movement Breaks ("Move-It Moments ")</t>
  </si>
  <si>
    <t>IPAQ  (item 3-4)</t>
  </si>
  <si>
    <r>
      <rPr>
        <sz val="10"/>
        <color rgb="FF000000"/>
        <rFont val="Aptos Narrow"/>
        <scheme val="minor"/>
      </rPr>
      <t>(Reduced) Sitting time</t>
    </r>
    <r>
      <rPr>
        <b/>
        <sz val="10"/>
        <color rgb="FF000000"/>
        <rFont val="Aptos Narrow"/>
        <scheme val="minor"/>
      </rPr>
      <t xml:space="preserve"> duration</t>
    </r>
    <r>
      <rPr>
        <sz val="10"/>
        <color rgb="FF000000"/>
        <rFont val="Aptos Narrow"/>
        <scheme val="minor"/>
      </rPr>
      <t xml:space="preserve">  (hours - minutes)</t>
    </r>
  </si>
  <si>
    <r>
      <rPr>
        <b/>
        <sz val="10"/>
        <color rgb="FF000000"/>
        <rFont val="Aptos Narrow"/>
        <scheme val="minor"/>
      </rPr>
      <t>Survey Question</t>
    </r>
    <r>
      <rPr>
        <sz val="10"/>
        <color rgb="FF000000"/>
        <rFont val="Aptos Narrow"/>
        <scheme val="minor"/>
      </rPr>
      <t>: Health awareness of long sitting</t>
    </r>
  </si>
  <si>
    <r>
      <t xml:space="preserve">Survey Question: </t>
    </r>
    <r>
      <rPr>
        <sz val="10"/>
        <color rgb="FF000000"/>
        <rFont val="Aptos Narrow"/>
        <scheme val="minor"/>
      </rPr>
      <t>definition of "long sitting", assess how long your child is sitting</t>
    </r>
  </si>
  <si>
    <r>
      <t xml:space="preserve">Info: </t>
    </r>
    <r>
      <rPr>
        <sz val="10"/>
        <color rgb="FF000000"/>
        <rFont val="Aptos Narrow"/>
        <scheme val="minor"/>
      </rPr>
      <t>adventage of short movment breaks</t>
    </r>
  </si>
  <si>
    <r>
      <t>Activity Log (Photo):</t>
    </r>
    <r>
      <rPr>
        <sz val="10"/>
        <color rgb="FF000000"/>
        <rFont val="Aptos Narrow"/>
        <scheme val="minor"/>
      </rPr>
      <t xml:space="preserve"> identifying barriers and brainstorming of diverse movment breaks</t>
    </r>
  </si>
  <si>
    <r>
      <t xml:space="preserve">Instruction/ Guidance: </t>
    </r>
    <r>
      <rPr>
        <sz val="10"/>
        <color rgb="FF000000"/>
        <rFont val="Aptos Narrow"/>
        <scheme val="minor"/>
      </rPr>
      <t>Using Garmin notifications to get activity reminders</t>
    </r>
  </si>
  <si>
    <r>
      <t xml:space="preserve">Info: </t>
    </r>
    <r>
      <rPr>
        <sz val="10"/>
        <color rgb="FF000000"/>
        <rFont val="Aptos Narrow"/>
        <scheme val="minor"/>
      </rPr>
      <t>Concrete examples of active pause</t>
    </r>
  </si>
  <si>
    <r>
      <t xml:space="preserve">Activity Log: </t>
    </r>
    <r>
      <rPr>
        <sz val="10"/>
        <color rgb="FF000000"/>
        <rFont val="Aptos Narrow"/>
        <scheme val="minor"/>
      </rPr>
      <t>Opposite action</t>
    </r>
  </si>
  <si>
    <r>
      <t xml:space="preserve">Activity Log: </t>
    </r>
    <r>
      <rPr>
        <sz val="10"/>
        <color rgb="FF000000"/>
        <rFont val="Aptos Narrow"/>
        <scheme val="minor"/>
      </rPr>
      <t>Superhero training</t>
    </r>
  </si>
  <si>
    <r>
      <t xml:space="preserve">Activity Log: </t>
    </r>
    <r>
      <rPr>
        <sz val="10"/>
        <color rgb="FF000000"/>
        <rFont val="Aptos Narrow"/>
        <scheme val="minor"/>
      </rPr>
      <t>Animal Moves</t>
    </r>
  </si>
  <si>
    <r>
      <t xml:space="preserve">Activity Log: </t>
    </r>
    <r>
      <rPr>
        <sz val="10"/>
        <color rgb="FF000000"/>
        <rFont val="Aptos Narrow"/>
        <scheme val="minor"/>
      </rPr>
      <t>Spelling steps</t>
    </r>
  </si>
  <si>
    <r>
      <t xml:space="preserve">Activity Log: </t>
    </r>
    <r>
      <rPr>
        <sz val="10"/>
        <color rgb="FF000000"/>
        <rFont val="Aptos Narrow"/>
        <scheme val="minor"/>
      </rPr>
      <t>1-min movement per day to interrupt the sitting time</t>
    </r>
  </si>
  <si>
    <r>
      <t>Activity Log:</t>
    </r>
    <r>
      <rPr>
        <sz val="10"/>
        <color rgb="FF000000"/>
        <rFont val="Aptos Narrow"/>
        <scheme val="minor"/>
      </rPr>
      <t xml:space="preserve"> 2-min movement- 3 times per day</t>
    </r>
  </si>
  <si>
    <r>
      <t xml:space="preserve">Activity Log: </t>
    </r>
    <r>
      <rPr>
        <sz val="10"/>
        <color rgb="FF000000"/>
        <rFont val="Aptos Narrow"/>
        <scheme val="minor"/>
      </rPr>
      <t>2 - 3 min movement- 3 times per day 2 times per week</t>
    </r>
  </si>
  <si>
    <r>
      <t xml:space="preserve">Activity Log: </t>
    </r>
    <r>
      <rPr>
        <sz val="10"/>
        <color rgb="FF000000"/>
        <rFont val="Aptos Narrow"/>
        <scheme val="minor"/>
      </rPr>
      <t>2-3 min movement  3 times per day 7 times per week</t>
    </r>
  </si>
  <si>
    <t>PA3 - B</t>
  </si>
  <si>
    <t>Outdoor movement breaks ("Fresh Air Fun")</t>
  </si>
  <si>
    <r>
      <rPr>
        <sz val="10"/>
        <color rgb="FF000000"/>
        <rFont val="Aptos Narrow"/>
        <scheme val="minor"/>
      </rPr>
      <t xml:space="preserve">(Reduced) Sitting time </t>
    </r>
    <r>
      <rPr>
        <b/>
        <sz val="10"/>
        <color rgb="FF000000"/>
        <rFont val="Aptos Narrow"/>
        <scheme val="minor"/>
      </rPr>
      <t>duration</t>
    </r>
    <r>
      <rPr>
        <sz val="10"/>
        <color rgb="FF000000"/>
        <rFont val="Aptos Narrow"/>
        <scheme val="minor"/>
      </rPr>
      <t xml:space="preserve">  (hours - minutes)</t>
    </r>
  </si>
  <si>
    <r>
      <t xml:space="preserve">Survey Question: </t>
    </r>
    <r>
      <rPr>
        <sz val="10"/>
        <color rgb="FF000000"/>
        <rFont val="Aptos Narrow"/>
        <scheme val="minor"/>
      </rPr>
      <t xml:space="preserve">Benefits of Outdoor play </t>
    </r>
  </si>
  <si>
    <r>
      <t xml:space="preserve">Info: </t>
    </r>
    <r>
      <rPr>
        <sz val="10"/>
        <color rgb="FF000000"/>
        <rFont val="Aptos Narrow"/>
        <scheme val="minor"/>
      </rPr>
      <t>adventage of short movment breaks outside (examples)</t>
    </r>
  </si>
  <si>
    <r>
      <t xml:space="preserve">Info tip - Activity log: </t>
    </r>
    <r>
      <rPr>
        <sz val="10"/>
        <color rgb="FF000000"/>
        <rFont val="Aptos Narrow"/>
        <scheme val="minor"/>
      </rPr>
      <t>Drawing</t>
    </r>
  </si>
  <si>
    <r>
      <rPr>
        <b/>
        <sz val="10"/>
        <color rgb="FF000000"/>
        <rFont val="Aptos Narrow"/>
        <scheme val="minor"/>
      </rPr>
      <t xml:space="preserve">Instruction/ Guidance: </t>
    </r>
    <r>
      <rPr>
        <sz val="10"/>
        <color rgb="FF000000"/>
        <rFont val="Aptos Narrow"/>
        <scheme val="minor"/>
      </rPr>
      <t xml:space="preserve"> Insert outdoor breaks in your child's Schedule</t>
    </r>
  </si>
  <si>
    <r>
      <t xml:space="preserve">Info: </t>
    </r>
    <r>
      <rPr>
        <sz val="10"/>
        <color rgb="FF000000"/>
        <rFont val="Aptos Narrow"/>
        <scheme val="minor"/>
      </rPr>
      <t>Concrete examples of active pause outdoor</t>
    </r>
  </si>
  <si>
    <r>
      <t xml:space="preserve">Activity Log: </t>
    </r>
    <r>
      <rPr>
        <sz val="10"/>
        <color rgb="FF000000"/>
        <rFont val="Aptos Narrow"/>
        <scheme val="minor"/>
      </rPr>
      <t>Jump rope challenge 1 min</t>
    </r>
  </si>
  <si>
    <r>
      <t>Activity Log:</t>
    </r>
    <r>
      <rPr>
        <sz val="10"/>
        <color rgb="FF000000"/>
        <rFont val="Aptos Narrow"/>
        <scheme val="minor"/>
      </rPr>
      <t xml:space="preserve"> Mini Scavenger Hunt </t>
    </r>
  </si>
  <si>
    <r>
      <t xml:space="preserve">Activity Log: </t>
    </r>
    <r>
      <rPr>
        <sz val="10"/>
        <color rgb="FF000000"/>
        <rFont val="Aptos Narrow"/>
        <scheme val="minor"/>
      </rPr>
      <t>Animal moves outside</t>
    </r>
  </si>
  <si>
    <r>
      <t xml:space="preserve">Activity Log: </t>
    </r>
    <r>
      <rPr>
        <sz val="10"/>
        <color rgb="FF000000"/>
        <rFont val="Aptos Narrow"/>
        <scheme val="minor"/>
      </rPr>
      <t xml:space="preserve">Cloud Shapes </t>
    </r>
  </si>
  <si>
    <r>
      <t>Activity Log: 5</t>
    </r>
    <r>
      <rPr>
        <sz val="10"/>
        <color rgb="FF000000"/>
        <rFont val="Aptos Narrow"/>
        <scheme val="minor"/>
      </rPr>
      <t xml:space="preserve"> min 1 time </t>
    </r>
  </si>
  <si>
    <r>
      <t xml:space="preserve">Activity Log: </t>
    </r>
    <r>
      <rPr>
        <sz val="10"/>
        <color rgb="FF000000"/>
        <rFont val="Aptos Narrow"/>
        <scheme val="minor"/>
      </rPr>
      <t>5-7 min 1 time per day 1 times per week</t>
    </r>
  </si>
  <si>
    <r>
      <t xml:space="preserve">Activity Log: </t>
    </r>
    <r>
      <rPr>
        <sz val="10"/>
        <color rgb="FF000000"/>
        <rFont val="Aptos Narrow"/>
        <scheme val="minor"/>
      </rPr>
      <t>5-7 min 1 time per day 2 times per week</t>
    </r>
  </si>
  <si>
    <r>
      <t xml:space="preserve">Activity Log: </t>
    </r>
    <r>
      <rPr>
        <sz val="10"/>
        <color rgb="FF000000"/>
        <rFont val="Aptos Narrow"/>
        <scheme val="minor"/>
      </rPr>
      <t>5-7 min 1 time per day 7 times per week</t>
    </r>
  </si>
  <si>
    <t>PA3 - C</t>
  </si>
  <si>
    <t>Games including running, jumping, jumping and throwing ("Run, Jump, Throw!")</t>
  </si>
  <si>
    <t>IPAQ (item 1; 5-9)</t>
  </si>
  <si>
    <r>
      <rPr>
        <sz val="10"/>
        <color rgb="FF000000"/>
        <rFont val="Aptos Narrow"/>
        <scheme val="minor"/>
      </rPr>
      <t xml:space="preserve">Moderate PA </t>
    </r>
    <r>
      <rPr>
        <b/>
        <sz val="10"/>
        <color rgb="FF000000"/>
        <rFont val="Aptos Narrow"/>
        <scheme val="minor"/>
      </rPr>
      <t xml:space="preserve">duration </t>
    </r>
    <r>
      <rPr>
        <sz val="10"/>
        <color rgb="FF000000"/>
        <rFont val="Aptos Narrow"/>
        <scheme val="minor"/>
      </rPr>
      <t xml:space="preserve">(hours, minutes); </t>
    </r>
    <r>
      <rPr>
        <b/>
        <sz val="10"/>
        <color rgb="FF000000"/>
        <rFont val="Aptos Narrow"/>
        <scheme val="minor"/>
      </rPr>
      <t>frequency</t>
    </r>
    <r>
      <rPr>
        <sz val="10"/>
        <color rgb="FF000000"/>
        <rFont val="Aptos Narrow"/>
        <scheme val="minor"/>
      </rPr>
      <t xml:space="preserve"> (days/week)</t>
    </r>
  </si>
  <si>
    <r>
      <rPr>
        <b/>
        <sz val="10"/>
        <color rgb="FF000000"/>
        <rFont val="Aptos Narrow"/>
        <scheme val="minor"/>
      </rPr>
      <t>Survey Question</t>
    </r>
    <r>
      <rPr>
        <sz val="10"/>
        <color rgb="FF000000"/>
        <rFont val="Aptos Narrow"/>
        <scheme val="minor"/>
      </rPr>
      <t xml:space="preserve"> : Benefits of games that include running, jumping, or throwing for children</t>
    </r>
  </si>
  <si>
    <r>
      <rPr>
        <b/>
        <sz val="10"/>
        <color rgb="FF000000"/>
        <rFont val="Aptos Narrow"/>
        <scheme val="minor"/>
      </rPr>
      <t>Survey Question</t>
    </r>
    <r>
      <rPr>
        <sz val="10"/>
        <color rgb="FF000000"/>
        <rFont val="Aptos Narrow"/>
        <scheme val="minor"/>
      </rPr>
      <t>: check if your child has the skills of running, jumping and throwing</t>
    </r>
  </si>
  <si>
    <r>
      <rPr>
        <b/>
        <sz val="10"/>
        <color rgb="FF000000"/>
        <rFont val="Aptos Narrow"/>
        <scheme val="minor"/>
      </rPr>
      <t>Info</t>
    </r>
    <r>
      <rPr>
        <sz val="10"/>
        <color rgb="FF000000"/>
        <rFont val="Aptos Narrow"/>
        <scheme val="minor"/>
      </rPr>
      <t>: which games include the listed skills</t>
    </r>
  </si>
  <si>
    <r>
      <t>Activity Log (Photo):</t>
    </r>
    <r>
      <rPr>
        <sz val="10"/>
        <color rgb="FF000000"/>
        <rFont val="Aptos Narrow"/>
        <scheme val="minor"/>
      </rPr>
      <t xml:space="preserve"> identifying barriers and brainstorming of diverse options</t>
    </r>
  </si>
  <si>
    <r>
      <t xml:space="preserve">Activity Log: </t>
    </r>
    <r>
      <rPr>
        <sz val="10"/>
        <color rgb="FF000000"/>
        <rFont val="Aptos Narrow"/>
        <scheme val="minor"/>
      </rPr>
      <t>Google one game from the following list, and watch the video with your child. Let us know which game you choose</t>
    </r>
  </si>
  <si>
    <r>
      <t>Instruction:</t>
    </r>
    <r>
      <rPr>
        <sz val="10"/>
        <color rgb="FF000000"/>
        <rFont val="Aptos Narrow"/>
        <scheme val="minor"/>
      </rPr>
      <t xml:space="preserve"> Go for a walk and play the game choosen from the list</t>
    </r>
  </si>
  <si>
    <r>
      <t xml:space="preserve">Activity Log: </t>
    </r>
    <r>
      <rPr>
        <sz val="10"/>
        <color rgb="FF000000"/>
        <rFont val="Aptos Narrow"/>
        <scheme val="minor"/>
      </rPr>
      <t>Freeze Tag</t>
    </r>
  </si>
  <si>
    <r>
      <t xml:space="preserve">Activity Log: </t>
    </r>
    <r>
      <rPr>
        <sz val="10"/>
        <color rgb="FF000000"/>
        <rFont val="Aptos Narrow"/>
        <scheme val="minor"/>
      </rPr>
      <t>Hopscotch</t>
    </r>
  </si>
  <si>
    <r>
      <t>Activity Log:</t>
    </r>
    <r>
      <rPr>
        <sz val="10"/>
        <color rgb="FF000000"/>
        <rFont val="Aptos Narrow"/>
        <scheme val="minor"/>
      </rPr>
      <t xml:space="preserve"> Bucket Challenge</t>
    </r>
  </si>
  <si>
    <r>
      <t xml:space="preserve">Activity Log: </t>
    </r>
    <r>
      <rPr>
        <sz val="10"/>
        <color rgb="FF000000"/>
        <rFont val="Aptos Narrow"/>
        <scheme val="minor"/>
      </rPr>
      <t>Invite friend</t>
    </r>
  </si>
  <si>
    <r>
      <t xml:space="preserve">Activity Log: </t>
    </r>
    <r>
      <rPr>
        <sz val="10"/>
        <color rgb="FF000000"/>
        <rFont val="Aptos Narrow"/>
        <scheme val="minor"/>
      </rPr>
      <t>30 min once per week (diverse your 30 min walk from the previous level)</t>
    </r>
  </si>
  <si>
    <r>
      <t xml:space="preserve">Activity Log: </t>
    </r>
    <r>
      <rPr>
        <sz val="10"/>
        <color rgb="FF000000"/>
        <rFont val="Aptos Narrow"/>
        <scheme val="minor"/>
      </rPr>
      <t>30 min per day 2 times per week</t>
    </r>
  </si>
  <si>
    <r>
      <t>Activity Log:</t>
    </r>
    <r>
      <rPr>
        <sz val="10"/>
        <color rgb="FF000000"/>
        <rFont val="Aptos Narrow"/>
        <scheme val="minor"/>
      </rPr>
      <t xml:space="preserve"> 60 min per day 1 time per week</t>
    </r>
  </si>
  <si>
    <r>
      <t xml:space="preserve">Activity Log: </t>
    </r>
    <r>
      <rPr>
        <sz val="10"/>
        <color rgb="FF000000"/>
        <rFont val="Aptos Narrow"/>
        <scheme val="minor"/>
      </rPr>
      <t>60 min per day 3 times per week</t>
    </r>
  </si>
  <si>
    <t>PA4</t>
  </si>
  <si>
    <t>Active transport (bike/scooter/other)</t>
  </si>
  <si>
    <t>Why Focus on Active Transport? It builds healthy habits, Boosts physical fitness, Supports independence, Reduces screen time, Helps the environment, Improves mood and attention levels</t>
  </si>
  <si>
    <t>Children at this age are highly influenced by routines, role models, and fun—so the key is to make active transport safe, engaging, and rewarding.</t>
  </si>
  <si>
    <t>Children copy adults. Walk or cycle with them regularlyShow positivity: “It feels good to move!”Leave the car behind for short tripsnvolve siblings or friends—movement becomes social</t>
  </si>
  <si>
    <r>
      <t xml:space="preserve">Children are more successful when active transport becomes </t>
    </r>
    <r>
      <rPr>
        <i/>
        <sz val="11"/>
        <color rgb="FF000000"/>
        <rFont val="Aptos Narrow"/>
        <scheme val="minor"/>
      </rPr>
      <t>the default. Ideas: bike to school, bike to nearby activities (playground, library, local shops)</t>
    </r>
  </si>
  <si>
    <t>Children feel more confident and eager to walk or cycle when they understand how to move safely. Teach them how to cross streets safely, use pedestrian crossings, helmet safetyhow to check their bikes and scooters before riding</t>
  </si>
  <si>
    <t>Try Slow Race! Goal: Be the last to reach the finish line without putting a foot down. Mark a start and finish line (5–15 meters apart). Kids ride as slowly as possible. If they stop or put a foot down → out for that round.</t>
  </si>
  <si>
    <t>Bike Bingo. Create list  of things to find on the route.</t>
  </si>
  <si>
    <t>Obstacle courses. Goal: Complete a playful route with challenges.
Ideas to include:Ride under a limbo stick, Ride over chalk lines, Go around cones, Stop at a “stop sign”Ring a bell at a certain point</t>
  </si>
  <si>
    <t>Map a route on a printed map or app. Do it together</t>
  </si>
  <si>
    <t>Ride and Play meetup with a friend</t>
  </si>
  <si>
    <t>Sticker chart</t>
  </si>
  <si>
    <t>Family reward for the consistent effort : board game night, favorite meal</t>
  </si>
  <si>
    <t>Family group ride on weekend. Repeat often!</t>
  </si>
  <si>
    <t xml:space="preserve">Biking/scooter relay race. Goal: Team competition based on speed + skills.
Variations:Pick up an object, deliver it to the next rider, ride to a cone and back, Complete a small obstacle task, </t>
  </si>
  <si>
    <t>PA5</t>
  </si>
  <si>
    <t>Strength and Coordination</t>
  </si>
  <si>
    <t>Why Strength &amp; Coordination Matter for Kids muscle strength (important for posture,injury prevention, and confidence)balance and body controlmotor planning, endurance, ifelong healthy habits</t>
  </si>
  <si>
    <r>
      <t xml:space="preserve">Children naturally build strength and coordination when activities feel like </t>
    </r>
    <r>
      <rPr>
        <i/>
        <sz val="11"/>
        <color theme="1"/>
        <rFont val="Aptos Narrow"/>
        <scheme val="minor"/>
      </rPr>
      <t>games</t>
    </r>
    <r>
      <rPr>
        <sz val="11"/>
        <color theme="1"/>
        <rFont val="Aptos Narrow"/>
        <scheme val="minor"/>
      </rPr>
      <t>, not training.</t>
    </r>
  </si>
  <si>
    <t>Strength training for kids doesn’t mean weights — it means natural bodyweight play.</t>
  </si>
  <si>
    <t>Climbing playground structures, Monkey bars, Mini obstacle courses, Carrying light objects (backpacks, water bottles, small boxes). These improve upper-body, core, and lower-body strength.</t>
  </si>
  <si>
    <t>Kids thrive on routines. Add “micro‑bursts” of strength and coordination throughout the day. Many child-led activities are already great for coordination. Biking, scootering, jump rope, skating, throw and catch games</t>
  </si>
  <si>
    <t>Turn Home or School Spaces Into Movement ZonesYou don’t need a gym. At home create  a “mini obstacle path” with pillows, chairs, towels, Use painters tape for balance lines, Keep balls and jump ropes visible</t>
  </si>
  <si>
    <t>10-seconds balance challenge while brushing teeth</t>
  </si>
  <si>
    <t>jumping jacks before leaving the house</t>
  </si>
  <si>
    <t>2-minute dance break</t>
  </si>
  <si>
    <t>Helping carry groceries in small loads</t>
  </si>
  <si>
    <t>Kids ages 5–12 are especially motivated by peers and group play.Plan playdates with active games</t>
  </si>
  <si>
    <t>Make It Part of a Weekly RhythmConsistency works better than intensity.Mon: Balance gameTue: Playground dayWed: Jump rope or ball gamesThu: Bike/scooter rideFri: Dance party or obstacle courseWeekend: Longer outdoor activity; make a chart, reward for consistency</t>
  </si>
  <si>
    <t>Simple Skills Checklist. Create a list of skills you want to observe over time, for example:Balance on one leg (seconds), Hop on one foot, Complete a plank (seconds), Do 5–10 push-ups, Monkey bar crossing, Catch a ball 5 times, Jump rope repetitionsCheck progress one in aweek. Thius week is the first</t>
  </si>
  <si>
    <t>Before &amp; After” ComparisonRecord a short video of a skill (jumping, balancing, climbing) at the start, After 4–8 weeks: film again, Be sure to store videos safely and do not share without permission. Choose skill from the list (M3)</t>
  </si>
  <si>
    <t>PA6</t>
  </si>
  <si>
    <t>Climbing Strength/Kicking Accuracy</t>
  </si>
  <si>
    <t>PA6 - A</t>
  </si>
  <si>
    <t>Climbing Strength</t>
  </si>
  <si>
    <t>Climbing is a fantastic physical activity that can greatly increase strength. As kids navigate their way up the climbing wall or rock face, they engage multiple muscle groups, including their arms, legs, core, and upper body. This repetitive motion of pulling and pushing against the wall builds strength and helps to tone the muscles. RClimbing strength develops upper body, grip, core stability, and coordination. Kids are naturally drawn to climbing when it feels like fun, exploration, or adventure.</t>
  </si>
  <si>
    <t>Climbing can have a profound impact on a child’s confidence and self-esteem. mental benefits of climbing: boosts confidence, promotes problem-solving skills, enchances focus and concentration, develops goal-setting ability, improves decision-making skills, encourages teamwork and promotes communication</t>
  </si>
  <si>
    <t>Endurance is an important physical attribute that can be developed through climbing. As kids climb longer and more challenging routes, they build their cardiovascular endurance. The sustained effort required to ascend a climbing wall or conquer a rock face helps increase heart rate and breathing, improving overall endurance.</t>
  </si>
  <si>
    <t>Use Natural Opportunities. You don’t need a climbing wall.Playgrounds (monkey bars, rope ladders, climbing frames)Forest climbing (rocks, tree roots, low branches)Indoor stairs, benches, or safe obstaclesSimple home-made climbing stations using chairs and matsIf climbing options are visible and accessible, kids gravitate toward them.</t>
  </si>
  <si>
    <t>Being aware of the surroundings is critical for maintaining safety during climbing activities. Kids should be mindful of the climbing area, noting potential hazards, loose rocks, or unstable holds. They should also be aware of other climbers nearby and respect their space. In outdoor climbing settings, awareness of weather conditions and potential environmental risks, such as falling branches or changing rock conditions, is crucial. Staying vigilant and alert to the surroundings can help ensure a safe climbing experience.What to avoid:
Loose shelves
Furniture that can tip
Unstable DIY structures
Hanging from curtain rods or doors</t>
  </si>
  <si>
    <t xml:space="preserve"> Gradually expose children to heights within their comfort zone, while teaching safe falling techniques and reassuring them about the safety measures in place.
 Encourage persistence but also celebrate small milestones. Offer support and remind them that improvement comes with practice.
 Emphasize proper technique over strength to reduce strain. Tailor climbing sessions to their current ability.
 Help children build friendships by arranging group sessions and participating in youth climbing even</t>
  </si>
  <si>
    <t>“Mountain Explorer” challenge climb playground towers, steps, or trees pretending to reach a summit.</t>
  </si>
  <si>
    <t>Indoor “Cliff Walls”pillows, couch cushions, or safe climbing holds.</t>
  </si>
  <si>
    <t>Hanging Competition (“Who can hang the longest?”) These build endurance and grip strength without feeling like exercise.</t>
  </si>
  <si>
    <t>Monkey Bar Highway
Children must cross the monkey bars using different “funny styles”:
Normal crossing
Skip every other bar
One-hand-per-bar
Sideways monkeying
Hanging and swinging to the next bar
Add a challenge:
 “How many different ways can you cross?</t>
  </si>
  <si>
    <t>urniture Iceberg Crawl
Use pillows, couch cushions, stable stools, and mats.
Children must climb from “iceberg to iceberg” without touching the “water.”
Add missions:
Rescue stuffed animals
Collect “gems” (small items)</t>
  </si>
  <si>
    <t>Rules
Easy to remember rules work best.
Examples:
“One person climbing at a time.”
“Climb with two hands when going up or down.”
“No jumping from the top unless the area is designed for it.”
“Feet first when coming down.”
“No climbing when wet or wearing socks.” (socks = slipping!)</t>
  </si>
  <si>
    <t>Holding onto the bar for 5 → 10 → 15 seconds (see A3)</t>
  </si>
  <si>
    <t>Hill Climb Relay
Find a grassy hill.
Kids must climb the hill using hands + feet
At the top: ring a bell or touch a marker
Run back down to tag the next teammate</t>
  </si>
  <si>
    <t>PA6 -B</t>
  </si>
  <si>
    <t>Kicking Accuracy</t>
  </si>
  <si>
    <t>t Makes Your Legs Really Strong
When you practise kicking, the muscles in your legs get stronger — like a superhero!
Strong legs help you:
run faster
jump higher
play longer without getting tired</t>
  </si>
  <si>
    <t>t Helps Your Eyes and Feet Work Together
Kicking a target means your eyes, brain, and feet become a team.
That helps you get better at:
dribbling a ball
aiming at something
moving your body with control
It’s like your body becomes a super-smart machine!</t>
  </si>
  <si>
    <t>t Makes You Great at Balancing
You often stand on one leg when you kick — that trains your balance!
Good balance helps you with:
biking
skating
climbing
jumping</t>
  </si>
  <si>
    <t>It Helps You Play Better With Friends
Lots of games use kicking — football, playground games, PE class.
When you kick well, you can:
join more games
help your team
have more fun with friends</t>
  </si>
  <si>
    <t>It Makes You Feel Proud and Confident
When you hit a target, it feels AMAZING!
It shows you:
practiced
improved
didn’t give up
That makes you feel strong on the inside, not just the outside.</t>
  </si>
  <si>
    <t>Big targets for younger kids → smaller as skills grow.</t>
  </si>
  <si>
    <t>Hit the Castle → kick soft balls to knock down block towers</t>
  </si>
  <si>
    <t>Target Zones → score points for different colored areas</t>
  </si>
  <si>
    <t>Target Islands
Scatter different “islands” (hoops, pillows, chalk circles) around an area.
How to play:
Call out an island (“Red circle!”).
Children must kick the ball so it lands inside that island.
For older children: assign point values to islands.</t>
  </si>
  <si>
    <t>Wall Bullseye
Draw a bullseye (chalk outside / painter’s tape indoors) with rings worth points.
Variations:
Kick from different distances
Kick with left vs. right foot
Add obstacles to kick around</t>
  </si>
  <si>
    <t>o maintain skill progression:
Simple progressions:
Kick from standing
Kick after a small run‑up
Kick after dribbling
Kick with dominant → non-dominant foot
Kick from different distances
Variation builds confidence.</t>
  </si>
  <si>
    <t>Kids are naturally competitive—but friendly competition encourages improvement.
Take turns setting the target
Scoreboard games
Group target challenges
Cooperative tasks (“Can we hit every target together?”)</t>
  </si>
  <si>
    <t>Laundry Basket Goals
Place baskets at different distances and angles.
Game ideas:
Far basket = more points
“Bank shot” — bounce once then into the basket
“Roll then kick” into angled baskets</t>
  </si>
  <si>
    <t>Puzzle Kick
Place puzzle pieces around the area next to small targets.
To earn a puzzle piece:
Kids must kick the ball into the matching target.
When they complete the puzzle → they win</t>
  </si>
  <si>
    <t>PA7</t>
  </si>
  <si>
    <t>Adventure and Exploration (nature, map-based activities...)</t>
  </si>
  <si>
    <t>Adventure and Exploration</t>
  </si>
  <si>
    <t>Hey explorer! 🧭
Did you know that every time you go on an adventure, try a new path, explore nature, or use a map, you’re actually building amazing superpowers?
Here’s why exploring is AWESOME for you:</t>
  </si>
  <si>
    <t>ou Become a Super Problem Solver
When you explore, you get to figure things out like:
“Which way should I go?”
“What does this sign mean?”
“How do I get around this big rock or puddle?”
Every challenge helps your brain get better at solving problems — like a detective!</t>
  </si>
  <si>
    <t>Nature Makes You Calm and Happy
Being outside, touching grass, listening to birds, climbing rocks, or watching bugs helps your body feel relaxed.
Nature is like a giant “happy machine” that:
reduces stress
boosts your mood
gives you energy
It’s better than sitting inside all da</t>
  </si>
  <si>
    <t>You Learn How to Find Your Way
Using maps, following trails, or searching for clues helps you learn:
directions (north, south, east, west)
how to follow paths
how to plan a journey
These skills make you brave and confident when exploring new places.</t>
  </si>
  <si>
    <t>Draw the dream-map</t>
  </si>
  <si>
    <t>Mini Adventure Walk”A short walk (10–20 minutes) where kids explore, notice things, follow clues, or use a simple map. It can happen in a yard, a schoolyard, a park, or just around the block. My First Map”
Step 1: Draw a super simple map of a familiar place (backyard, playground, school grounds).
Step 2: Mark a start and a finish—with a treasure at the end.
Step 3: Walk the route together.
Goal: Teaches map reading and spatial awareness.</t>
  </si>
  <si>
    <t>Follow the Arrows”
Step 1: Draw arrows on paper or use sticks on the ground.
Step 2: Place them along a simple path.
Step 3: Kids follow the arrows to reach a small “treasure.”
Goal: Introduces basic navigation + direction following.</t>
  </si>
  <si>
    <t>What’s Around the Next Corner?”
Step 1: Walk together.
Step 2: Each time you reach a corner, kids guess what they might see next — then go check!
Goal: Encourages prediction, curiosity, and critical thinking.</t>
  </si>
  <si>
    <t>Compass Fun
Learn north, south, east, west using a real or digital compass.Walk 10 steps north, 5 steps east, 3 steps south.
Try new combinations!</t>
  </si>
  <si>
    <t>Footprint Finder
Look for animal or bird footprints (or make your own in sand or mud).</t>
  </si>
  <si>
    <t>Bark &amp; Leaf Rubbings
Use crayons and paper to make tree textures. OR Rock Investigation
Find 3 rocks and sort them by size, shape, and color.</t>
  </si>
  <si>
    <t>xplorer Story
Create a short story about your adventure that day.</t>
  </si>
  <si>
    <t>Night Explorer (early evening)
Listen to night sounds, look for stars, or watch how shadows change.</t>
  </si>
  <si>
    <t>Choose ONE version and do it this week.
That’s your first concrete action.
It’s small, simple, and builds the foundation for more advanced adventure activities like:
orienteering
forest explorations
longer hikes
scavenger hunts
youth mapping projects
navigation challenge</t>
  </si>
  <si>
    <t>DN1</t>
  </si>
  <si>
    <t>starch food intake</t>
  </si>
  <si>
    <t>DN1 - A</t>
  </si>
  <si>
    <t>Eat 100% wholegrain food  ("Whole Grain Wins")</t>
  </si>
  <si>
    <t>Nutrida nutrients - recipe information</t>
  </si>
  <si>
    <t>FFQ</t>
  </si>
  <si>
    <t xml:space="preserve">item 68-80 </t>
  </si>
  <si>
    <r>
      <rPr>
        <b/>
        <sz val="11"/>
        <color rgb="FF000000"/>
        <rFont val="Aptos Narrow"/>
        <scheme val="minor"/>
      </rPr>
      <t>Survey Question:</t>
    </r>
    <r>
      <rPr>
        <sz val="11"/>
        <color rgb="FF000000"/>
        <rFont val="Aptos Narrow"/>
        <scheme val="minor"/>
      </rPr>
      <t xml:space="preserve">  Current intake of whole grains</t>
    </r>
  </si>
  <si>
    <r>
      <rPr>
        <b/>
        <sz val="10"/>
        <color rgb="FF000000"/>
        <rFont val="Aptos Narrow"/>
        <scheme val="minor"/>
      </rPr>
      <t>Open text box:</t>
    </r>
    <r>
      <rPr>
        <sz val="10"/>
        <color rgb="FF000000"/>
        <rFont val="Aptos Narrow"/>
        <scheme val="minor"/>
      </rPr>
      <t xml:space="preserve"> know what's a whole grain </t>
    </r>
  </si>
  <si>
    <r>
      <rPr>
        <b/>
        <sz val="10"/>
        <color rgb="FF000000"/>
        <rFont val="Aptos Narrow"/>
        <scheme val="minor"/>
      </rPr>
      <t>Tips/Info:</t>
    </r>
    <r>
      <rPr>
        <sz val="10"/>
        <color rgb="FF000000"/>
        <rFont val="Aptos Narrow"/>
        <scheme val="minor"/>
      </rPr>
      <t xml:space="preserve"> Benefits of whole grains</t>
    </r>
  </si>
  <si>
    <r>
      <rPr>
        <b/>
        <sz val="11"/>
        <color rgb="FF000000"/>
        <rFont val="Aptos Narrow"/>
        <scheme val="minor"/>
      </rPr>
      <t>Activity Log</t>
    </r>
    <r>
      <rPr>
        <sz val="11"/>
        <color rgb="FF000000"/>
        <rFont val="Aptos Narrow"/>
        <scheme val="minor"/>
      </rPr>
      <t>: Get to know and familiarize with the Nutrida APP</t>
    </r>
  </si>
  <si>
    <r>
      <rPr>
        <b/>
        <sz val="10"/>
        <color rgb="FF000000"/>
        <rFont val="Aptos Narrow"/>
        <scheme val="minor"/>
      </rPr>
      <t>Activity Log:</t>
    </r>
    <r>
      <rPr>
        <sz val="10"/>
        <color rgb="FF000000"/>
        <rFont val="Aptos Narrow"/>
        <scheme val="minor"/>
      </rPr>
      <t xml:space="preserve"> First meal tracking &amp; logging with Nutrida App and Serving Knowlegde</t>
    </r>
  </si>
  <si>
    <r>
      <rPr>
        <b/>
        <sz val="10"/>
        <color rgb="FF000000"/>
        <rFont val="Aptos Narrow"/>
        <scheme val="minor"/>
      </rPr>
      <t>Activity log:</t>
    </r>
    <r>
      <rPr>
        <sz val="10"/>
        <color rgb="FF000000"/>
        <rFont val="Aptos Narrow"/>
        <scheme val="minor"/>
      </rPr>
      <t xml:space="preserve"> This week eat 1 serving of a whole-grain food </t>
    </r>
  </si>
  <si>
    <r>
      <rPr>
        <b/>
        <sz val="10"/>
        <color rgb="FF000000"/>
        <rFont val="Aptos Narrow"/>
        <scheme val="minor"/>
      </rPr>
      <t>Activity log:</t>
    </r>
    <r>
      <rPr>
        <sz val="10"/>
        <color rgb="FF000000"/>
        <rFont val="Aptos Narrow"/>
        <scheme val="minor"/>
      </rPr>
      <t xml:space="preserve"> On 2 different days this week, eat 1 serving of a whole-grain food</t>
    </r>
  </si>
  <si>
    <r>
      <rPr>
        <b/>
        <sz val="10"/>
        <color rgb="FF000000"/>
        <rFont val="Aptos Narrow"/>
        <scheme val="minor"/>
      </rPr>
      <t>Activity log:</t>
    </r>
    <r>
      <rPr>
        <sz val="10"/>
        <color rgb="FF000000"/>
        <rFont val="Aptos Narrow"/>
        <scheme val="minor"/>
      </rPr>
      <t xml:space="preserve"> For 5 days, eat 1 serving of whole grains each day</t>
    </r>
  </si>
  <si>
    <r>
      <rPr>
        <b/>
        <sz val="10"/>
        <color rgb="FF000000"/>
        <rFont val="Aptos Narrow"/>
        <scheme val="minor"/>
      </rPr>
      <t>Activity log:</t>
    </r>
    <r>
      <rPr>
        <sz val="10"/>
        <color rgb="FF000000"/>
        <rFont val="Aptos Narrow"/>
        <scheme val="minor"/>
      </rPr>
      <t xml:space="preserve"> For 7 days, eat 2–3 servings of whole grains each day</t>
    </r>
  </si>
  <si>
    <r>
      <rPr>
        <b/>
        <sz val="10"/>
        <color rgb="FF000000"/>
        <rFont val="Aptos Narrow"/>
        <scheme val="minor"/>
      </rPr>
      <t>Activity log:</t>
    </r>
    <r>
      <rPr>
        <sz val="10"/>
        <color rgb="FF000000"/>
        <rFont val="Aptos Narrow"/>
        <scheme val="minor"/>
      </rPr>
      <t xml:space="preserve"> Eat at least 2 meals with whole grains for a week</t>
    </r>
  </si>
  <si>
    <r>
      <rPr>
        <b/>
        <sz val="10"/>
        <color rgb="FF000000"/>
        <rFont val="Aptos Narrow"/>
        <scheme val="minor"/>
      </rPr>
      <t>Activity log:</t>
    </r>
    <r>
      <rPr>
        <sz val="10"/>
        <color rgb="FF000000"/>
        <rFont val="Aptos Narrow"/>
        <scheme val="minor"/>
      </rPr>
      <t>Eat at least 4 meals with whole grains for a week</t>
    </r>
  </si>
  <si>
    <r>
      <rPr>
        <b/>
        <sz val="10"/>
        <color rgb="FF000000"/>
        <rFont val="Aptos Narrow"/>
        <scheme val="minor"/>
      </rPr>
      <t>Activity log:</t>
    </r>
    <r>
      <rPr>
        <sz val="10"/>
        <color rgb="FF000000"/>
        <rFont val="Aptos Narrow"/>
        <scheme val="minor"/>
      </rPr>
      <t xml:space="preserve"> Eat at least 5 meals with whole grains for a week</t>
    </r>
  </si>
  <si>
    <r>
      <rPr>
        <b/>
        <sz val="10"/>
        <color rgb="FF000000"/>
        <rFont val="Aptos Narrow"/>
        <scheme val="minor"/>
      </rPr>
      <t>Activity log:</t>
    </r>
    <r>
      <rPr>
        <sz val="10"/>
        <color rgb="FF000000"/>
        <rFont val="Aptos Narrow"/>
        <scheme val="minor"/>
      </rPr>
      <t xml:space="preserve"> Eat at least 6 meals with whole grains for a week</t>
    </r>
  </si>
  <si>
    <t>DN1 - B</t>
  </si>
  <si>
    <t>Diversify starchy food consumption ("Starch Smart")</t>
  </si>
  <si>
    <t>item 68-80</t>
  </si>
  <si>
    <r>
      <rPr>
        <b/>
        <sz val="11"/>
        <color rgb="FF000000"/>
        <rFont val="Aptos Narrow"/>
        <scheme val="minor"/>
      </rPr>
      <t>Survey Question:</t>
    </r>
    <r>
      <rPr>
        <sz val="11"/>
        <color rgb="FF000000"/>
        <rFont val="Aptos Narrow"/>
        <scheme val="minor"/>
      </rPr>
      <t xml:space="preserve">  Current intake of starchy foods</t>
    </r>
  </si>
  <si>
    <r>
      <rPr>
        <b/>
        <sz val="10"/>
        <color rgb="FF000000"/>
        <rFont val="Aptos Narrow"/>
        <scheme val="minor"/>
      </rPr>
      <t>Open text box:</t>
    </r>
    <r>
      <rPr>
        <sz val="10"/>
        <color rgb="FF000000"/>
        <rFont val="Aptos Narrow"/>
        <scheme val="minor"/>
      </rPr>
      <t xml:space="preserve"> know what's starchy food</t>
    </r>
  </si>
  <si>
    <r>
      <rPr>
        <b/>
        <sz val="10"/>
        <color rgb="FF000000"/>
        <rFont val="Aptos Narrow"/>
        <scheme val="minor"/>
      </rPr>
      <t>Tips/Info:</t>
    </r>
    <r>
      <rPr>
        <sz val="10"/>
        <color rgb="FF000000"/>
        <rFont val="Aptos Narrow"/>
        <scheme val="minor"/>
      </rPr>
      <t xml:space="preserve"> Difference between starchy and non starchy foods </t>
    </r>
  </si>
  <si>
    <r>
      <t xml:space="preserve">Info tip - Activity log: </t>
    </r>
    <r>
      <rPr>
        <sz val="10"/>
        <color rgb="FF000000"/>
        <rFont val="Aptos Narrow"/>
        <scheme val="minor"/>
      </rPr>
      <t>Knowledge Game</t>
    </r>
  </si>
  <si>
    <r>
      <rPr>
        <b/>
        <sz val="10"/>
        <color rgb="FF000000"/>
        <rFont val="Aptos Narrow"/>
        <scheme val="minor"/>
      </rPr>
      <t>Tips/Info:</t>
    </r>
    <r>
      <rPr>
        <sz val="10"/>
        <color rgb="FF000000"/>
        <rFont val="Aptos Narrow"/>
        <scheme val="minor"/>
      </rPr>
      <t xml:space="preserve"> Benefits of starchy food</t>
    </r>
  </si>
  <si>
    <r>
      <rPr>
        <b/>
        <sz val="10"/>
        <color rgb="FF000000"/>
        <rFont val="Aptos Narrow"/>
        <scheme val="minor"/>
      </rPr>
      <t>Activity Log:</t>
    </r>
    <r>
      <rPr>
        <sz val="10"/>
        <color rgb="FF000000"/>
        <rFont val="Aptos Narrow"/>
        <scheme val="minor"/>
      </rPr>
      <t xml:space="preserve"> Meal tracking with Nutrida App and Serving Knowledge</t>
    </r>
  </si>
  <si>
    <r>
      <rPr>
        <b/>
        <sz val="10"/>
        <color rgb="FF000000"/>
        <rFont val="Aptos Narrow"/>
        <scheme val="minor"/>
      </rPr>
      <t>Activity log:</t>
    </r>
    <r>
      <rPr>
        <sz val="10"/>
        <color rgb="FF000000"/>
        <rFont val="Aptos Narrow"/>
        <scheme val="minor"/>
      </rPr>
      <t xml:space="preserve"> This week eat 1 serving of a starchy food </t>
    </r>
  </si>
  <si>
    <r>
      <rPr>
        <b/>
        <sz val="10"/>
        <color rgb="FF000000"/>
        <rFont val="Aptos Narrow"/>
        <scheme val="minor"/>
      </rPr>
      <t>Activity log:</t>
    </r>
    <r>
      <rPr>
        <sz val="10"/>
        <color rgb="FF000000"/>
        <rFont val="Aptos Narrow"/>
        <scheme val="minor"/>
      </rPr>
      <t xml:space="preserve"> On 2 days this week, eat 1 serving of a starchy food</t>
    </r>
  </si>
  <si>
    <t xml:space="preserve">Activity log:For 5 days, eat 1 serving of starchy food each day at a meal </t>
  </si>
  <si>
    <r>
      <rPr>
        <b/>
        <sz val="10"/>
        <color rgb="FF000000"/>
        <rFont val="Aptos Narrow"/>
        <scheme val="minor"/>
      </rPr>
      <t>Activity log</t>
    </r>
    <r>
      <rPr>
        <sz val="10"/>
        <color rgb="FF000000"/>
        <rFont val="Aptos Narrow"/>
        <scheme val="minor"/>
      </rPr>
      <t>: For 7 days, include starchy foods at every main meal</t>
    </r>
  </si>
  <si>
    <r>
      <rPr>
        <b/>
        <sz val="10"/>
        <color rgb="FF000000"/>
        <rFont val="Aptos Narrow"/>
        <scheme val="minor"/>
      </rPr>
      <t>Activity log:</t>
    </r>
    <r>
      <rPr>
        <sz val="10"/>
        <color rgb="FF000000"/>
        <rFont val="Aptos Narrow"/>
        <scheme val="minor"/>
      </rPr>
      <t xml:space="preserve"> Eat at least 2 starchy foods for a week</t>
    </r>
  </si>
  <si>
    <r>
      <rPr>
        <b/>
        <sz val="10"/>
        <color rgb="FF000000"/>
        <rFont val="Aptos Narrow"/>
        <scheme val="minor"/>
      </rPr>
      <t>Activity log:</t>
    </r>
    <r>
      <rPr>
        <sz val="10"/>
        <color rgb="FF000000"/>
        <rFont val="Aptos Narrow"/>
        <scheme val="minor"/>
      </rPr>
      <t xml:space="preserve"> Eat at least 4 starchy foods for a week</t>
    </r>
  </si>
  <si>
    <r>
      <rPr>
        <b/>
        <sz val="10"/>
        <color rgb="FF000000"/>
        <rFont val="Aptos Narrow"/>
        <scheme val="minor"/>
      </rPr>
      <t>Activity log</t>
    </r>
    <r>
      <rPr>
        <sz val="10"/>
        <color rgb="FF000000"/>
        <rFont val="Aptos Narrow"/>
        <scheme val="minor"/>
      </rPr>
      <t>: Eat at least 5 starchy foods for a week</t>
    </r>
  </si>
  <si>
    <r>
      <rPr>
        <b/>
        <sz val="10"/>
        <color rgb="FF000000"/>
        <rFont val="Aptos Narrow"/>
        <scheme val="minor"/>
      </rPr>
      <t>Activity log:</t>
    </r>
    <r>
      <rPr>
        <sz val="10"/>
        <color rgb="FF000000"/>
        <rFont val="Aptos Narrow"/>
        <scheme val="minor"/>
      </rPr>
      <t xml:space="preserve"> Eat at least 6 starchy foods for a week</t>
    </r>
  </si>
  <si>
    <t>DN2</t>
  </si>
  <si>
    <t>fruits and vegetables intake</t>
  </si>
  <si>
    <t>DN2 - A</t>
  </si>
  <si>
    <t>Eat fruits and vegetables ("Fruit &amp; Veg Power ")</t>
  </si>
  <si>
    <t>item 33-61</t>
  </si>
  <si>
    <r>
      <rPr>
        <b/>
        <sz val="11"/>
        <color rgb="FF000000"/>
        <rFont val="Aptos Narrow"/>
        <scheme val="minor"/>
      </rPr>
      <t>Survey Question:</t>
    </r>
    <r>
      <rPr>
        <sz val="11"/>
        <color rgb="FF000000"/>
        <rFont val="Aptos Narrow"/>
        <scheme val="minor"/>
      </rPr>
      <t xml:space="preserve">  Current intake of fruits and vegetables</t>
    </r>
  </si>
  <si>
    <r>
      <rPr>
        <b/>
        <sz val="10"/>
        <color rgb="FF000000"/>
        <rFont val="Aptos Narrow"/>
        <scheme val="minor"/>
      </rPr>
      <t>Tips/Info:</t>
    </r>
    <r>
      <rPr>
        <sz val="10"/>
        <color rgb="FF000000"/>
        <rFont val="Aptos Narrow"/>
        <scheme val="minor"/>
      </rPr>
      <t xml:space="preserve"> know the difference between fruits and vegetables</t>
    </r>
  </si>
  <si>
    <r>
      <rPr>
        <b/>
        <sz val="10"/>
        <color rgb="FF000000"/>
        <rFont val="Aptos Narrow"/>
        <scheme val="minor"/>
      </rPr>
      <t>Tips/Info:</t>
    </r>
    <r>
      <rPr>
        <sz val="10"/>
        <color rgb="FF000000"/>
        <rFont val="Aptos Narrow"/>
        <scheme val="minor"/>
      </rPr>
      <t xml:space="preserve"> Benefits of fruits and vegetables</t>
    </r>
  </si>
  <si>
    <r>
      <rPr>
        <b/>
        <sz val="10"/>
        <color rgb="FF000000"/>
        <rFont val="Aptos Narrow"/>
        <scheme val="minor"/>
      </rPr>
      <t>Info tip - Activity log:</t>
    </r>
    <r>
      <rPr>
        <sz val="10"/>
        <color rgb="FF000000"/>
        <rFont val="Aptos Narrow"/>
        <scheme val="minor"/>
      </rPr>
      <t xml:space="preserve"> MasterChef game</t>
    </r>
  </si>
  <si>
    <r>
      <rPr>
        <b/>
        <sz val="10"/>
        <color rgb="FF000000"/>
        <rFont val="Aptos Narrow"/>
        <scheme val="minor"/>
      </rPr>
      <t>Activity log:</t>
    </r>
    <r>
      <rPr>
        <sz val="10"/>
        <color rgb="FF000000"/>
        <rFont val="Aptos Narrow"/>
        <scheme val="minor"/>
      </rPr>
      <t xml:space="preserve"> This week eat 1 serving of fruit and vegetables</t>
    </r>
  </si>
  <si>
    <r>
      <rPr>
        <b/>
        <sz val="10"/>
        <color rgb="FF000000"/>
        <rFont val="Aptos Narrow"/>
        <scheme val="minor"/>
      </rPr>
      <t>Activity log:</t>
    </r>
    <r>
      <rPr>
        <sz val="10"/>
        <color rgb="FF000000"/>
        <rFont val="Aptos Narrow"/>
        <scheme val="minor"/>
      </rPr>
      <t xml:space="preserve"> On 3 days this week, eat 1 serving of fruit and vegetables </t>
    </r>
  </si>
  <si>
    <r>
      <rPr>
        <b/>
        <sz val="10"/>
        <color rgb="FF000000"/>
        <rFont val="Aptos Narrow"/>
        <scheme val="minor"/>
      </rPr>
      <t>Activity log:</t>
    </r>
    <r>
      <rPr>
        <sz val="10"/>
        <color rgb="FF000000"/>
        <rFont val="Aptos Narrow"/>
        <scheme val="minor"/>
      </rPr>
      <t xml:space="preserve"> For 5 days, eat 2 servings of fruits and/or vegetables each day</t>
    </r>
  </si>
  <si>
    <r>
      <rPr>
        <b/>
        <sz val="10"/>
        <color rgb="FF000000"/>
        <rFont val="Aptos Narrow"/>
        <scheme val="minor"/>
      </rPr>
      <t>Activity log:</t>
    </r>
    <r>
      <rPr>
        <sz val="10"/>
        <color rgb="FF000000"/>
        <rFont val="Aptos Narrow"/>
        <scheme val="minor"/>
      </rPr>
      <t xml:space="preserve"> For 7 days, eat fruits and vegetables at every meal, aiming for lots of different colors </t>
    </r>
  </si>
  <si>
    <r>
      <rPr>
        <b/>
        <sz val="10"/>
        <color rgb="FF000000"/>
        <rFont val="Aptos Narrow"/>
        <scheme val="minor"/>
      </rPr>
      <t>Activity log:</t>
    </r>
    <r>
      <rPr>
        <sz val="10"/>
        <color rgb="FF000000"/>
        <rFont val="Aptos Narrow"/>
        <scheme val="minor"/>
      </rPr>
      <t xml:space="preserve"> Incorporate a piece of fruit and one vegetable</t>
    </r>
  </si>
  <si>
    <r>
      <rPr>
        <b/>
        <sz val="10"/>
        <color rgb="FF000000"/>
        <rFont val="Aptos Narrow"/>
        <scheme val="minor"/>
      </rPr>
      <t>Activity log:</t>
    </r>
    <r>
      <rPr>
        <sz val="10"/>
        <color rgb="FF000000"/>
        <rFont val="Aptos Narrow"/>
        <scheme val="minor"/>
      </rPr>
      <t xml:space="preserve"> Incorporate 2 pieces of fruit and vegetables </t>
    </r>
  </si>
  <si>
    <r>
      <rPr>
        <b/>
        <sz val="10"/>
        <color rgb="FF000000"/>
        <rFont val="Aptos Narrow"/>
        <scheme val="minor"/>
      </rPr>
      <t>Activity log:</t>
    </r>
    <r>
      <rPr>
        <sz val="10"/>
        <color rgb="FF000000"/>
        <rFont val="Aptos Narrow"/>
        <scheme val="minor"/>
      </rPr>
      <t xml:space="preserve"> Incorporate 3 pieces of fruits and vegetables. Change one type or colour</t>
    </r>
  </si>
  <si>
    <r>
      <rPr>
        <b/>
        <sz val="10"/>
        <color rgb="FF000000"/>
        <rFont val="Aptos Narrow"/>
        <scheme val="minor"/>
      </rPr>
      <t>Activity log:</t>
    </r>
    <r>
      <rPr>
        <sz val="10"/>
        <color rgb="FF000000"/>
        <rFont val="Aptos Narrow"/>
        <scheme val="minor"/>
      </rPr>
      <t xml:space="preserve"> Incorporate 5 pieces of fruits and vegetables. Vary types and colours</t>
    </r>
  </si>
  <si>
    <t>DN3</t>
  </si>
  <si>
    <t>dairy food intake</t>
  </si>
  <si>
    <t>DN3 - A</t>
  </si>
  <si>
    <t>Eat dairy food per day ("Dairy Delight")</t>
  </si>
  <si>
    <t>item 1-13</t>
  </si>
  <si>
    <r>
      <rPr>
        <b/>
        <sz val="11"/>
        <color rgb="FF000000"/>
        <rFont val="Aptos Narrow"/>
        <scheme val="minor"/>
      </rPr>
      <t>Survey Question:</t>
    </r>
    <r>
      <rPr>
        <sz val="11"/>
        <color rgb="FF000000"/>
        <rFont val="Aptos Narrow"/>
        <scheme val="minor"/>
      </rPr>
      <t xml:space="preserve">  Current intake of dairy</t>
    </r>
  </si>
  <si>
    <r>
      <rPr>
        <b/>
        <sz val="10"/>
        <color rgb="FF000000"/>
        <rFont val="Aptos Narrow"/>
        <scheme val="minor"/>
      </rPr>
      <t>Survey Question - Activity log:</t>
    </r>
    <r>
      <rPr>
        <sz val="10"/>
        <color rgb="FF000000"/>
        <rFont val="Aptos Narrow"/>
        <scheme val="minor"/>
      </rPr>
      <t xml:space="preserve"> favourite dairy products. Dairy race</t>
    </r>
  </si>
  <si>
    <r>
      <rPr>
        <b/>
        <sz val="10"/>
        <color rgb="FF000000"/>
        <rFont val="Aptos Narrow"/>
        <scheme val="minor"/>
      </rPr>
      <t>Tips/Info:</t>
    </r>
    <r>
      <rPr>
        <sz val="10"/>
        <color rgb="FF000000"/>
        <rFont val="Aptos Narrow"/>
        <scheme val="minor"/>
      </rPr>
      <t xml:space="preserve"> Benefits of dairy products</t>
    </r>
  </si>
  <si>
    <r>
      <t xml:space="preserve">Info tip - Video: </t>
    </r>
    <r>
      <rPr>
        <sz val="10"/>
        <color rgb="FF000000"/>
        <rFont val="Aptos Narrow"/>
        <scheme val="minor"/>
      </rPr>
      <t>How yoghurt is made</t>
    </r>
  </si>
  <si>
    <r>
      <rPr>
        <b/>
        <sz val="10"/>
        <color rgb="FF000000"/>
        <rFont val="Aptos Narrow"/>
        <scheme val="minor"/>
      </rPr>
      <t>Activity log - Photo:</t>
    </r>
    <r>
      <rPr>
        <sz val="10"/>
        <color rgb="FF000000"/>
        <rFont val="Aptos Narrow"/>
        <scheme val="minor"/>
      </rPr>
      <t xml:space="preserve"> Blind taste test</t>
    </r>
  </si>
  <si>
    <r>
      <rPr>
        <b/>
        <sz val="10"/>
        <color rgb="FF000000"/>
        <rFont val="Aptos Narrow"/>
        <scheme val="minor"/>
      </rPr>
      <t>Activity log:</t>
    </r>
    <r>
      <rPr>
        <sz val="10"/>
        <color rgb="FF000000"/>
        <rFont val="Aptos Narrow"/>
        <scheme val="minor"/>
      </rPr>
      <t xml:space="preserve"> This week have 1 serving of a dairy-based food or drink</t>
    </r>
  </si>
  <si>
    <r>
      <rPr>
        <b/>
        <sz val="10"/>
        <color rgb="FF000000"/>
        <rFont val="Aptos Narrow"/>
        <scheme val="minor"/>
      </rPr>
      <t>Activity log:</t>
    </r>
    <r>
      <rPr>
        <sz val="10"/>
        <color rgb="FF000000"/>
        <rFont val="Aptos Narrow"/>
        <scheme val="minor"/>
      </rPr>
      <t xml:space="preserve"> On 3 days this week, have 1 serving of a dairy-based food or drink </t>
    </r>
  </si>
  <si>
    <r>
      <rPr>
        <b/>
        <sz val="10"/>
        <color rgb="FF000000"/>
        <rFont val="Aptos Narrow"/>
        <scheme val="minor"/>
      </rPr>
      <t>Activity log:</t>
    </r>
    <r>
      <rPr>
        <sz val="10"/>
        <color rgb="FF000000"/>
        <rFont val="Aptos Narrow"/>
        <scheme val="minor"/>
      </rPr>
      <t xml:space="preserve"> For 5 days, have 1 serving of dairy every day</t>
    </r>
  </si>
  <si>
    <r>
      <rPr>
        <b/>
        <sz val="10"/>
        <color rgb="FF000000"/>
        <rFont val="Aptos Narrow"/>
        <scheme val="minor"/>
      </rPr>
      <t>Activity log:</t>
    </r>
    <r>
      <rPr>
        <sz val="10"/>
        <color rgb="FF000000"/>
        <rFont val="Aptos Narrow"/>
        <scheme val="minor"/>
      </rPr>
      <t xml:space="preserve"> For 7 days, aim for 2–3 servings of dairy each day </t>
    </r>
  </si>
  <si>
    <r>
      <rPr>
        <b/>
        <sz val="10"/>
        <color rgb="FF000000"/>
        <rFont val="Aptos Narrow"/>
        <scheme val="minor"/>
      </rPr>
      <t>Activity log:</t>
    </r>
    <r>
      <rPr>
        <sz val="10"/>
        <color rgb="FF000000"/>
        <rFont val="Aptos Narrow"/>
        <scheme val="minor"/>
      </rPr>
      <t xml:space="preserve"> Incorporate one dairy-based product for a week</t>
    </r>
  </si>
  <si>
    <r>
      <rPr>
        <b/>
        <sz val="10"/>
        <color rgb="FF000000"/>
        <rFont val="Aptos Narrow"/>
        <scheme val="minor"/>
      </rPr>
      <t>Activity log:</t>
    </r>
    <r>
      <rPr>
        <sz val="10"/>
        <color rgb="FF000000"/>
        <rFont val="Aptos Narrow"/>
        <scheme val="minor"/>
      </rPr>
      <t xml:space="preserve"> Incorporate 1 different dairy-based product for a week</t>
    </r>
  </si>
  <si>
    <r>
      <rPr>
        <b/>
        <sz val="10"/>
        <color rgb="FF000000"/>
        <rFont val="Aptos Narrow"/>
        <scheme val="minor"/>
      </rPr>
      <t>Activity log:</t>
    </r>
    <r>
      <rPr>
        <sz val="10"/>
        <color rgb="FF000000"/>
        <rFont val="Aptos Narrow"/>
        <scheme val="minor"/>
      </rPr>
      <t xml:space="preserve"> Incorporate 2 different dairy-based products for a week</t>
    </r>
  </si>
  <si>
    <r>
      <rPr>
        <b/>
        <sz val="10"/>
        <color rgb="FF000000"/>
        <rFont val="Aptos Narrow"/>
        <scheme val="minor"/>
      </rPr>
      <t>Activity log:</t>
    </r>
    <r>
      <rPr>
        <sz val="10"/>
        <color rgb="FF000000"/>
        <rFont val="Aptos Narrow"/>
        <scheme val="minor"/>
      </rPr>
      <t xml:space="preserve"> Incorporate non-sugary dairy products for a week</t>
    </r>
  </si>
  <si>
    <t>DN4</t>
  </si>
  <si>
    <t>plant-based food (PBF) intake</t>
  </si>
  <si>
    <t>DN4 -A</t>
  </si>
  <si>
    <t>Choose plant-based food (PBF) for protein ("Plants on your plate")</t>
  </si>
  <si>
    <t>item 66-67</t>
  </si>
  <si>
    <r>
      <rPr>
        <b/>
        <sz val="11"/>
        <color rgb="FF000000"/>
        <rFont val="Aptos Narrow"/>
        <scheme val="minor"/>
      </rPr>
      <t>Survey Question:</t>
    </r>
    <r>
      <rPr>
        <sz val="11"/>
        <color rgb="FF000000"/>
        <rFont val="Aptos Narrow"/>
        <scheme val="minor"/>
      </rPr>
      <t xml:space="preserve"> Knowlede of plant-based food</t>
    </r>
  </si>
  <si>
    <r>
      <rPr>
        <b/>
        <sz val="10"/>
        <color rgb="FF000000"/>
        <rFont val="Aptos Narrow"/>
        <scheme val="minor"/>
      </rPr>
      <t>Open text box:</t>
    </r>
    <r>
      <rPr>
        <sz val="10"/>
        <color rgb="FF000000"/>
        <rFont val="Aptos Narrow"/>
        <scheme val="minor"/>
      </rPr>
      <t xml:space="preserve"> know what's plant-based food</t>
    </r>
  </si>
  <si>
    <r>
      <rPr>
        <b/>
        <sz val="10"/>
        <color rgb="FF000000"/>
        <rFont val="Aptos Narrow"/>
        <scheme val="minor"/>
      </rPr>
      <t>Tips/Info:</t>
    </r>
    <r>
      <rPr>
        <sz val="10"/>
        <color rgb="FF000000"/>
        <rFont val="Aptos Narrow"/>
        <scheme val="minor"/>
      </rPr>
      <t xml:space="preserve"> Benefits of plant-based foods</t>
    </r>
  </si>
  <si>
    <r>
      <rPr>
        <b/>
        <sz val="10"/>
        <color rgb="FF000000"/>
        <rFont val="Aptos Narrow"/>
      </rPr>
      <t xml:space="preserve">Quizz: </t>
    </r>
    <r>
      <rPr>
        <sz val="10"/>
        <color rgb="FF000000"/>
        <rFont val="Aptos Narrow"/>
      </rPr>
      <t>Beans quiz</t>
    </r>
  </si>
  <si>
    <r>
      <rPr>
        <b/>
        <sz val="10"/>
        <color rgb="FF000000"/>
        <rFont val="Aptos Narrow"/>
        <scheme val="minor"/>
      </rPr>
      <t>Activity log:</t>
    </r>
    <r>
      <rPr>
        <sz val="10"/>
        <color rgb="FF000000"/>
        <rFont val="Aptos Narrow"/>
        <scheme val="minor"/>
      </rPr>
      <t xml:space="preserve"> This week eat 1 serving of a plant-based food</t>
    </r>
  </si>
  <si>
    <r>
      <rPr>
        <b/>
        <sz val="10"/>
        <color rgb="FF000000"/>
        <rFont val="Aptos Narrow"/>
        <scheme val="minor"/>
      </rPr>
      <t>Activity log:</t>
    </r>
    <r>
      <rPr>
        <sz val="10"/>
        <color rgb="FF000000"/>
        <rFont val="Aptos Narrow"/>
        <scheme val="minor"/>
      </rPr>
      <t xml:space="preserve"> On 2 days this week, eat 1 serving of a plant-based food</t>
    </r>
  </si>
  <si>
    <r>
      <rPr>
        <b/>
        <sz val="10"/>
        <color rgb="FF000000"/>
        <rFont val="Aptos Narrow"/>
        <scheme val="minor"/>
      </rPr>
      <t>Activity log:</t>
    </r>
    <r>
      <rPr>
        <sz val="10"/>
        <color rgb="FF000000"/>
        <rFont val="Aptos Narrow"/>
        <scheme val="minor"/>
      </rPr>
      <t xml:space="preserve"> For 5 days, eat 1 serving of plant-based food each day</t>
    </r>
  </si>
  <si>
    <r>
      <rPr>
        <b/>
        <sz val="10"/>
        <color rgb="FF000000"/>
        <rFont val="Aptos Narrow"/>
        <scheme val="minor"/>
      </rPr>
      <t>Activity log:</t>
    </r>
    <r>
      <rPr>
        <sz val="10"/>
        <color rgb="FF000000"/>
        <rFont val="Aptos Narrow"/>
        <scheme val="minor"/>
      </rPr>
      <t xml:space="preserve"> For 7 days, eat 2 servings of plant-based foods each day</t>
    </r>
  </si>
  <si>
    <r>
      <rPr>
        <b/>
        <sz val="10"/>
        <color rgb="FF000000"/>
        <rFont val="Aptos Narrow"/>
        <scheme val="minor"/>
      </rPr>
      <t>Activity log:</t>
    </r>
    <r>
      <rPr>
        <sz val="10"/>
        <color rgb="FF000000"/>
        <rFont val="Aptos Narrow"/>
        <scheme val="minor"/>
      </rPr>
      <t xml:space="preserve"> This week eat 1 serving of a plant-based food (like beans, hummus, tofu, or nuts).</t>
    </r>
  </si>
  <si>
    <r>
      <rPr>
        <b/>
        <sz val="10"/>
        <color rgb="FF000000"/>
        <rFont val="Aptos Narrow"/>
        <scheme val="minor"/>
      </rPr>
      <t>Activity log:</t>
    </r>
    <r>
      <rPr>
        <sz val="10"/>
        <color rgb="FF000000"/>
        <rFont val="Aptos Narrow"/>
        <scheme val="minor"/>
      </rPr>
      <t xml:space="preserve"> On 2 days this week, eat 1 serving of a plant-based food (like beans, hummus, tofu, or nuts).</t>
    </r>
  </si>
  <si>
    <t>DN11</t>
  </si>
  <si>
    <t>legumes consumption</t>
  </si>
  <si>
    <t>DN11 - A</t>
  </si>
  <si>
    <t>Reach legume intakearound 50 g/day ("Legume boost")</t>
  </si>
  <si>
    <r>
      <rPr>
        <b/>
        <sz val="11"/>
        <color rgb="FF000000"/>
        <rFont val="Aptos Narrow"/>
        <scheme val="minor"/>
      </rPr>
      <t>Survey Question:</t>
    </r>
    <r>
      <rPr>
        <sz val="11"/>
        <color rgb="FF000000"/>
        <rFont val="Aptos Narrow"/>
        <scheme val="minor"/>
      </rPr>
      <t xml:space="preserve">  Current intake of legumes</t>
    </r>
  </si>
  <si>
    <r>
      <rPr>
        <b/>
        <sz val="10"/>
        <color rgb="FF000000"/>
        <rFont val="Aptos Narrow"/>
        <scheme val="minor"/>
      </rPr>
      <t>Open text box:</t>
    </r>
    <r>
      <rPr>
        <sz val="10"/>
        <color rgb="FF000000"/>
        <rFont val="Aptos Narrow"/>
        <scheme val="minor"/>
      </rPr>
      <t xml:space="preserve"> know what are the legumes</t>
    </r>
  </si>
  <si>
    <r>
      <rPr>
        <b/>
        <sz val="10"/>
        <color rgb="FF000000"/>
        <rFont val="Aptos Narrow"/>
        <scheme val="minor"/>
      </rPr>
      <t>Tips/Info:</t>
    </r>
    <r>
      <rPr>
        <sz val="10"/>
        <color rgb="FF000000"/>
        <rFont val="Aptos Narrow"/>
        <scheme val="minor"/>
      </rPr>
      <t xml:space="preserve"> health and climate benefits of consuming legumes</t>
    </r>
  </si>
  <si>
    <r>
      <rPr>
        <b/>
        <sz val="10"/>
        <color rgb="FF000000"/>
        <rFont val="Aptos Narrow"/>
        <scheme val="minor"/>
      </rPr>
      <t>Tips/Info:</t>
    </r>
    <r>
      <rPr>
        <sz val="10"/>
        <color rgb="FF000000"/>
        <rFont val="Aptos Narrow"/>
        <scheme val="minor"/>
      </rPr>
      <t xml:space="preserve"> diversity of the legumes and recipies</t>
    </r>
  </si>
  <si>
    <r>
      <rPr>
        <b/>
        <sz val="10"/>
        <color rgb="FF000000"/>
        <rFont val="Aptos Narrow"/>
        <scheme val="minor"/>
      </rPr>
      <t>Info tip - Activity log:</t>
    </r>
    <r>
      <rPr>
        <sz val="10"/>
        <color rgb="FF000000"/>
        <rFont val="Aptos Narrow"/>
        <scheme val="minor"/>
      </rPr>
      <t xml:space="preserve"> collect different kinds and make a photo</t>
    </r>
  </si>
  <si>
    <r>
      <t xml:space="preserve">Activity log: </t>
    </r>
    <r>
      <rPr>
        <sz val="10"/>
        <color rgb="FF000000"/>
        <rFont val="Aptos Narrow"/>
        <scheme val="minor"/>
      </rPr>
      <t>involve your child in family shopping, buy different kinds of beans</t>
    </r>
  </si>
  <si>
    <r>
      <rPr>
        <b/>
        <sz val="10"/>
        <color rgb="FF000000"/>
        <rFont val="Aptos Narrow"/>
        <scheme val="minor"/>
      </rPr>
      <t xml:space="preserve">Activity log: </t>
    </r>
    <r>
      <rPr>
        <sz val="10"/>
        <color rgb="FF000000"/>
        <rFont val="Aptos Narrow"/>
        <scheme val="minor"/>
      </rPr>
      <t>Involve your child in cooking, name the dishes creatively, vote for the favorite beans</t>
    </r>
  </si>
  <si>
    <r>
      <rPr>
        <b/>
        <sz val="10"/>
        <color rgb="FF000000"/>
        <rFont val="Aptos Narrow"/>
        <scheme val="minor"/>
      </rPr>
      <t xml:space="preserve">Activity log: </t>
    </r>
    <r>
      <rPr>
        <sz val="10"/>
        <color rgb="FF000000"/>
        <rFont val="Aptos Narrow"/>
        <scheme val="minor"/>
      </rPr>
      <t>Add legumes to the main dish at least 2 time this week (f.ex., pasta souce)</t>
    </r>
  </si>
  <si>
    <r>
      <rPr>
        <b/>
        <sz val="10"/>
        <color rgb="FF000000"/>
        <rFont val="Aptos Narrow"/>
        <scheme val="minor"/>
      </rPr>
      <t xml:space="preserve">Activity log: </t>
    </r>
    <r>
      <rPr>
        <sz val="10"/>
        <color rgb="FF000000"/>
        <rFont val="Aptos Narrow"/>
        <scheme val="minor"/>
      </rPr>
      <t xml:space="preserve">Add legumes to the main dish at least 3 time this week </t>
    </r>
  </si>
  <si>
    <r>
      <rPr>
        <b/>
        <sz val="10"/>
        <color rgb="FF000000"/>
        <rFont val="Aptos Narrow"/>
        <scheme val="minor"/>
      </rPr>
      <t>Activity log:</t>
    </r>
    <r>
      <rPr>
        <sz val="10"/>
        <color rgb="FF000000"/>
        <rFont val="Aptos Narrow"/>
        <scheme val="minor"/>
      </rPr>
      <t>cook legumes or add them to the regular dishes 4 time this week, involve your child in cooking process, use different kinds of beans</t>
    </r>
  </si>
  <si>
    <r>
      <t xml:space="preserve">Activity log: </t>
    </r>
    <r>
      <rPr>
        <sz val="10"/>
        <color rgb="FF000000"/>
        <rFont val="Aptos Narrow"/>
        <scheme val="minor"/>
      </rPr>
      <t>Legume Rainbow Chart</t>
    </r>
  </si>
  <si>
    <r>
      <rPr>
        <b/>
        <sz val="10"/>
        <color rgb="FF000000"/>
        <rFont val="Aptos Narrow"/>
        <scheme val="minor"/>
      </rPr>
      <t xml:space="preserve">Activity log: </t>
    </r>
    <r>
      <rPr>
        <sz val="10"/>
        <color rgb="FF000000"/>
        <rFont val="Aptos Narrow"/>
        <scheme val="minor"/>
      </rPr>
      <t>reward with the stickers when your child tries new kind of legumes</t>
    </r>
  </si>
  <si>
    <r>
      <t xml:space="preserve">Activity log: </t>
    </r>
    <r>
      <rPr>
        <sz val="10"/>
        <color rgb="FF000000"/>
        <rFont val="Aptos Narrow"/>
        <scheme val="minor"/>
      </rPr>
      <t>Legume Adventure program for 4 weeks</t>
    </r>
  </si>
  <si>
    <t>DN5</t>
  </si>
  <si>
    <t>plant-based oil (olive oil) and eat other products that contain healthy fats.</t>
  </si>
  <si>
    <t>DN5- A</t>
  </si>
  <si>
    <t>Use olive oil daily ("Olive It Up!")</t>
  </si>
  <si>
    <t>item 62-65, 81-88</t>
  </si>
  <si>
    <r>
      <rPr>
        <b/>
        <sz val="11"/>
        <color rgb="FF000000"/>
        <rFont val="Aptos Narrow"/>
        <scheme val="minor"/>
      </rPr>
      <t>Survey Question:</t>
    </r>
    <r>
      <rPr>
        <sz val="11"/>
        <color rgb="FF000000"/>
        <rFont val="Aptos Narrow"/>
        <scheme val="minor"/>
      </rPr>
      <t xml:space="preserve">  Current intake of plant-based oil</t>
    </r>
  </si>
  <si>
    <r>
      <rPr>
        <b/>
        <sz val="11"/>
        <color rgb="FF000000"/>
        <rFont val="Aptos Narrow"/>
        <scheme val="minor"/>
      </rPr>
      <t>Open Question:</t>
    </r>
    <r>
      <rPr>
        <sz val="11"/>
        <color rgb="FF000000"/>
        <rFont val="Aptos Narrow"/>
        <scheme val="minor"/>
      </rPr>
      <t xml:space="preserve">  Current knowledge of plant-based oil</t>
    </r>
  </si>
  <si>
    <r>
      <rPr>
        <b/>
        <sz val="10"/>
        <color rgb="FF000000"/>
        <rFont val="Aptos Narrow"/>
        <scheme val="minor"/>
      </rPr>
      <t>Tips/Info:</t>
    </r>
    <r>
      <rPr>
        <sz val="10"/>
        <color rgb="FF000000"/>
        <rFont val="Aptos Narrow"/>
        <scheme val="minor"/>
      </rPr>
      <t xml:space="preserve"> know the difference between olive oil and other oils</t>
    </r>
  </si>
  <si>
    <r>
      <rPr>
        <b/>
        <sz val="10"/>
        <color rgb="FF000000"/>
        <rFont val="Aptos Narrow"/>
        <scheme val="minor"/>
      </rPr>
      <t>Tips/Info:</t>
    </r>
    <r>
      <rPr>
        <sz val="10"/>
        <color rgb="FF000000"/>
        <rFont val="Aptos Narrow"/>
        <scheme val="minor"/>
      </rPr>
      <t xml:space="preserve"> Benefits of olive oil</t>
    </r>
  </si>
  <si>
    <r>
      <t xml:space="preserve">Info tip - Activity log: </t>
    </r>
    <r>
      <rPr>
        <sz val="10"/>
        <color rgb="FF000000"/>
        <rFont val="Aptos Narrow"/>
        <scheme val="minor"/>
      </rPr>
      <t>Oil and water experiment</t>
    </r>
  </si>
  <si>
    <r>
      <rPr>
        <b/>
        <sz val="10"/>
        <color rgb="FF000000"/>
        <rFont val="Aptos Narrow"/>
        <scheme val="minor"/>
      </rPr>
      <t>Activity log:</t>
    </r>
    <r>
      <rPr>
        <sz val="10"/>
        <color rgb="FF000000"/>
        <rFont val="Aptos Narrow"/>
        <scheme val="minor"/>
      </rPr>
      <t xml:space="preserve"> This week eat 1 serving of a olive oil</t>
    </r>
  </si>
  <si>
    <r>
      <rPr>
        <b/>
        <sz val="10"/>
        <color rgb="FF000000"/>
        <rFont val="Aptos Narrow"/>
        <scheme val="minor"/>
      </rPr>
      <t>Activity log:</t>
    </r>
    <r>
      <rPr>
        <sz val="10"/>
        <color rgb="FF000000"/>
        <rFont val="Aptos Narrow"/>
        <scheme val="minor"/>
      </rPr>
      <t xml:space="preserve"> On 2 days this week, eat 1 serving of a olive oil</t>
    </r>
  </si>
  <si>
    <r>
      <rPr>
        <b/>
        <sz val="10"/>
        <color rgb="FF000000"/>
        <rFont val="Aptos Narrow"/>
        <scheme val="minor"/>
      </rPr>
      <t>Activity log:</t>
    </r>
    <r>
      <rPr>
        <sz val="10"/>
        <color rgb="FF000000"/>
        <rFont val="Aptos Narrow"/>
        <scheme val="minor"/>
      </rPr>
      <t xml:space="preserve"> For 5 days, eat 1 serving of olive oil each day</t>
    </r>
  </si>
  <si>
    <r>
      <rPr>
        <b/>
        <sz val="10"/>
        <color rgb="FF000000"/>
        <rFont val="Aptos Narrow"/>
        <scheme val="minor"/>
      </rPr>
      <t>Activity log:</t>
    </r>
    <r>
      <rPr>
        <sz val="10"/>
        <color rgb="FF000000"/>
        <rFont val="Aptos Narrow"/>
        <scheme val="minor"/>
      </rPr>
      <t xml:space="preserve"> For 7 days, eat 2 servings of olive oil each day</t>
    </r>
  </si>
  <si>
    <r>
      <rPr>
        <b/>
        <sz val="10"/>
        <color rgb="FF000000"/>
        <rFont val="Aptos Narrow"/>
        <scheme val="minor"/>
      </rPr>
      <t>Activity log:</t>
    </r>
    <r>
      <rPr>
        <sz val="10"/>
        <color rgb="FF000000"/>
        <rFont val="Aptos Narrow"/>
        <scheme val="minor"/>
      </rPr>
      <t xml:space="preserve"> Incorporate one fatty-based product like virgin olive oil in your meals for a week</t>
    </r>
  </si>
  <si>
    <r>
      <rPr>
        <b/>
        <sz val="10"/>
        <color rgb="FF000000"/>
        <rFont val="Aptos Narrow"/>
        <scheme val="minor"/>
      </rPr>
      <t>Activity log:</t>
    </r>
    <r>
      <rPr>
        <sz val="10"/>
        <color rgb="FF000000"/>
        <rFont val="Aptos Narrow"/>
        <scheme val="minor"/>
      </rPr>
      <t xml:space="preserve"> Incorporate 2 fatty plant-based product like virgin olive oil for a week</t>
    </r>
  </si>
  <si>
    <r>
      <rPr>
        <b/>
        <sz val="10"/>
        <color rgb="FF000000"/>
        <rFont val="Aptos Narrow"/>
        <scheme val="minor"/>
      </rPr>
      <t>Activity log:</t>
    </r>
    <r>
      <rPr>
        <sz val="10"/>
        <color rgb="FF000000"/>
        <rFont val="Aptos Narrow"/>
        <scheme val="minor"/>
      </rPr>
      <t xml:space="preserve"> Replace butter or sunflower oil for virgin olive oil for a week</t>
    </r>
  </si>
  <si>
    <r>
      <rPr>
        <b/>
        <sz val="10"/>
        <color rgb="FF000000"/>
        <rFont val="Aptos Narrow"/>
        <scheme val="minor"/>
      </rPr>
      <t>Activity log:</t>
    </r>
    <r>
      <rPr>
        <sz val="10"/>
        <color rgb="FF000000"/>
        <rFont val="Aptos Narrow"/>
        <scheme val="minor"/>
      </rPr>
      <t xml:space="preserve"> Replace butter or sunflower oil  for virgin olive oil in all meals</t>
    </r>
  </si>
  <si>
    <t>DN5- B</t>
  </si>
  <si>
    <t>Eat other products that contain healthy fats: seeds, nuts, avocado... everyday ("Fat fix")</t>
  </si>
  <si>
    <r>
      <rPr>
        <b/>
        <sz val="11"/>
        <color rgb="FF000000"/>
        <rFont val="Aptos Narrow"/>
        <scheme val="minor"/>
      </rPr>
      <t>Survey Question:</t>
    </r>
    <r>
      <rPr>
        <sz val="11"/>
        <color rgb="FF000000"/>
        <rFont val="Aptos Narrow"/>
        <scheme val="minor"/>
      </rPr>
      <t xml:space="preserve">  Current intake of healthy fat products</t>
    </r>
  </si>
  <si>
    <r>
      <rPr>
        <b/>
        <sz val="10"/>
        <color rgb="FF000000"/>
        <rFont val="Aptos Narrow"/>
        <scheme val="minor"/>
      </rPr>
      <t>Open text box:</t>
    </r>
    <r>
      <rPr>
        <sz val="10"/>
        <color rgb="FF000000"/>
        <rFont val="Aptos Narrow"/>
        <scheme val="minor"/>
      </rPr>
      <t xml:space="preserve"> know what's a healthy fat product</t>
    </r>
  </si>
  <si>
    <r>
      <rPr>
        <b/>
        <sz val="10"/>
        <color rgb="FF000000"/>
        <rFont val="Aptos Narrow"/>
        <scheme val="minor"/>
      </rPr>
      <t>Tips/Info:</t>
    </r>
    <r>
      <rPr>
        <sz val="10"/>
        <color rgb="FF000000"/>
        <rFont val="Aptos Narrow"/>
        <scheme val="minor"/>
      </rPr>
      <t xml:space="preserve"> Benefits of healthy fat products</t>
    </r>
  </si>
  <si>
    <r>
      <rPr>
        <b/>
        <sz val="10"/>
        <color rgb="FF000000"/>
        <rFont val="Aptos Narrow"/>
        <scheme val="minor"/>
      </rPr>
      <t>Tips/Info:</t>
    </r>
    <r>
      <rPr>
        <sz val="10"/>
        <color rgb="FF000000"/>
        <rFont val="Aptos Narrow"/>
        <scheme val="minor"/>
      </rPr>
      <t xml:space="preserve"> Ways to incorporate healthy fat products in the diet</t>
    </r>
  </si>
  <si>
    <r>
      <t xml:space="preserve">Info tip - Activity log: </t>
    </r>
    <r>
      <rPr>
        <sz val="10"/>
        <color rgb="FF000000"/>
        <rFont val="Aptos Narrow"/>
        <scheme val="minor"/>
      </rPr>
      <t>healthy fat products art</t>
    </r>
  </si>
  <si>
    <r>
      <rPr>
        <b/>
        <sz val="10"/>
        <color rgb="FF000000"/>
        <rFont val="Aptos Narrow"/>
        <scheme val="minor"/>
      </rPr>
      <t>Activity log:</t>
    </r>
    <r>
      <rPr>
        <sz val="10"/>
        <color rgb="FF000000"/>
        <rFont val="Aptos Narrow"/>
        <scheme val="minor"/>
      </rPr>
      <t xml:space="preserve"> This week eat 1 serving of healthy fat products</t>
    </r>
  </si>
  <si>
    <r>
      <rPr>
        <b/>
        <sz val="10"/>
        <color rgb="FF000000"/>
        <rFont val="Aptos Narrow"/>
        <scheme val="minor"/>
      </rPr>
      <t>Activity log:</t>
    </r>
    <r>
      <rPr>
        <sz val="10"/>
        <color rgb="FF000000"/>
        <rFont val="Aptos Narrow"/>
        <scheme val="minor"/>
      </rPr>
      <t xml:space="preserve"> On 2 days this week, eat 1 serving of healthy fat products</t>
    </r>
  </si>
  <si>
    <r>
      <rPr>
        <b/>
        <sz val="10"/>
        <color rgb="FF000000"/>
        <rFont val="Aptos Narrow"/>
        <scheme val="minor"/>
      </rPr>
      <t>Activity log:</t>
    </r>
    <r>
      <rPr>
        <sz val="10"/>
        <color rgb="FF000000"/>
        <rFont val="Aptos Narrow"/>
        <scheme val="minor"/>
      </rPr>
      <t xml:space="preserve"> For 5 days, eat 1 serving of healthy fat products</t>
    </r>
  </si>
  <si>
    <r>
      <rPr>
        <b/>
        <sz val="10"/>
        <color rgb="FF000000"/>
        <rFont val="Aptos Narrow"/>
        <scheme val="minor"/>
      </rPr>
      <t>Activity log:</t>
    </r>
    <r>
      <rPr>
        <sz val="10"/>
        <color rgb="FF000000"/>
        <rFont val="Aptos Narrow"/>
        <scheme val="minor"/>
      </rPr>
      <t xml:space="preserve"> For 7 days, eat 1–2 servings of healthy fat products each day, making them a regular part of snacks or meals.</t>
    </r>
  </si>
  <si>
    <r>
      <rPr>
        <b/>
        <sz val="10"/>
        <color rgb="FF000000"/>
        <rFont val="Aptos Narrow"/>
        <scheme val="minor"/>
      </rPr>
      <t>Activity log:</t>
    </r>
    <r>
      <rPr>
        <sz val="10"/>
        <color rgb="FF000000"/>
        <rFont val="Aptos Narrow"/>
        <scheme val="minor"/>
      </rPr>
      <t xml:space="preserve"> Eat healthy fat products for a day in a week</t>
    </r>
  </si>
  <si>
    <r>
      <rPr>
        <b/>
        <sz val="10"/>
        <color rgb="FF000000"/>
        <rFont val="Aptos Narrow"/>
        <scheme val="minor"/>
      </rPr>
      <t>Activity log:</t>
    </r>
    <r>
      <rPr>
        <sz val="10"/>
        <color rgb="FF000000"/>
        <rFont val="Aptos Narrow"/>
        <scheme val="minor"/>
      </rPr>
      <t xml:space="preserve"> Eat healthy fat products for 3 days in a week</t>
    </r>
  </si>
  <si>
    <r>
      <rPr>
        <b/>
        <sz val="10"/>
        <color rgb="FF000000"/>
        <rFont val="Aptos Narrow"/>
        <scheme val="minor"/>
      </rPr>
      <t>Activity log:</t>
    </r>
    <r>
      <rPr>
        <sz val="10"/>
        <color rgb="FF000000"/>
        <rFont val="Aptos Narrow"/>
        <scheme val="minor"/>
      </rPr>
      <t xml:space="preserve"> Eat healthy fat products for 4 days in a week</t>
    </r>
  </si>
  <si>
    <r>
      <rPr>
        <b/>
        <sz val="10"/>
        <color rgb="FF000000"/>
        <rFont val="Aptos Narrow"/>
        <scheme val="minor"/>
      </rPr>
      <t>Activity log:</t>
    </r>
    <r>
      <rPr>
        <sz val="10"/>
        <color rgb="FF000000"/>
        <rFont val="Aptos Narrow"/>
        <scheme val="minor"/>
      </rPr>
      <t xml:space="preserve"> Eat healthy fat products for 5 days in a week</t>
    </r>
  </si>
  <si>
    <t>DN6</t>
  </si>
  <si>
    <t>fish and seafood consumption</t>
  </si>
  <si>
    <t>DN6 - A</t>
  </si>
  <si>
    <t>Mind fish and seafood consumption ("Sea the benefits")</t>
  </si>
  <si>
    <t>item 27-32</t>
  </si>
  <si>
    <r>
      <rPr>
        <b/>
        <sz val="11"/>
        <color rgb="FF000000"/>
        <rFont val="Aptos Narrow"/>
        <scheme val="minor"/>
      </rPr>
      <t>Survey Question:</t>
    </r>
    <r>
      <rPr>
        <sz val="11"/>
        <color rgb="FF000000"/>
        <rFont val="Aptos Narrow"/>
        <scheme val="minor"/>
      </rPr>
      <t xml:space="preserve">  Current intake of seafood </t>
    </r>
  </si>
  <si>
    <r>
      <rPr>
        <b/>
        <sz val="10"/>
        <color rgb="FF000000"/>
        <rFont val="Aptos Narrow"/>
        <scheme val="minor"/>
      </rPr>
      <t>Survey Question - Activity log:</t>
    </r>
    <r>
      <rPr>
        <sz val="10"/>
        <color rgb="FF000000"/>
        <rFont val="Aptos Narrow"/>
        <scheme val="minor"/>
      </rPr>
      <t xml:space="preserve"> favourite seafood products</t>
    </r>
  </si>
  <si>
    <r>
      <rPr>
        <b/>
        <sz val="10"/>
        <color rgb="FF000000"/>
        <rFont val="Aptos Narrow"/>
        <scheme val="minor"/>
      </rPr>
      <t>Tips/Info:</t>
    </r>
    <r>
      <rPr>
        <sz val="10"/>
        <color rgb="FF000000"/>
        <rFont val="Aptos Narrow"/>
        <scheme val="minor"/>
      </rPr>
      <t xml:space="preserve"> Benefits of seafood</t>
    </r>
  </si>
  <si>
    <r>
      <rPr>
        <b/>
        <sz val="10"/>
        <color rgb="FF000000"/>
        <rFont val="Aptos Narrow"/>
        <scheme val="minor"/>
      </rPr>
      <t>Tips/Info:</t>
    </r>
    <r>
      <rPr>
        <sz val="10"/>
        <color rgb="FF000000"/>
        <rFont val="Aptos Narrow"/>
        <scheme val="minor"/>
      </rPr>
      <t xml:space="preserve"> know the difference between fish and other seafood</t>
    </r>
  </si>
  <si>
    <r>
      <rPr>
        <b/>
        <sz val="10"/>
        <color rgb="FF000000"/>
        <rFont val="Aptos Narrow"/>
        <scheme val="minor"/>
      </rPr>
      <t>Activity log:</t>
    </r>
    <r>
      <rPr>
        <sz val="10"/>
        <color rgb="FF000000"/>
        <rFont val="Aptos Narrow"/>
        <scheme val="minor"/>
      </rPr>
      <t xml:space="preserve"> Try 1 serving of seafood (like fish, tuna, or shrimp) at a meal.</t>
    </r>
  </si>
  <si>
    <r>
      <rPr>
        <b/>
        <sz val="10"/>
        <color rgb="FF000000"/>
        <rFont val="Aptos Narrow"/>
        <scheme val="minor"/>
      </rPr>
      <t>Activity log:</t>
    </r>
    <r>
      <rPr>
        <sz val="10"/>
        <color rgb="FF000000"/>
        <rFont val="Aptos Narrow"/>
        <scheme val="minor"/>
      </rPr>
      <t xml:space="preserve"> Once this week, eat 1 serving of seafood at a meal</t>
    </r>
  </si>
  <si>
    <r>
      <rPr>
        <b/>
        <sz val="10"/>
        <color rgb="FF000000"/>
        <rFont val="Aptos Narrow"/>
        <scheme val="minor"/>
      </rPr>
      <t>Activity log:</t>
    </r>
    <r>
      <rPr>
        <sz val="10"/>
        <color rgb="FF000000"/>
        <rFont val="Aptos Narrow"/>
        <scheme val="minor"/>
      </rPr>
      <t xml:space="preserve"> For 2 different days this week, eat 1 serving of seafood each day</t>
    </r>
  </si>
  <si>
    <r>
      <rPr>
        <b/>
        <sz val="10"/>
        <color rgb="FF000000"/>
        <rFont val="Aptos Narrow"/>
        <scheme val="minor"/>
      </rPr>
      <t>Activity log:</t>
    </r>
    <r>
      <rPr>
        <sz val="10"/>
        <color rgb="FF000000"/>
        <rFont val="Aptos Narrow"/>
        <scheme val="minor"/>
      </rPr>
      <t xml:space="preserve"> For 2 weeks, eat seafood 2 times per week, choosing different types when possible.</t>
    </r>
  </si>
  <si>
    <r>
      <rPr>
        <b/>
        <sz val="10"/>
        <color rgb="FF000000"/>
        <rFont val="Aptos Narrow"/>
        <scheme val="minor"/>
      </rPr>
      <t>Activity log:</t>
    </r>
    <r>
      <rPr>
        <sz val="10"/>
        <color rgb="FF000000"/>
        <rFont val="Aptos Narrow"/>
        <scheme val="minor"/>
      </rPr>
      <t xml:space="preserve"> Eat fish or seafood for a meal in a week</t>
    </r>
  </si>
  <si>
    <r>
      <rPr>
        <b/>
        <sz val="10"/>
        <color rgb="FF000000"/>
        <rFont val="Aptos Narrow"/>
        <scheme val="minor"/>
      </rPr>
      <t>Activity log:</t>
    </r>
    <r>
      <rPr>
        <sz val="10"/>
        <color rgb="FF000000"/>
        <rFont val="Aptos Narrow"/>
        <scheme val="minor"/>
      </rPr>
      <t xml:space="preserve"> Eat fish or seafood for 2 meals in a week</t>
    </r>
  </si>
  <si>
    <r>
      <rPr>
        <b/>
        <sz val="10"/>
        <color rgb="FF000000"/>
        <rFont val="Aptos Narrow"/>
        <scheme val="minor"/>
      </rPr>
      <t>Activity log:</t>
    </r>
    <r>
      <rPr>
        <sz val="10"/>
        <color rgb="FF000000"/>
        <rFont val="Aptos Narrow"/>
        <scheme val="minor"/>
      </rPr>
      <t xml:space="preserve"> Eat fish or seafood for 2 days in a week</t>
    </r>
  </si>
  <si>
    <r>
      <rPr>
        <b/>
        <sz val="10"/>
        <color rgb="FF000000"/>
        <rFont val="Aptos Narrow"/>
        <scheme val="minor"/>
      </rPr>
      <t>Activity log:</t>
    </r>
    <r>
      <rPr>
        <sz val="10"/>
        <color rgb="FF000000"/>
        <rFont val="Aptos Narrow"/>
        <scheme val="minor"/>
      </rPr>
      <t xml:space="preserve"> Eat two different fish or seafood for 2 days in a week</t>
    </r>
  </si>
  <si>
    <t>DN7</t>
  </si>
  <si>
    <t>water consumption</t>
  </si>
  <si>
    <t xml:space="preserve">DN7 </t>
  </si>
  <si>
    <t>Drink water per day Reduce sugar sweetened beverage (SSB), sugar, and sweetners ("Drink up!")</t>
  </si>
  <si>
    <t>item 111</t>
  </si>
  <si>
    <r>
      <rPr>
        <b/>
        <sz val="11"/>
        <color rgb="FF000000"/>
        <rFont val="Aptos Narrow"/>
        <scheme val="minor"/>
      </rPr>
      <t>Survey Question:</t>
    </r>
    <r>
      <rPr>
        <sz val="11"/>
        <color rgb="FF000000"/>
        <rFont val="Aptos Narrow"/>
        <scheme val="minor"/>
      </rPr>
      <t xml:space="preserve">  Current intake of water</t>
    </r>
  </si>
  <si>
    <r>
      <rPr>
        <b/>
        <sz val="10"/>
        <color rgb="FF000000"/>
        <rFont val="Aptos Narrow"/>
        <scheme val="minor"/>
      </rPr>
      <t>Info tips - Activity log:</t>
    </r>
    <r>
      <rPr>
        <sz val="10"/>
        <color rgb="FF000000"/>
        <rFont val="Aptos Narrow"/>
        <scheme val="minor"/>
      </rPr>
      <t xml:space="preserve"> foods with the highest water content</t>
    </r>
  </si>
  <si>
    <r>
      <rPr>
        <b/>
        <sz val="10"/>
        <color rgb="FF000000"/>
        <rFont val="Aptos Narrow"/>
        <scheme val="minor"/>
      </rPr>
      <t>Tips/Info:</t>
    </r>
    <r>
      <rPr>
        <sz val="10"/>
        <color rgb="FF000000"/>
        <rFont val="Aptos Narrow"/>
        <scheme val="minor"/>
      </rPr>
      <t xml:space="preserve"> health benefits of drinking water</t>
    </r>
  </si>
  <si>
    <r>
      <rPr>
        <b/>
        <sz val="10"/>
        <color rgb="FF000000"/>
        <rFont val="Aptos Narrow"/>
        <scheme val="minor"/>
      </rPr>
      <t>Tips/Info:</t>
    </r>
    <r>
      <rPr>
        <sz val="10"/>
        <color rgb="FF000000"/>
        <rFont val="Aptos Narrow"/>
        <scheme val="minor"/>
      </rPr>
      <t xml:space="preserve"> Ways to incorporate healthy drinking habits in the diet</t>
    </r>
  </si>
  <si>
    <r>
      <rPr>
        <b/>
        <sz val="10"/>
        <color rgb="FF000000"/>
        <rFont val="Aptos Narrow"/>
        <scheme val="minor"/>
      </rPr>
      <t>Activity Log (Photo):</t>
    </r>
    <r>
      <rPr>
        <sz val="10"/>
        <color rgb="FF000000"/>
        <rFont val="Aptos Narrow"/>
        <scheme val="minor"/>
      </rPr>
      <t xml:space="preserve"> Decorate your water bottle or cup</t>
    </r>
  </si>
  <si>
    <r>
      <t xml:space="preserve">Activity log: </t>
    </r>
    <r>
      <rPr>
        <sz val="10"/>
        <color rgb="FF000000"/>
        <rFont val="Aptos Narrow"/>
        <scheme val="minor"/>
      </rPr>
      <t>water bingo, get a sticker for each glass of water, drink 4 glasses of water per day during a week</t>
    </r>
  </si>
  <si>
    <r>
      <rPr>
        <b/>
        <sz val="10"/>
        <color rgb="FF000000"/>
        <rFont val="Aptos Narrow"/>
        <scheme val="minor"/>
      </rPr>
      <t xml:space="preserve">Activity log: </t>
    </r>
    <r>
      <rPr>
        <sz val="10"/>
        <color rgb="FF000000"/>
        <rFont val="Aptos Narrow"/>
        <scheme val="minor"/>
      </rPr>
      <t>continue</t>
    </r>
    <r>
      <rPr>
        <b/>
        <sz val="10"/>
        <color rgb="FF000000"/>
        <rFont val="Aptos Narrow"/>
        <scheme val="minor"/>
      </rPr>
      <t xml:space="preserve"> </t>
    </r>
    <r>
      <rPr>
        <sz val="10"/>
        <color rgb="FF000000"/>
        <rFont val="Aptos Narrow"/>
        <scheme val="minor"/>
      </rPr>
      <t>drinking 4 glasses of water per day, if you drink anything else except water and milk, replace at least 1 portion of these drinks with water 3 times per week</t>
    </r>
  </si>
  <si>
    <r>
      <t xml:space="preserve">Activity log: </t>
    </r>
    <r>
      <rPr>
        <sz val="10"/>
        <color rgb="FF000000"/>
        <rFont val="Aptos Narrow"/>
        <scheme val="minor"/>
      </rPr>
      <t xml:space="preserve">continue drinking 4 glasses of water per day, take your water bottle for a walk </t>
    </r>
  </si>
  <si>
    <r>
      <rPr>
        <b/>
        <sz val="10"/>
        <color rgb="FF000000"/>
        <rFont val="Aptos Narrow"/>
        <scheme val="minor"/>
      </rPr>
      <t xml:space="preserve">Activity log: </t>
    </r>
    <r>
      <rPr>
        <sz val="10"/>
        <color rgb="FF000000"/>
        <rFont val="Aptos Narrow"/>
        <scheme val="minor"/>
      </rPr>
      <t>continue</t>
    </r>
    <r>
      <rPr>
        <b/>
        <sz val="10"/>
        <color rgb="FF000000"/>
        <rFont val="Aptos Narrow"/>
        <scheme val="minor"/>
      </rPr>
      <t xml:space="preserve"> </t>
    </r>
    <r>
      <rPr>
        <sz val="10"/>
        <color rgb="FF000000"/>
        <rFont val="Aptos Narrow"/>
        <scheme val="minor"/>
      </rPr>
      <t>drinking 4 glasses of water per day, if you drink anything else except water and milk, replace at least 1 portion of these drinks with water every day during the week</t>
    </r>
  </si>
  <si>
    <r>
      <rPr>
        <b/>
        <sz val="10"/>
        <color rgb="FF000000"/>
        <rFont val="Aptos Narrow"/>
        <scheme val="minor"/>
      </rPr>
      <t>Activity log:</t>
    </r>
    <r>
      <rPr>
        <sz val="10"/>
        <color rgb="FF000000"/>
        <rFont val="Aptos Narrow"/>
        <scheme val="minor"/>
      </rPr>
      <t xml:space="preserve"> This week drink 5 glasses of water per day</t>
    </r>
  </si>
  <si>
    <r>
      <rPr>
        <b/>
        <sz val="10"/>
        <color rgb="FF000000"/>
        <rFont val="Aptos Narrow"/>
        <scheme val="minor"/>
      </rPr>
      <t>Activity log:</t>
    </r>
    <r>
      <rPr>
        <sz val="10"/>
        <color rgb="FF000000"/>
        <rFont val="Aptos Narrow"/>
        <scheme val="minor"/>
      </rPr>
      <t xml:space="preserve"> This week drink 6 glasses of water per day</t>
    </r>
  </si>
  <si>
    <r>
      <t xml:space="preserve">Activity Log (Photo): </t>
    </r>
    <r>
      <rPr>
        <sz val="10"/>
        <color rgb="FF000000"/>
        <rFont val="Aptos Narrow"/>
        <scheme val="minor"/>
      </rPr>
      <t>make fancy ice cubes</t>
    </r>
  </si>
  <si>
    <t>DN8</t>
  </si>
  <si>
    <t>Choose local and seasonal food</t>
  </si>
  <si>
    <t>DN8- A</t>
  </si>
  <si>
    <t>Choose local and seasonal food ("Seasonal swap!</t>
  </si>
  <si>
    <t>Gamebus self-report questions</t>
  </si>
  <si>
    <r>
      <rPr>
        <b/>
        <sz val="11"/>
        <color rgb="FF000000"/>
        <rFont val="Aptos Narrow"/>
        <scheme val="minor"/>
      </rPr>
      <t>Survey Question:</t>
    </r>
    <r>
      <rPr>
        <sz val="11"/>
        <color rgb="FF000000"/>
        <rFont val="Aptos Narrow"/>
        <scheme val="minor"/>
      </rPr>
      <t xml:space="preserve">  Local and seasonal food</t>
    </r>
  </si>
  <si>
    <r>
      <rPr>
        <b/>
        <sz val="10"/>
        <color rgb="FF000000"/>
        <rFont val="Aptos Narrow"/>
        <scheme val="minor"/>
      </rPr>
      <t>Survey Question - Activity log:</t>
    </r>
    <r>
      <rPr>
        <sz val="10"/>
        <color rgb="FF000000"/>
        <rFont val="Aptos Narrow"/>
        <scheme val="minor"/>
      </rPr>
      <t xml:space="preserve"> favourite local and seasonal products</t>
    </r>
  </si>
  <si>
    <r>
      <rPr>
        <b/>
        <sz val="10"/>
        <color rgb="FF000000"/>
        <rFont val="Aptos Narrow"/>
        <scheme val="minor"/>
      </rPr>
      <t>Tips/Info:</t>
    </r>
    <r>
      <rPr>
        <sz val="10"/>
        <color rgb="FF000000"/>
        <rFont val="Aptos Narrow"/>
        <scheme val="minor"/>
      </rPr>
      <t xml:space="preserve"> Benefits of local and seasonal</t>
    </r>
  </si>
  <si>
    <r>
      <rPr>
        <b/>
        <sz val="10"/>
        <color rgb="FF000000"/>
        <rFont val="Aptos Narrow"/>
        <scheme val="minor"/>
      </rPr>
      <t>Tips/Info:</t>
    </r>
    <r>
      <rPr>
        <sz val="10"/>
        <color rgb="FF000000"/>
        <rFont val="Aptos Narrow"/>
        <scheme val="minor"/>
      </rPr>
      <t xml:space="preserve"> Ways to incorporate local and seasonal products in the diet</t>
    </r>
  </si>
  <si>
    <r>
      <rPr>
        <b/>
        <sz val="10"/>
        <color rgb="FF000000"/>
        <rFont val="Aptos Narrow"/>
        <scheme val="minor"/>
      </rPr>
      <t>Instruction:</t>
    </r>
    <r>
      <rPr>
        <sz val="10"/>
        <color rgb="FF000000"/>
        <rFont val="Aptos Narrow"/>
        <scheme val="minor"/>
      </rPr>
      <t xml:space="preserve"> visit a local supermarket and find three local and three seasonal foods there</t>
    </r>
  </si>
  <si>
    <r>
      <t xml:space="preserve">Activity log (Photo): </t>
    </r>
    <r>
      <rPr>
        <sz val="10"/>
        <color rgb="FF000000"/>
        <rFont val="Aptos Narrow"/>
        <scheme val="minor"/>
      </rPr>
      <t>go for shopping with parents and take a photo of local and seasonal foods that you choose</t>
    </r>
  </si>
  <si>
    <r>
      <t xml:space="preserve">Activity log: </t>
    </r>
    <r>
      <rPr>
        <sz val="10"/>
        <color rgb="FF000000"/>
        <rFont val="Aptos Narrow"/>
        <scheme val="minor"/>
      </rPr>
      <t>eat a local and seasonal foods at least 1 time per week</t>
    </r>
  </si>
  <si>
    <r>
      <t xml:space="preserve">Activity log: </t>
    </r>
    <r>
      <rPr>
        <sz val="10"/>
        <color rgb="FF000000"/>
        <rFont val="Aptos Narrow"/>
        <scheme val="minor"/>
      </rPr>
      <t>eat a local and seasonal foods at least 2 times per week</t>
    </r>
  </si>
  <si>
    <r>
      <t xml:space="preserve">Activity log: </t>
    </r>
    <r>
      <rPr>
        <sz val="10"/>
        <color rgb="FF000000"/>
        <rFont val="Aptos Narrow"/>
        <scheme val="minor"/>
      </rPr>
      <t>eat a local and seasonal foods at least 3 times per week</t>
    </r>
  </si>
  <si>
    <r>
      <t xml:space="preserve">Activity log: </t>
    </r>
    <r>
      <rPr>
        <sz val="10"/>
        <color rgb="FF000000"/>
        <rFont val="Aptos Narrow"/>
        <scheme val="minor"/>
      </rPr>
      <t>eat a local and seasonal foods at least 4 times per week</t>
    </r>
  </si>
  <si>
    <r>
      <t xml:space="preserve">Activity log: </t>
    </r>
    <r>
      <rPr>
        <sz val="10"/>
        <color rgb="FF000000"/>
        <rFont val="Aptos Narrow"/>
        <scheme val="minor"/>
      </rPr>
      <t>eat a local and seasonal foods at least 5 times per week</t>
    </r>
  </si>
  <si>
    <r>
      <t xml:space="preserve">Activity log: </t>
    </r>
    <r>
      <rPr>
        <sz val="10"/>
        <color rgb="FF000000"/>
        <rFont val="Aptos Narrow"/>
        <scheme val="minor"/>
      </rPr>
      <t>eat a local and seasonal foods at least 6 times per week</t>
    </r>
  </si>
  <si>
    <r>
      <t xml:space="preserve">Activity log: </t>
    </r>
    <r>
      <rPr>
        <sz val="10"/>
        <color rgb="FF000000"/>
        <rFont val="Aptos Narrow"/>
        <scheme val="minor"/>
      </rPr>
      <t>eat a local and seasonal foods every day during a week</t>
    </r>
  </si>
  <si>
    <t>DN9</t>
  </si>
  <si>
    <t>(Practice) a sustainable and healthy meal</t>
  </si>
  <si>
    <t>DN9- A</t>
  </si>
  <si>
    <t>Practice a sustainable and healthy meal ("Healthy Choices for a Healthy Planet")</t>
  </si>
  <si>
    <r>
      <rPr>
        <b/>
        <sz val="11"/>
        <color rgb="FF000000"/>
        <rFont val="Aptos Narrow"/>
        <scheme val="minor"/>
      </rPr>
      <t>Survey Question:</t>
    </r>
    <r>
      <rPr>
        <sz val="11"/>
        <color rgb="FF000000"/>
        <rFont val="Aptos Narrow"/>
        <scheme val="minor"/>
      </rPr>
      <t xml:space="preserve">  sustainable and healthy meal</t>
    </r>
  </si>
  <si>
    <r>
      <rPr>
        <b/>
        <sz val="10"/>
        <color rgb="FF000000"/>
        <rFont val="Aptos Narrow"/>
        <scheme val="minor"/>
      </rPr>
      <t>Survey Question - Activity log:</t>
    </r>
    <r>
      <rPr>
        <sz val="10"/>
        <color rgb="FF000000"/>
        <rFont val="Aptos Narrow"/>
        <scheme val="minor"/>
      </rPr>
      <t xml:space="preserve"> favourite  sustainable and healthy meal</t>
    </r>
  </si>
  <si>
    <r>
      <rPr>
        <b/>
        <sz val="10"/>
        <color rgb="FF000000"/>
        <rFont val="Aptos Narrow"/>
        <scheme val="minor"/>
      </rPr>
      <t>Tips/Info:</t>
    </r>
    <r>
      <rPr>
        <sz val="10"/>
        <color rgb="FF000000"/>
        <rFont val="Aptos Narrow"/>
        <scheme val="minor"/>
      </rPr>
      <t xml:space="preserve"> Benefits of sustainable and healthy meal</t>
    </r>
  </si>
  <si>
    <r>
      <rPr>
        <b/>
        <sz val="10"/>
        <color rgb="FF000000"/>
        <rFont val="Aptos Narrow"/>
        <scheme val="minor"/>
      </rPr>
      <t>Tips/Info:</t>
    </r>
    <r>
      <rPr>
        <sz val="10"/>
        <color rgb="FF000000"/>
        <rFont val="Aptos Narrow"/>
        <scheme val="minor"/>
      </rPr>
      <t xml:space="preserve"> Ways to incorporate sustainable and healthy meal in the diet</t>
    </r>
  </si>
  <si>
    <r>
      <rPr>
        <b/>
        <sz val="10"/>
        <color rgb="FF000000"/>
        <rFont val="Aptos Narrow"/>
        <scheme val="minor"/>
      </rPr>
      <t xml:space="preserve">Activity Log (Photo): </t>
    </r>
    <r>
      <rPr>
        <sz val="10"/>
        <color rgb="FF000000"/>
        <rFont val="Aptos Narrow"/>
        <scheme val="minor"/>
      </rPr>
      <t>find a recipe of sustainable and healthy meal in the coockbook that you have in the household</t>
    </r>
  </si>
  <si>
    <r>
      <t xml:space="preserve">Activity log: </t>
    </r>
    <r>
      <rPr>
        <sz val="10"/>
        <color rgb="FF000000"/>
        <rFont val="Aptos Narrow"/>
        <scheme val="minor"/>
      </rPr>
      <t>plan a sustainable and healthy meal and cook it with your child</t>
    </r>
  </si>
  <si>
    <r>
      <t xml:space="preserve">Activity log: </t>
    </r>
    <r>
      <rPr>
        <sz val="10"/>
        <color rgb="FF000000"/>
        <rFont val="Aptos Narrow"/>
        <scheme val="minor"/>
      </rPr>
      <t>eat a sustainable and healthy meal at least 1 time per week</t>
    </r>
  </si>
  <si>
    <r>
      <t xml:space="preserve">Activity log: </t>
    </r>
    <r>
      <rPr>
        <sz val="10"/>
        <color rgb="FF000000"/>
        <rFont val="Aptos Narrow"/>
        <scheme val="minor"/>
      </rPr>
      <t>eat a sustainable and healthy meal at least 2 times per week</t>
    </r>
  </si>
  <si>
    <r>
      <t xml:space="preserve">Activity log: </t>
    </r>
    <r>
      <rPr>
        <sz val="10"/>
        <color rgb="FF000000"/>
        <rFont val="Aptos Narrow"/>
        <scheme val="minor"/>
      </rPr>
      <t>eat a sustainable and healthy meal at least 3 times per week</t>
    </r>
  </si>
  <si>
    <r>
      <t xml:space="preserve">Activity log: </t>
    </r>
    <r>
      <rPr>
        <sz val="10"/>
        <color rgb="FF000000"/>
        <rFont val="Aptos Narrow"/>
        <scheme val="minor"/>
      </rPr>
      <t>eat a sustainable and healthy meal at least 4 times per week</t>
    </r>
  </si>
  <si>
    <r>
      <t xml:space="preserve">Activity log: </t>
    </r>
    <r>
      <rPr>
        <sz val="10"/>
        <color rgb="FF000000"/>
        <rFont val="Aptos Narrow"/>
        <scheme val="minor"/>
      </rPr>
      <t>eat a sustainable and healthy meal at least 4 times per week during 2 weeks</t>
    </r>
  </si>
  <si>
    <r>
      <t xml:space="preserve">Activity log: </t>
    </r>
    <r>
      <rPr>
        <sz val="10"/>
        <color rgb="FF000000"/>
        <rFont val="Aptos Narrow"/>
        <scheme val="minor"/>
      </rPr>
      <t>eat a sustainable and healthy meal at least 4 times per week during 3 weeks</t>
    </r>
  </si>
  <si>
    <r>
      <t xml:space="preserve">Activity log: </t>
    </r>
    <r>
      <rPr>
        <sz val="10"/>
        <color rgb="FF000000"/>
        <rFont val="Aptos Narrow"/>
        <scheme val="minor"/>
      </rPr>
      <t>eat a sustainable and healthy meal at least 4 times per week during a month</t>
    </r>
  </si>
  <si>
    <t>DN10</t>
  </si>
  <si>
    <t>(Reduce) food waste</t>
  </si>
  <si>
    <t>DN10 - A</t>
  </si>
  <si>
    <t>Reduce food waste ("Eat smart, waste less")</t>
  </si>
  <si>
    <r>
      <rPr>
        <b/>
        <sz val="11"/>
        <color rgb="FF000000"/>
        <rFont val="Aptos Narrow"/>
        <scheme val="minor"/>
      </rPr>
      <t>Survey Question:</t>
    </r>
    <r>
      <rPr>
        <sz val="11"/>
        <color rgb="FF000000"/>
        <rFont val="Aptos Narrow"/>
        <scheme val="minor"/>
      </rPr>
      <t xml:space="preserve">  food wasting</t>
    </r>
  </si>
  <si>
    <r>
      <rPr>
        <b/>
        <sz val="10"/>
        <color rgb="FF000000"/>
        <rFont val="Aptos Narrow"/>
        <scheme val="minor"/>
      </rPr>
      <t>Tips/Info:</t>
    </r>
    <r>
      <rPr>
        <sz val="10"/>
        <color rgb="FF000000"/>
        <rFont val="Aptos Narrow"/>
        <scheme val="minor"/>
      </rPr>
      <t xml:space="preserve"> Benefits of reducing of food wasting</t>
    </r>
  </si>
  <si>
    <r>
      <rPr>
        <b/>
        <sz val="10"/>
        <color rgb="FF000000"/>
        <rFont val="Aptos Narrow"/>
        <scheme val="minor"/>
      </rPr>
      <t>Tips/Info:</t>
    </r>
    <r>
      <rPr>
        <sz val="10"/>
        <color rgb="FF000000"/>
        <rFont val="Aptos Narrow"/>
        <scheme val="minor"/>
      </rPr>
      <t xml:space="preserve"> Risks of increased food waste</t>
    </r>
  </si>
  <si>
    <r>
      <rPr>
        <b/>
        <sz val="10"/>
        <color rgb="FF000000"/>
        <rFont val="Aptos Narrow"/>
        <scheme val="minor"/>
      </rPr>
      <t>Tips/Info:</t>
    </r>
    <r>
      <rPr>
        <sz val="10"/>
        <color rgb="FF000000"/>
        <rFont val="Aptos Narrow"/>
        <scheme val="minor"/>
      </rPr>
      <t xml:space="preserve"> Ways to reduce food waste</t>
    </r>
  </si>
  <si>
    <r>
      <rPr>
        <b/>
        <sz val="10"/>
        <color rgb="FF000000"/>
        <rFont val="Aptos Narrow"/>
        <scheme val="minor"/>
      </rPr>
      <t>Activity Log:</t>
    </r>
    <r>
      <rPr>
        <sz val="10"/>
        <color rgb="FF000000"/>
        <rFont val="Aptos Narrow"/>
        <scheme val="minor"/>
      </rPr>
      <t xml:space="preserve"> plan your weekly shopping with your child considering to reduce food wasting</t>
    </r>
  </si>
  <si>
    <r>
      <t>Activity log:</t>
    </r>
    <r>
      <rPr>
        <sz val="10"/>
        <color rgb="FF000000"/>
        <rFont val="Aptos Narrow"/>
        <scheme val="minor"/>
      </rPr>
      <t xml:space="preserve"> let your child serve a portion for themself</t>
    </r>
  </si>
  <si>
    <r>
      <t xml:space="preserve">Activity log: </t>
    </r>
    <r>
      <rPr>
        <sz val="10"/>
        <color rgb="FF000000"/>
        <rFont val="Aptos Narrow"/>
        <scheme val="minor"/>
      </rPr>
      <t>challenge your child to create a new dish from leftovers, give the dish a fun name, share picture with us</t>
    </r>
  </si>
  <si>
    <r>
      <t xml:space="preserve">Activity log: </t>
    </r>
    <r>
      <rPr>
        <sz val="10"/>
        <color rgb="FF000000"/>
        <rFont val="Aptos Narrow"/>
        <scheme val="minor"/>
      </rPr>
      <t>create a food waste tracker chart - get a sticker for the finished meals or for saving leftovers</t>
    </r>
  </si>
  <si>
    <r>
      <t>Activity log</t>
    </r>
    <r>
      <rPr>
        <sz val="10"/>
        <color rgb="FF000000"/>
        <rFont val="Aptos Narrow"/>
        <scheme val="minor"/>
      </rPr>
      <t>:using the food waste tracker, check if you had a zero food waste this week</t>
    </r>
  </si>
  <si>
    <r>
      <t xml:space="preserve">Activity log: </t>
    </r>
    <r>
      <rPr>
        <sz val="10"/>
        <color rgb="FF000000"/>
        <rFont val="Aptos Narrow"/>
        <scheme val="minor"/>
      </rPr>
      <t>keep zero waste level at least for1 day per week</t>
    </r>
  </si>
  <si>
    <r>
      <t xml:space="preserve">Activity log: </t>
    </r>
    <r>
      <rPr>
        <sz val="10"/>
        <color rgb="FF000000"/>
        <rFont val="Aptos Narrow"/>
        <scheme val="minor"/>
      </rPr>
      <t>keep zero waste level at least for 3 day per week</t>
    </r>
  </si>
  <si>
    <r>
      <t xml:space="preserve">Activity log: </t>
    </r>
    <r>
      <rPr>
        <sz val="10"/>
        <color rgb="FF000000"/>
        <rFont val="Aptos Narrow"/>
        <scheme val="minor"/>
      </rPr>
      <t>keep zero waste level at least for 5 day per week</t>
    </r>
  </si>
  <si>
    <r>
      <t xml:space="preserve">Activity log: </t>
    </r>
    <r>
      <rPr>
        <sz val="10"/>
        <color rgb="FF000000"/>
        <rFont val="Aptos Narrow"/>
        <scheme val="minor"/>
      </rPr>
      <t>keep zero waste level at least for one week</t>
    </r>
  </si>
  <si>
    <t>DN12</t>
  </si>
  <si>
    <t>(Read) nutrition labels</t>
  </si>
  <si>
    <t>DN12 - A</t>
  </si>
  <si>
    <t>Read nutrition labels ("Read It Right ")</t>
  </si>
  <si>
    <r>
      <rPr>
        <b/>
        <sz val="11"/>
        <color rgb="FF000000"/>
        <rFont val="Aptos Narrow"/>
        <scheme val="minor"/>
      </rPr>
      <t>Survey Question:</t>
    </r>
    <r>
      <rPr>
        <sz val="11"/>
        <color rgb="FF000000"/>
        <rFont val="Aptos Narrow"/>
        <scheme val="minor"/>
      </rPr>
      <t xml:space="preserve">  nutrition labels awareness</t>
    </r>
  </si>
  <si>
    <r>
      <rPr>
        <b/>
        <sz val="11"/>
        <color rgb="FF000000"/>
        <rFont val="Aptos Narrow"/>
        <scheme val="minor"/>
      </rPr>
      <t>Survey Question:</t>
    </r>
    <r>
      <rPr>
        <sz val="11"/>
        <color rgb="FF000000"/>
        <rFont val="Aptos Narrow"/>
        <scheme val="minor"/>
      </rPr>
      <t xml:space="preserve">  why it is important to read the labels</t>
    </r>
  </si>
  <si>
    <r>
      <rPr>
        <b/>
        <sz val="10"/>
        <color rgb="FF000000"/>
        <rFont val="Aptos Narrow"/>
        <scheme val="minor"/>
      </rPr>
      <t>Tips/Info:</t>
    </r>
    <r>
      <rPr>
        <sz val="10"/>
        <color rgb="FF000000"/>
        <rFont val="Aptos Narrow"/>
        <scheme val="minor"/>
      </rPr>
      <t xml:space="preserve"> basic understanding of food labels</t>
    </r>
  </si>
  <si>
    <r>
      <rPr>
        <b/>
        <sz val="10"/>
        <color rgb="FF000000"/>
        <rFont val="Aptos Narrow"/>
        <scheme val="minor"/>
      </rPr>
      <t>Tips/Info:</t>
    </r>
    <r>
      <rPr>
        <sz val="10"/>
        <color rgb="FF000000"/>
        <rFont val="Aptos Narrow"/>
        <scheme val="minor"/>
      </rPr>
      <t xml:space="preserve"> basic understanding of serving size, calories' considerations and nutrients</t>
    </r>
  </si>
  <si>
    <r>
      <rPr>
        <b/>
        <sz val="10"/>
        <color rgb="FF000000"/>
        <rFont val="Aptos Narrow"/>
        <scheme val="minor"/>
      </rPr>
      <t xml:space="preserve">Instruction (Act log) </t>
    </r>
    <r>
      <rPr>
        <sz val="10"/>
        <color rgb="FF000000"/>
        <rFont val="Aptos Narrow"/>
        <scheme val="minor"/>
      </rPr>
      <t>: Family shopping</t>
    </r>
  </si>
  <si>
    <r>
      <rPr>
        <b/>
        <sz val="10"/>
        <color rgb="FF000000"/>
        <rFont val="Aptos Narrow"/>
        <scheme val="minor"/>
      </rPr>
      <t xml:space="preserve">Instruction (Act log) </t>
    </r>
    <r>
      <rPr>
        <sz val="10"/>
        <color rgb="FF000000"/>
        <rFont val="Aptos Narrow"/>
        <scheme val="minor"/>
      </rPr>
      <t>: Design your own label for the favorite food</t>
    </r>
  </si>
  <si>
    <r>
      <t xml:space="preserve">Activity log: </t>
    </r>
    <r>
      <rPr>
        <sz val="10"/>
        <color rgb="FF000000"/>
        <rFont val="Aptos Narrow"/>
        <scheme val="minor"/>
      </rPr>
      <t xml:space="preserve">great lunchbox challenge </t>
    </r>
  </si>
  <si>
    <r>
      <t xml:space="preserve">Activity log: </t>
    </r>
    <r>
      <rPr>
        <sz val="10"/>
        <color rgb="FF000000"/>
        <rFont val="Aptos Narrow"/>
        <scheme val="minor"/>
      </rPr>
      <t>"find a box" challenge</t>
    </r>
  </si>
  <si>
    <r>
      <t xml:space="preserve">Activity log: </t>
    </r>
    <r>
      <rPr>
        <sz val="10"/>
        <color rgb="FF000000"/>
        <rFont val="Aptos Narrow"/>
        <scheme val="minor"/>
      </rPr>
      <t>"replacement game" at home or in the restaurant</t>
    </r>
  </si>
  <si>
    <r>
      <t xml:space="preserve">Activity log: </t>
    </r>
    <r>
      <rPr>
        <sz val="10"/>
        <color rgb="FF000000"/>
        <rFont val="Aptos Narrow"/>
        <scheme val="minor"/>
      </rPr>
      <t>"healthy detective" game</t>
    </r>
  </si>
  <si>
    <r>
      <t xml:space="preserve">Activity log: </t>
    </r>
    <r>
      <rPr>
        <sz val="10"/>
        <color rgb="FF000000"/>
        <rFont val="Aptos Narrow"/>
        <scheme val="minor"/>
      </rPr>
      <t>great lunchbox challenge 1 time per week</t>
    </r>
  </si>
  <si>
    <r>
      <t xml:space="preserve">Activity log: </t>
    </r>
    <r>
      <rPr>
        <sz val="10"/>
        <color rgb="FF000000"/>
        <rFont val="Aptos Narrow"/>
        <scheme val="minor"/>
      </rPr>
      <t>"find a box" challenge 1 time per week</t>
    </r>
  </si>
  <si>
    <r>
      <t xml:space="preserve">Activity log: </t>
    </r>
    <r>
      <rPr>
        <sz val="10"/>
        <color rgb="FF000000"/>
        <rFont val="Aptos Narrow"/>
        <scheme val="minor"/>
      </rPr>
      <t>"replacement game" at home or in the restaurant 1 time per week</t>
    </r>
  </si>
  <si>
    <r>
      <t xml:space="preserve">Activity log: </t>
    </r>
    <r>
      <rPr>
        <sz val="10"/>
        <color rgb="FF000000"/>
        <rFont val="Aptos Narrow"/>
        <scheme val="minor"/>
      </rPr>
      <t>"healthy detective" game 1 time per week</t>
    </r>
  </si>
  <si>
    <t>Mental/ Mindfulness</t>
  </si>
  <si>
    <t>Sleep, Energy and Routine</t>
  </si>
  <si>
    <t>M1 - A</t>
  </si>
  <si>
    <t>Sleep</t>
  </si>
  <si>
    <t>Kidscreen-10</t>
  </si>
  <si>
    <r>
      <rPr>
        <sz val="11"/>
        <color rgb="FF000000"/>
        <rFont val="Aptos Narrow"/>
        <scheme val="minor"/>
      </rPr>
      <t>Have you felt full of energy?</t>
    </r>
    <r>
      <rPr>
        <i/>
        <sz val="11"/>
        <color rgb="FF000000"/>
        <rFont val="Aptos Narrow"/>
        <scheme val="minor"/>
      </rPr>
      <t xml:space="preserve"> Have you felt fit and well?</t>
    </r>
  </si>
  <si>
    <r>
      <rPr>
        <b/>
        <sz val="11"/>
        <color rgb="FF000000"/>
        <rFont val="Aptos Narrow"/>
      </rPr>
      <t>Video</t>
    </r>
    <r>
      <rPr>
        <sz val="11"/>
        <color rgb="FF000000"/>
        <rFont val="Aptos Narrow"/>
      </rPr>
      <t>: Watch a short cartoon about what happens in a body when you sleep.</t>
    </r>
  </si>
  <si>
    <r>
      <rPr>
        <b/>
        <sz val="10"/>
        <color rgb="FF000000"/>
        <rFont val="Aptos Narrow"/>
      </rPr>
      <t>Survey</t>
    </r>
    <r>
      <rPr>
        <sz val="10"/>
        <color rgb="FF000000"/>
        <rFont val="Aptos Narrow"/>
      </rPr>
      <t>: Look around your house: where do people sleep? What do you like about your bedroom? Who goes to bed early or late? What do you do when you go to bed?</t>
    </r>
  </si>
  <si>
    <r>
      <rPr>
        <b/>
        <sz val="10"/>
        <color rgb="FF000000"/>
        <rFont val="Aptos Narrow"/>
      </rPr>
      <t>Survey:</t>
    </r>
    <r>
      <rPr>
        <sz val="10"/>
        <color rgb="FF000000"/>
        <rFont val="Aptos Narrow"/>
      </rPr>
      <t xml:space="preserve"> What makes sleeping (or going to bed) harder for you? </t>
    </r>
  </si>
  <si>
    <r>
      <rPr>
        <b/>
        <sz val="10"/>
        <color rgb="FF000000"/>
        <rFont val="Aptos Narrow"/>
      </rPr>
      <t>Tips/Info:</t>
    </r>
    <r>
      <rPr>
        <sz val="10"/>
        <color rgb="FF000000"/>
        <rFont val="Aptos Narrow"/>
      </rPr>
      <t xml:space="preserve"> What helps better sleeping (or going to bed) ? </t>
    </r>
  </si>
  <si>
    <r>
      <rPr>
        <b/>
        <sz val="10"/>
        <color rgb="FF000000"/>
        <rFont val="Aptos Narrow"/>
      </rPr>
      <t xml:space="preserve">Instruction: </t>
    </r>
    <r>
      <rPr>
        <sz val="10"/>
        <color rgb="FF000000"/>
        <rFont val="Aptos Narrow"/>
      </rPr>
      <t>apply small changes to make the bedroom a sleep paradise (dim lights, screens away, soft pillow)</t>
    </r>
  </si>
  <si>
    <r>
      <rPr>
        <b/>
        <sz val="10"/>
        <color rgb="FF000000"/>
        <rFont val="Aptos Narrow"/>
      </rPr>
      <t>Instruction:</t>
    </r>
    <r>
      <rPr>
        <sz val="10"/>
        <color rgb="FF000000"/>
        <rFont val="Aptos Narrow"/>
      </rPr>
      <t xml:space="preserve"> choose 1-2 thing you and 1-2 thing the parent wants you to do before bedtime (hug, wearing pyjama, brushing, flossing, shower)</t>
    </r>
  </si>
  <si>
    <r>
      <rPr>
        <b/>
        <sz val="10"/>
        <color rgb="FF000000"/>
        <rFont val="Aptos Narrow"/>
      </rPr>
      <t xml:space="preserve">Activity Log: </t>
    </r>
    <r>
      <rPr>
        <sz val="10"/>
        <color rgb="FF000000"/>
        <rFont val="Aptos Narrow"/>
      </rPr>
      <t>Do your bedtime routine before sleep at a selected bedtime</t>
    </r>
  </si>
  <si>
    <r>
      <rPr>
        <b/>
        <sz val="10"/>
        <color rgb="FF000000"/>
        <rFont val="Aptos Narrow"/>
      </rPr>
      <t xml:space="preserve">Activity Log: </t>
    </r>
    <r>
      <rPr>
        <sz val="10"/>
        <color rgb="FF000000"/>
        <rFont val="Aptos Narrow"/>
      </rPr>
      <t>Before the bedtime routine add a no device policy and replace the screen with something else (read a story, make a drawing/puzzle, play a game)</t>
    </r>
  </si>
  <si>
    <r>
      <rPr>
        <b/>
        <sz val="10"/>
        <color rgb="FF000000"/>
        <rFont val="Aptos Narrow"/>
      </rPr>
      <t xml:space="preserve">Activity Log: </t>
    </r>
    <r>
      <rPr>
        <sz val="10"/>
        <color rgb="FF000000"/>
        <rFont val="Aptos Narrow"/>
      </rPr>
      <t>Add to bedtime routine a no sugar (drinks) policy and replace with water, milk, yoghurt, fruit</t>
    </r>
  </si>
  <si>
    <r>
      <rPr>
        <b/>
        <sz val="10"/>
        <color rgb="FF000000"/>
        <rFont val="Aptos Narrow"/>
      </rPr>
      <t>Activity Log:</t>
    </r>
    <r>
      <rPr>
        <sz val="10"/>
        <color rgb="FF000000"/>
        <rFont val="Aptos Narrow"/>
      </rPr>
      <t xml:space="preserve"> Plan a wake up routine, where you let light enter the room to help waking up easier and wash your face with water or drink something</t>
    </r>
  </si>
  <si>
    <r>
      <rPr>
        <b/>
        <sz val="10"/>
        <color rgb="FF000000"/>
        <rFont val="Aptos Narrow"/>
      </rPr>
      <t xml:space="preserve">Activity log: </t>
    </r>
    <r>
      <rPr>
        <sz val="10"/>
        <color rgb="FF000000"/>
        <rFont val="Aptos Narrow"/>
      </rPr>
      <t>create a back-up solution if the routine did not work</t>
    </r>
  </si>
  <si>
    <r>
      <rPr>
        <b/>
        <sz val="10"/>
        <color rgb="FF000000"/>
        <rFont val="Aptos Narrow"/>
        <scheme val="minor"/>
      </rPr>
      <t xml:space="preserve">Activity log: </t>
    </r>
    <r>
      <rPr>
        <sz val="10"/>
        <color rgb="FF000000"/>
        <rFont val="Aptos Narrow"/>
        <scheme val="minor"/>
      </rPr>
      <t>link routine to how you feel in morning</t>
    </r>
  </si>
  <si>
    <r>
      <rPr>
        <b/>
        <sz val="10"/>
        <color rgb="FF000000"/>
        <rFont val="Aptos Narrow"/>
      </rPr>
      <t xml:space="preserve">Activity log: </t>
    </r>
    <r>
      <rPr>
        <sz val="10"/>
        <color rgb="FF000000"/>
        <rFont val="Aptos Narrow"/>
      </rPr>
      <t>do the established bedtime routine 3 days in a row</t>
    </r>
  </si>
  <si>
    <r>
      <rPr>
        <b/>
        <sz val="10"/>
        <color rgb="FF000000"/>
        <rFont val="Aptos Narrow"/>
      </rPr>
      <t xml:space="preserve">Activity log: </t>
    </r>
    <r>
      <rPr>
        <sz val="10"/>
        <color rgb="FF000000"/>
        <rFont val="Aptos Narrow"/>
      </rPr>
      <t>do the established bedtime and wake-up routine 3 days in a row</t>
    </r>
  </si>
  <si>
    <t>Concentration, Attention and Awareness</t>
  </si>
  <si>
    <t>M2- A</t>
  </si>
  <si>
    <t>Focus</t>
  </si>
  <si>
    <r>
      <rPr>
        <sz val="11"/>
        <color rgb="FF000000"/>
        <rFont val="Aptos Narrow"/>
        <scheme val="minor"/>
      </rPr>
      <t xml:space="preserve">Have you been able to pay attention? </t>
    </r>
    <r>
      <rPr>
        <i/>
        <sz val="11"/>
        <color rgb="FF000000"/>
        <rFont val="Aptos Narrow"/>
        <scheme val="minor"/>
      </rPr>
      <t>Have you got on well at school?</t>
    </r>
  </si>
  <si>
    <r>
      <rPr>
        <b/>
        <sz val="11"/>
        <color rgb="FF000000"/>
        <rFont val="Aptos Narrow"/>
        <scheme val="minor"/>
      </rPr>
      <t>Tips/Info</t>
    </r>
    <r>
      <rPr>
        <sz val="11"/>
        <color rgb="FF000000"/>
        <rFont val="Aptos Narrow"/>
        <scheme val="minor"/>
      </rPr>
      <t xml:space="preserve">:What is concentration and focus, </t>
    </r>
  </si>
  <si>
    <r>
      <rPr>
        <b/>
        <sz val="10"/>
        <color rgb="FF000000"/>
        <rFont val="Aptos Narrow"/>
      </rPr>
      <t>Quiz</t>
    </r>
    <r>
      <rPr>
        <sz val="10"/>
        <color rgb="FF000000"/>
        <rFont val="Aptos Narrow"/>
      </rPr>
      <t>: How well do you concentrate? Explore senses name things you see, hear, touch</t>
    </r>
  </si>
  <si>
    <r>
      <rPr>
        <b/>
        <sz val="10"/>
        <color rgb="FF000000"/>
        <rFont val="Aptos Narrow"/>
      </rPr>
      <t>Survey:</t>
    </r>
    <r>
      <rPr>
        <sz val="10"/>
        <color rgb="FF000000"/>
        <rFont val="Aptos Narrow"/>
      </rPr>
      <t xml:space="preserve"> Where do you concentrate best? When are you distracted? </t>
    </r>
  </si>
  <si>
    <r>
      <rPr>
        <b/>
        <sz val="10"/>
        <color rgb="FF000000"/>
        <rFont val="Aptos Narrow"/>
      </rPr>
      <t>Tips/Info:</t>
    </r>
    <r>
      <rPr>
        <sz val="10"/>
        <color rgb="FF000000"/>
        <rFont val="Aptos Narrow"/>
      </rPr>
      <t xml:space="preserve"> What helps enhance concentration and focus ? </t>
    </r>
  </si>
  <si>
    <r>
      <rPr>
        <b/>
        <sz val="11"/>
        <color rgb="FF000000"/>
        <rFont val="Aptos Narrow"/>
        <scheme val="minor"/>
      </rPr>
      <t xml:space="preserve">Instruction: </t>
    </r>
    <r>
      <rPr>
        <sz val="11"/>
        <color rgb="FF000000"/>
        <rFont val="Aptos Narrow"/>
        <scheme val="minor"/>
      </rPr>
      <t>set timer and place for screentime (and place them away during focus activities)</t>
    </r>
  </si>
  <si>
    <r>
      <rPr>
        <b/>
        <sz val="11"/>
        <color rgb="FF000000"/>
        <rFont val="Aptos Narrow"/>
        <scheme val="minor"/>
      </rPr>
      <t>Tutorial:</t>
    </r>
    <r>
      <rPr>
        <sz val="11"/>
        <color rgb="FF000000"/>
        <rFont val="Aptos Narrow"/>
        <scheme val="minor"/>
      </rPr>
      <t xml:space="preserve"> follow short relaxation exercises after focus periods (like shakes, dances, stretches)</t>
    </r>
  </si>
  <si>
    <r>
      <rPr>
        <b/>
        <sz val="11"/>
        <color rgb="FF000000"/>
        <rFont val="Aptos Narrow"/>
        <scheme val="minor"/>
      </rPr>
      <t xml:space="preserve">Activity log: </t>
    </r>
    <r>
      <rPr>
        <sz val="11"/>
        <color rgb="FF000000"/>
        <rFont val="Aptos Narrow"/>
        <scheme val="minor"/>
      </rPr>
      <t>Do relaxation exercises (like shakes, dances, stretches)</t>
    </r>
  </si>
  <si>
    <r>
      <rPr>
        <b/>
        <sz val="11"/>
        <color rgb="FF000000"/>
        <rFont val="Aptos Narrow"/>
        <scheme val="minor"/>
      </rPr>
      <t xml:space="preserve">Activity log: </t>
    </r>
    <r>
      <rPr>
        <sz val="11"/>
        <color rgb="FF000000"/>
        <rFont val="Aptos Narrow"/>
        <scheme val="minor"/>
      </rPr>
      <t>do attention games that replace devices (like puzzles, memory, drawing, matching, simon says or senses)</t>
    </r>
  </si>
  <si>
    <r>
      <rPr>
        <b/>
        <sz val="11"/>
        <color rgb="FF000000"/>
        <rFont val="Aptos Narrow"/>
        <scheme val="minor"/>
      </rPr>
      <t xml:space="preserve">Activity log: </t>
    </r>
    <r>
      <rPr>
        <sz val="11"/>
        <color rgb="FF000000"/>
        <rFont val="Aptos Narrow"/>
        <scheme val="minor"/>
      </rPr>
      <t>mindful eating exercises (focus on taste, texture, smell) without devices</t>
    </r>
  </si>
  <si>
    <r>
      <rPr>
        <b/>
        <sz val="11"/>
        <color rgb="FF000000"/>
        <rFont val="Aptos Narrow"/>
        <scheme val="minor"/>
      </rPr>
      <t xml:space="preserve">Activity log: </t>
    </r>
    <r>
      <rPr>
        <sz val="11"/>
        <color rgb="FF000000"/>
        <rFont val="Aptos Narrow"/>
        <scheme val="minor"/>
      </rPr>
      <t xml:space="preserve">Mindful walking or excercise  (barefoot trails) </t>
    </r>
  </si>
  <si>
    <r>
      <rPr>
        <b/>
        <sz val="10"/>
        <color rgb="FF000000"/>
        <rFont val="Aptos Narrow"/>
      </rPr>
      <t xml:space="preserve">Activity log: </t>
    </r>
    <r>
      <rPr>
        <sz val="10"/>
        <color rgb="FF000000"/>
        <rFont val="Aptos Narrow"/>
      </rPr>
      <t>integrate relaxation exercises in daily life (such as after of before school)</t>
    </r>
  </si>
  <si>
    <r>
      <rPr>
        <b/>
        <sz val="10"/>
        <color rgb="FF000000"/>
        <rFont val="Aptos Narrow"/>
        <scheme val="minor"/>
      </rPr>
      <t xml:space="preserve">Activity log: </t>
    </r>
    <r>
      <rPr>
        <sz val="10"/>
        <color rgb="FF000000"/>
        <rFont val="Aptos Narrow"/>
        <scheme val="minor"/>
      </rPr>
      <t>combine an attention game with a relaxation exercise afterwards</t>
    </r>
  </si>
  <si>
    <r>
      <rPr>
        <b/>
        <sz val="11"/>
        <color rgb="FF000000"/>
        <rFont val="Aptos Narrow"/>
        <scheme val="minor"/>
      </rPr>
      <t xml:space="preserve">Activity log: </t>
    </r>
    <r>
      <rPr>
        <sz val="11"/>
        <color rgb="FF000000"/>
        <rFont val="Aptos Narrow"/>
        <scheme val="minor"/>
      </rPr>
      <t>have a no device policy during meals (for the whole family)</t>
    </r>
  </si>
  <si>
    <r>
      <rPr>
        <b/>
        <sz val="11"/>
        <color rgb="FF000000"/>
        <rFont val="Aptos Narrow"/>
        <scheme val="minor"/>
      </rPr>
      <t xml:space="preserve">Activity log: </t>
    </r>
    <r>
      <rPr>
        <sz val="11"/>
        <color rgb="FF000000"/>
        <rFont val="Aptos Narrow"/>
        <scheme val="minor"/>
      </rPr>
      <t>do outdoor activities where you focus on the senses (find new things, or red things) while sitting or walking</t>
    </r>
  </si>
  <si>
    <t>Cognitive and Emotional Experiences</t>
  </si>
  <si>
    <t>M3 - A</t>
  </si>
  <si>
    <t>Emotions</t>
  </si>
  <si>
    <r>
      <rPr>
        <sz val="11"/>
        <color rgb="FF000000"/>
        <rFont val="Aptos Narrow"/>
        <scheme val="minor"/>
      </rPr>
      <t xml:space="preserve">Have you felt sad? </t>
    </r>
    <r>
      <rPr>
        <i/>
        <sz val="11"/>
        <color rgb="FF000000"/>
        <rFont val="Aptos Narrow"/>
        <scheme val="minor"/>
      </rPr>
      <t>Have your parents treated you fairly?</t>
    </r>
  </si>
  <si>
    <r>
      <rPr>
        <b/>
        <sz val="10"/>
        <color rgb="FF000000"/>
        <rFont val="Aptos Narrow"/>
        <scheme val="minor"/>
      </rPr>
      <t xml:space="preserve">Video: </t>
    </r>
    <r>
      <rPr>
        <sz val="10"/>
        <color rgb="FF000000"/>
        <rFont val="Aptos Narrow"/>
        <scheme val="minor"/>
      </rPr>
      <t>Watch movie on different emotions (long version is perhaps Inside Out)</t>
    </r>
  </si>
  <si>
    <r>
      <rPr>
        <b/>
        <sz val="10"/>
        <color rgb="FF000000"/>
        <rFont val="Aptos Narrow"/>
        <scheme val="minor"/>
      </rPr>
      <t>Tips/Info:</t>
    </r>
    <r>
      <rPr>
        <sz val="10"/>
        <color rgb="FF000000"/>
        <rFont val="Aptos Narrow"/>
        <scheme val="minor"/>
      </rPr>
      <t xml:space="preserve"> how can I tell how I feel using a feeling chart? how do you notice emotions in your body</t>
    </r>
  </si>
  <si>
    <r>
      <rPr>
        <b/>
        <sz val="10"/>
        <color rgb="FF000000"/>
        <rFont val="Aptos Narrow"/>
        <scheme val="minor"/>
      </rPr>
      <t xml:space="preserve">Survey: </t>
    </r>
    <r>
      <rPr>
        <sz val="10"/>
        <color rgb="FF000000"/>
        <rFont val="Aptos Narrow"/>
        <scheme val="minor"/>
      </rPr>
      <t>identify things that make you feel happy, sad, frustated</t>
    </r>
  </si>
  <si>
    <r>
      <rPr>
        <b/>
        <sz val="10"/>
        <color rgb="FF000000"/>
        <rFont val="Aptos Narrow"/>
        <scheme val="minor"/>
      </rPr>
      <t xml:space="preserve">Survey: </t>
    </r>
    <r>
      <rPr>
        <sz val="10"/>
        <color rgb="FF000000"/>
        <rFont val="Aptos Narrow"/>
        <scheme val="minor"/>
      </rPr>
      <t>what do you do when your feel something like sad or angry?</t>
    </r>
  </si>
  <si>
    <r>
      <rPr>
        <b/>
        <sz val="10"/>
        <color rgb="FF000000"/>
        <rFont val="Aptos Narrow"/>
        <scheme val="minor"/>
      </rPr>
      <t xml:space="preserve">Tutorial: </t>
    </r>
    <r>
      <rPr>
        <sz val="10"/>
        <color rgb="FF000000"/>
        <rFont val="Aptos Narrow"/>
        <scheme val="minor"/>
      </rPr>
      <t>breathing exercise (like a balloon)</t>
    </r>
  </si>
  <si>
    <r>
      <rPr>
        <b/>
        <sz val="10"/>
        <color rgb="FF000000"/>
        <rFont val="Aptos Narrow"/>
        <scheme val="minor"/>
      </rPr>
      <t xml:space="preserve">Activity log: </t>
    </r>
    <r>
      <rPr>
        <sz val="10"/>
        <color rgb="FF000000"/>
        <rFont val="Aptos Narrow"/>
        <scheme val="minor"/>
      </rPr>
      <t>make pictures of things that make you happy</t>
    </r>
  </si>
  <si>
    <r>
      <rPr>
        <b/>
        <sz val="10"/>
        <color rgb="FF000000"/>
        <rFont val="Aptos Narrow"/>
        <scheme val="minor"/>
      </rPr>
      <t xml:space="preserve">Activity log: </t>
    </r>
    <r>
      <rPr>
        <sz val="10"/>
        <color rgb="FF000000"/>
        <rFont val="Aptos Narrow"/>
        <scheme val="minor"/>
      </rPr>
      <t>Draw or write the happy moment of the day</t>
    </r>
  </si>
  <si>
    <r>
      <rPr>
        <b/>
        <sz val="10"/>
        <color rgb="FF000000"/>
        <rFont val="Aptos Narrow"/>
        <scheme val="minor"/>
      </rPr>
      <t xml:space="preserve">Activity log: </t>
    </r>
    <r>
      <rPr>
        <sz val="10"/>
        <color rgb="FF000000"/>
        <rFont val="Aptos Narrow"/>
        <scheme val="minor"/>
      </rPr>
      <t xml:space="preserve">Share 1 thing you liked and 1 thing you did not like about the day </t>
    </r>
  </si>
  <si>
    <r>
      <rPr>
        <b/>
        <sz val="10"/>
        <color rgb="FF000000"/>
        <rFont val="Aptos Narrow"/>
        <scheme val="minor"/>
      </rPr>
      <t>Activity log:</t>
    </r>
    <r>
      <rPr>
        <sz val="10"/>
        <color rgb="FF000000"/>
        <rFont val="Aptos Narrow"/>
        <scheme val="minor"/>
      </rPr>
      <t xml:space="preserve"> Share 1 thing that went well today or that made you feel proud</t>
    </r>
  </si>
  <si>
    <r>
      <rPr>
        <b/>
        <sz val="10"/>
        <color rgb="FF000000"/>
        <rFont val="Aptos Narrow"/>
      </rPr>
      <t xml:space="preserve">Activity log: </t>
    </r>
    <r>
      <rPr>
        <sz val="10"/>
        <color rgb="FF000000"/>
        <rFont val="Aptos Narrow"/>
      </rPr>
      <t>Practise grounding techniques (tension-relax muscles) especially when noticing unhappy moments</t>
    </r>
  </si>
  <si>
    <r>
      <rPr>
        <b/>
        <sz val="10"/>
        <color rgb="FF000000"/>
        <rFont val="Aptos Narrow"/>
        <scheme val="minor"/>
      </rPr>
      <t xml:space="preserve">Activity log: </t>
    </r>
    <r>
      <rPr>
        <sz val="10"/>
        <color rgb="FF000000"/>
        <rFont val="Aptos Narrow"/>
        <scheme val="minor"/>
      </rPr>
      <t>Sit down and share how your happy moments with your family during dinner</t>
    </r>
  </si>
  <si>
    <r>
      <rPr>
        <b/>
        <sz val="10"/>
        <color rgb="FF000000"/>
        <rFont val="Aptos Narrow"/>
        <scheme val="minor"/>
      </rPr>
      <t>Activity log:</t>
    </r>
    <r>
      <rPr>
        <sz val="10"/>
        <color rgb="FF000000"/>
        <rFont val="Aptos Narrow"/>
        <scheme val="minor"/>
      </rPr>
      <t xml:space="preserve"> combine breathing exercise when noticing unhappy moments</t>
    </r>
  </si>
  <si>
    <r>
      <rPr>
        <b/>
        <sz val="10"/>
        <color rgb="FF000000"/>
        <rFont val="Aptos Narrow"/>
      </rPr>
      <t xml:space="preserve">Activity log: </t>
    </r>
    <r>
      <rPr>
        <sz val="10"/>
        <color rgb="FF000000"/>
        <rFont val="Aptos Narrow"/>
      </rPr>
      <t>create a back-up solution if you have no happy moments (like watch pictures back of happy things)</t>
    </r>
  </si>
  <si>
    <r>
      <rPr>
        <b/>
        <sz val="10"/>
        <color rgb="FF000000"/>
        <rFont val="Aptos Narrow"/>
        <scheme val="minor"/>
      </rPr>
      <t xml:space="preserve">Activity log: </t>
    </r>
    <r>
      <rPr>
        <sz val="10"/>
        <color rgb="FF000000"/>
        <rFont val="Aptos Narrow"/>
        <scheme val="minor"/>
      </rPr>
      <t>Do a child-friendly meditation session to order all thoughts</t>
    </r>
  </si>
  <si>
    <t>Pro-Social Habits</t>
  </si>
  <si>
    <t>M4 - A</t>
  </si>
  <si>
    <t>Friends</t>
  </si>
  <si>
    <r>
      <rPr>
        <sz val="11"/>
        <color rgb="FF000000"/>
        <rFont val="Aptos Narrow"/>
        <scheme val="minor"/>
      </rPr>
      <t xml:space="preserve">Have you had fun with your friends? </t>
    </r>
    <r>
      <rPr>
        <i/>
        <sz val="11"/>
        <color rgb="FF000000"/>
        <rFont val="Aptos Narrow"/>
        <scheme val="minor"/>
      </rPr>
      <t>Have you felt lonely?</t>
    </r>
  </si>
  <si>
    <r>
      <rPr>
        <b/>
        <sz val="11"/>
        <color rgb="FF000000"/>
        <rFont val="Aptos Narrow"/>
        <scheme val="minor"/>
      </rPr>
      <t xml:space="preserve">Tips/Info: </t>
    </r>
    <r>
      <rPr>
        <sz val="11"/>
        <color rgb="FF000000"/>
        <rFont val="Aptos Narrow"/>
        <scheme val="minor"/>
      </rPr>
      <t>explore the benefits of kindness and hugs</t>
    </r>
  </si>
  <si>
    <r>
      <rPr>
        <b/>
        <sz val="11"/>
        <color rgb="FF000000"/>
        <rFont val="Aptos Narrow"/>
        <scheme val="minor"/>
      </rPr>
      <t>Survey:</t>
    </r>
    <r>
      <rPr>
        <sz val="11"/>
        <color rgb="FF000000"/>
        <rFont val="Aptos Narrow"/>
        <scheme val="minor"/>
      </rPr>
      <t xml:space="preserve"> List your current interactions with family and friends</t>
    </r>
  </si>
  <si>
    <r>
      <rPr>
        <b/>
        <sz val="11"/>
        <color rgb="FF000000"/>
        <rFont val="Aptos Narrow"/>
        <scheme val="minor"/>
      </rPr>
      <t>Activity log:</t>
    </r>
    <r>
      <rPr>
        <sz val="11"/>
        <color rgb="FF000000"/>
        <rFont val="Aptos Narrow"/>
        <scheme val="minor"/>
      </rPr>
      <t xml:space="preserve"> notice kind things around you (when somebody did something nice for someone else)</t>
    </r>
  </si>
  <si>
    <r>
      <rPr>
        <b/>
        <sz val="11"/>
        <color rgb="FF000000"/>
        <rFont val="Aptos Narrow"/>
        <scheme val="minor"/>
      </rPr>
      <t xml:space="preserve">Survey: </t>
    </r>
    <r>
      <rPr>
        <sz val="11"/>
        <color rgb="FF000000"/>
        <rFont val="Aptos Narrow"/>
        <scheme val="minor"/>
      </rPr>
      <t>why are family and freinds important? how can you make your relationship stronger?</t>
    </r>
  </si>
  <si>
    <r>
      <rPr>
        <b/>
        <sz val="11"/>
        <color rgb="FF000000"/>
        <rFont val="Aptos Narrow"/>
        <scheme val="minor"/>
      </rPr>
      <t xml:space="preserve">Activity log: </t>
    </r>
    <r>
      <rPr>
        <sz val="11"/>
        <color rgb="FF000000"/>
        <rFont val="Aptos Narrow"/>
        <scheme val="minor"/>
      </rPr>
      <t>write down things you like to do with family and friends</t>
    </r>
  </si>
  <si>
    <r>
      <rPr>
        <b/>
        <sz val="11"/>
        <color rgb="FF000000"/>
        <rFont val="Aptos Narrow"/>
        <scheme val="minor"/>
      </rPr>
      <t>Activity log:</t>
    </r>
    <r>
      <rPr>
        <sz val="11"/>
        <color rgb="FF000000"/>
        <rFont val="Aptos Narrow"/>
        <scheme val="minor"/>
      </rPr>
      <t xml:space="preserve"> write down kind things you can do to someone else</t>
    </r>
  </si>
  <si>
    <r>
      <rPr>
        <b/>
        <sz val="11"/>
        <color rgb="FF000000"/>
        <rFont val="Aptos Narrow"/>
        <scheme val="minor"/>
      </rPr>
      <t xml:space="preserve">Activity log: </t>
    </r>
    <r>
      <rPr>
        <sz val="11"/>
        <color rgb="FF000000"/>
        <rFont val="Aptos Narrow"/>
        <scheme val="minor"/>
      </rPr>
      <t>do a small kind action for someone you know (hold a door, help with chores)</t>
    </r>
  </si>
  <si>
    <r>
      <rPr>
        <b/>
        <sz val="11"/>
        <color rgb="FF000000"/>
        <rFont val="Aptos Narrow"/>
        <scheme val="minor"/>
      </rPr>
      <t xml:space="preserve">Activity log: </t>
    </r>
    <r>
      <rPr>
        <sz val="11"/>
        <color rgb="FF000000"/>
        <rFont val="Aptos Narrow"/>
        <scheme val="minor"/>
      </rPr>
      <t>say 1 nice thing you like about someone else and 1 thing you like about yourself</t>
    </r>
  </si>
  <si>
    <r>
      <rPr>
        <b/>
        <sz val="11"/>
        <color rgb="FF000000"/>
        <rFont val="Aptos Narrow"/>
        <scheme val="minor"/>
      </rPr>
      <t xml:space="preserve">Activity log: </t>
    </r>
    <r>
      <rPr>
        <sz val="11"/>
        <color rgb="FF000000"/>
        <rFont val="Aptos Narrow"/>
        <scheme val="minor"/>
      </rPr>
      <t>talk to someone you have not spoken to in a while (someone in class, or a family member)</t>
    </r>
  </si>
  <si>
    <r>
      <rPr>
        <b/>
        <sz val="11"/>
        <color rgb="FF000000"/>
        <rFont val="Aptos Narrow"/>
        <scheme val="minor"/>
      </rPr>
      <t xml:space="preserve">Activity log: </t>
    </r>
    <r>
      <rPr>
        <sz val="11"/>
        <color rgb="FF000000"/>
        <rFont val="Aptos Narrow"/>
        <scheme val="minor"/>
      </rPr>
      <t>organize a play date with someone and do something you both like</t>
    </r>
  </si>
  <si>
    <r>
      <rPr>
        <b/>
        <sz val="11"/>
        <color rgb="FF000000"/>
        <rFont val="Aptos Narrow"/>
        <scheme val="minor"/>
      </rPr>
      <t>Activity log:</t>
    </r>
    <r>
      <rPr>
        <sz val="11"/>
        <color rgb="FF000000"/>
        <rFont val="Aptos Narrow"/>
        <scheme val="minor"/>
      </rPr>
      <t xml:space="preserve"> do a small kind action for a stranger (give a smile)</t>
    </r>
  </si>
  <si>
    <r>
      <rPr>
        <b/>
        <sz val="11"/>
        <color rgb="FF000000"/>
        <rFont val="Aptos Narrow"/>
      </rPr>
      <t xml:space="preserve">Activity log: </t>
    </r>
    <r>
      <rPr>
        <sz val="11"/>
        <color rgb="FF000000"/>
        <rFont val="Aptos Narrow"/>
      </rPr>
      <t>give someone you love a hug or compliment</t>
    </r>
  </si>
  <si>
    <r>
      <rPr>
        <b/>
        <sz val="11"/>
        <color rgb="FF000000"/>
        <rFont val="Aptos Narrow"/>
        <scheme val="minor"/>
      </rPr>
      <t xml:space="preserve">Activity log: </t>
    </r>
    <r>
      <rPr>
        <sz val="11"/>
        <color rgb="FF000000"/>
        <rFont val="Aptos Narrow"/>
        <scheme val="minor"/>
      </rPr>
      <t>talk to someone, but also listen and share if you learned something new about what that person liked</t>
    </r>
  </si>
  <si>
    <r>
      <rPr>
        <b/>
        <sz val="11"/>
        <color rgb="FF000000"/>
        <rFont val="Aptos Narrow"/>
        <scheme val="minor"/>
      </rPr>
      <t xml:space="preserve">Activity log: </t>
    </r>
    <r>
      <rPr>
        <sz val="11"/>
        <color rgb="FF000000"/>
        <rFont val="Aptos Narrow"/>
        <scheme val="minor"/>
      </rPr>
      <t>organize a play date with multiple people</t>
    </r>
  </si>
  <si>
    <t>M5</t>
  </si>
  <si>
    <t>Connection to Nature</t>
  </si>
  <si>
    <t>Nature</t>
  </si>
  <si>
    <t>Hey nature explorer! 
Did you know that when you stop, notice, listen, and feel what’s around you in nature, you’re practising something called mindfulness?
It helps your brain, your body, and your feelings stay happy and healthy.</t>
  </si>
  <si>
    <t>What can you do ? Planting, bird watching, sensory scavanger, silent walking, loistening, tree touching, art?</t>
  </si>
  <si>
    <t>Did your know that nature makes kids smarter, healthier and happier? Does your child have a favorite nature place? Suggest your child to draw this place, share a picture with us!</t>
  </si>
  <si>
    <t>Do you have examples wwhen nature helped you to balance emotions?</t>
  </si>
  <si>
    <t>What is the closest "natural" place that you could explore? Go and take a picture</t>
  </si>
  <si>
    <t>Plan your first nature-related activity. Write an invitation for (?)</t>
  </si>
  <si>
    <t>Smelling flowers</t>
  </si>
  <si>
    <t>Bird watching</t>
  </si>
  <si>
    <t>Sensory scavanger hunt (Find 3 different leaf textures)</t>
  </si>
  <si>
    <t>Rain or wind listening</t>
  </si>
  <si>
    <t>Silent walking with friend</t>
  </si>
  <si>
    <t>Nature art (drow a picture)</t>
  </si>
  <si>
    <t>Tree Touching, send a picture</t>
  </si>
  <si>
    <t>Meditation excercise and remember your nature-related experiences</t>
  </si>
  <si>
    <t>M6</t>
  </si>
  <si>
    <t>Creativity amd Mindful Expression (drowing, storytelling, music)</t>
  </si>
  <si>
    <t>Mindful Expression: music, drawing, storytelling</t>
  </si>
  <si>
    <t>The benefits of mindful expression by using creativity</t>
  </si>
  <si>
    <t>Think what people and you can do to express themselves</t>
  </si>
  <si>
    <r>
      <rPr>
        <sz val="11"/>
        <color rgb="FF000000"/>
        <rFont val="Aptos Narrow"/>
        <scheme val="minor"/>
      </rPr>
      <t xml:space="preserve">It makes you feel proud of yourself. When you finish a drawing or a story, you feel proud—because it came from </t>
    </r>
    <r>
      <rPr>
        <i/>
        <sz val="11"/>
        <color rgb="FF000000"/>
        <rFont val="Aptos Narrow"/>
        <scheme val="minor"/>
      </rPr>
      <t>you</t>
    </r>
    <r>
      <rPr>
        <sz val="11"/>
        <color rgb="FF000000"/>
        <rFont val="Aptos Narrow"/>
        <scheme val="minor"/>
      </rPr>
      <t xml:space="preserve">. </t>
    </r>
  </si>
  <si>
    <t>It helps others to understand you better. When someone sees your drawing or hears your song, they understand you without you having to explain everything.” Do you know sad or happy song?</t>
  </si>
  <si>
    <t xml:space="preserve">It gives your feelings a safe place to go. Your sketchbook, your story, or your music can be a safe space where your feelings can live.Google Takashi Murakami Smiling Flowers. Can you describe emotions? </t>
  </si>
  <si>
    <t>It lets you express things even when you don’t know the words.Sometimes talking is hard. But drawing, music, and stories can say things for you.</t>
  </si>
  <si>
    <t>Emotion soundtrack: choose emotion (happy, calm. angry, proud) and express it using body percussion (clapping, tapping), vocal sounds, simple instruments (if available). Share with us which emotion you expressed</t>
  </si>
  <si>
    <t>Draw you feelings Give children a blank page and ask them to draw how they feel using colors, shapes, or lines.
No need for realism—pure expression is encouraged. Share with us</t>
  </si>
  <si>
    <t>Make Story stones Children paint simple symbols on stones (heart, sun, waves, spiral).
They later use the stones to:
express a feeling
start a conversation
create a short story</t>
  </si>
  <si>
    <t>My Inner Superpower. Children write or tell a short story about a character with a kind, calm, or brave inner superpower. Prompts could be:“A time when your character stayed calm…”“A time when they helped a friend…”Purpose: Builds self-reflection and confidence.</t>
  </si>
  <si>
    <t>Story Circle Sit in a circle—each child adds one sentence to a story.
Optional themes: kindness, friendship, courage, nature.</t>
  </si>
  <si>
    <t>Soundtrack for my drawing. Children create a drawing and then choose or create a sound that matches the artwork—drums for storms, bells for calm skies.</t>
  </si>
  <si>
    <t>Kids draw a character that represents a feeling. Then create a short tune for that character (happy tune, slow tune).Finally tell a small story about the character’s day. Use your story cubes</t>
  </si>
  <si>
    <t>Mindful Musical comics. Children draw a simple 3-panel comic. Then they choose background “music moods” for each panel.</t>
  </si>
  <si>
    <t>M7</t>
  </si>
  <si>
    <t>Growth Mindset and Resilience (handling mistakes, taking a pouse before reacting, problem-solving)</t>
  </si>
  <si>
    <t>M7 -A</t>
  </si>
  <si>
    <t>Handling mistakes</t>
  </si>
  <si>
    <t>Did you know that mistakes mean your brain is growing? Our brains are made of tiny cells called neurons.
They talk to each other through connections.
When you make a mistake and try again, new connections form.
More connections = a stronger, smarter brain.</t>
  </si>
  <si>
    <t>For parents: give example when you made a small mistakes of your own , share with yopur child and explain how did you handled them</t>
  </si>
  <si>
    <t>Did you know that mistakes could be celebrated? Why? They help us to learn, isn't this worthy of being celebrated? List the ways how to celebrate the mistakes. Share with us!</t>
  </si>
  <si>
    <t>Try to remember if your child tried something recently, despite the possibility of making mistake. This deserves a reward! Reward your child for courage, not for correctness.</t>
  </si>
  <si>
    <t>Did you know that every task could be break into the smaller ones? Create an example of the task and break it into the subtasks! Don't forget to do it together!</t>
  </si>
  <si>
    <t>Ask your child to come up with phrases that they would say to someone who tried to do something but couldn’t do it the first time! Share with us how many phrases you created!</t>
  </si>
  <si>
    <t>1-minute messy drawing</t>
  </si>
  <si>
    <t>Wrong note music. Kids (or parents) intentionally play or sing a silly note</t>
  </si>
  <si>
    <t>Make a mistake intentionally, for example, during a board game. Now have a little competition to see who can come up with the most words of encouragement for each other!</t>
  </si>
  <si>
    <t>Storytelling where the "mistake" becomes the hero's superpower!</t>
  </si>
  <si>
    <t>Mistakes feel bigger when the tasks feel impossible. Turn big task into small challenge and celebrate mini-successes!</t>
  </si>
  <si>
    <t>Once you make some small mistake during the day, practice the phrases: "That didn't work, let me try again!!" Encourage your child repeat after you! Have a fun!</t>
  </si>
  <si>
    <t>Once you make some small mistake during the day, practice the phrases: "Practice helps me learn!!" Encourage your child repeat after you! Have a fun!</t>
  </si>
  <si>
    <t>Mistake of the week, where kids share something funny or surprising Practice once per week!</t>
  </si>
  <si>
    <t>M7-B</t>
  </si>
  <si>
    <t>Take a pause!</t>
  </si>
  <si>
    <r>
      <t xml:space="preserve">The ability to pause before reacting is not natural for children — it’s a </t>
    </r>
    <r>
      <rPr>
        <i/>
        <sz val="11"/>
        <color theme="1"/>
        <rFont val="Aptos Narrow"/>
        <scheme val="minor"/>
      </rPr>
      <t>learned skill</t>
    </r>
    <r>
      <rPr>
        <sz val="11"/>
        <color theme="1"/>
        <rFont val="Aptos Narrow"/>
        <scheme val="minor"/>
      </rPr>
      <t xml:space="preserve">. You can teach it step by step through </t>
    </r>
    <r>
      <rPr>
        <b/>
        <sz val="11"/>
        <color theme="1"/>
        <rFont val="Aptos Narrow"/>
        <scheme val="minor"/>
      </rPr>
      <t>playful practice, modeling, and repetition</t>
    </r>
    <r>
      <rPr>
        <sz val="11"/>
        <color theme="1"/>
        <rFont val="Aptos Narrow"/>
        <scheme val="minor"/>
      </rPr>
      <t>.</t>
    </r>
  </si>
  <si>
    <t>When you’re upset, words can come out too fast.A pause helps you say kinder, calmer things. Taking a pause helps your words stay nice, not spicy.</t>
  </si>
  <si>
    <t>You can choose what to do, instead of reacting by accident. Pausing gives you a moment to think: What do I want to do next?”A pause helps you be the boss of your actions.”</t>
  </si>
  <si>
    <t>It helps you avoid bigger problems. If you shout, push, or break something, things can get worsePausing helps you choose a smarter, calmer reaction. A pause saves you from trouble later.”</t>
  </si>
  <si>
    <t>You might find an easier solution.Taking a moment before reacting gives your brain time to find a better plan.A pause helps ideas pop into your mind.”</t>
  </si>
  <si>
    <t>It gives you superpowers for life.Pausing before reacting is a skill even adults need.If you learn it now, you’ll have it forever.A pause is a real-life superhero power.”</t>
  </si>
  <si>
    <t>Red light: stop your body Pause: take a breath Green light: choose what to do next</t>
  </si>
  <si>
    <t>Five-finger breathing: trace your hand while breathing</t>
  </si>
  <si>
    <t>Freeze like a statue when you hear the bell!”Pretend someone took their toy — ask them to “pause first”“What would a superhero do?” game</t>
  </si>
  <si>
    <t>Tap two fingers together like a “pause” symbolPut hand on heartClap onceRaise a hand like saying “wait”</t>
  </si>
  <si>
    <t>I’m feeling frustrated. I’m going to pause</t>
  </si>
  <si>
    <t>I need one breath before I answer.”</t>
  </si>
  <si>
    <t>After the pause, teach kids to name their emotion: I feel mad, I feel disappointed, I feel left out</t>
  </si>
  <si>
    <t>The most powerful reinforcement is noticing the effort.Say: I saw you paused before reacting — great job!”</t>
  </si>
  <si>
    <t>M7-C</t>
  </si>
  <si>
    <t>Problem-solving</t>
  </si>
  <si>
    <t>Did you know that Children learn problem‑solving by doing, not by adults fixing everything. Kids build confidence when they discover solutions themselves.</t>
  </si>
  <si>
    <t>When children learn to solve problems on their own—whether it’s a puzzle, a conflict with a friend, or a school task—they begin to trust their own abilities. Did you know that good problem solvers think of many ideas, not one.</t>
  </si>
  <si>
    <t>A child who is overwhelmed cannot solve a problem. Explain your child why it is so important to develop a strategy and to learn how to react in advance while the brain is calm, and not upset</t>
  </si>
  <si>
    <t>Problem‑solving requires children to analyze, compare, plan, and reason. These abilities are the foundation of: critical thinking, creativity, logical reasoning, decision-making. Children learn by watching adults.Try to say: Hmm, the milk spilled. What should we do first?”“I can’t find my keys. I’ll check one place at a time.”</t>
  </si>
  <si>
    <r>
      <t xml:space="preserve">Problem‑solving is like a </t>
    </r>
    <r>
      <rPr>
        <i/>
        <sz val="11"/>
        <color rgb="FF000000"/>
        <rFont val="Aptos Narrow"/>
        <scheme val="minor"/>
      </rPr>
      <t>superpower! Problem‑solving is a brain superpower. The more you practice, the stronger your brain gets.</t>
    </r>
  </si>
  <si>
    <t>Example of the problem: Milk used to spoil very quickly.
People had to buy it every day, and it was hard to store safely. What did Ruben Rausing did: t was very unusual — no one had seen a milk package like that before!What if milk didn’t need a glass bottle at all?”He experimented with materials (paper, plastic), He worked with engineers, designers, and food experts.
They solved problems together: leaks, sealing, storage.</t>
  </si>
  <si>
    <t>When they face a small challenge (a puzzle, tying shoes, a spilled cup), pause.Ask: “What do you think we could try?”Give just enough help, not the solution.</t>
  </si>
  <si>
    <t>Stop, Think, Try -a toolkit for the children. This builds both planning and reflection.</t>
  </si>
  <si>
    <t>What if your homework is too hard—what could you try first?” What if your friend took your toy—what could you do?”What if you can’t find your shoes—what could you check?” These games build flexible thinking without the pressure of real conflict.</t>
  </si>
  <si>
    <t>Ask them to come up with:smart ideas, silly ideas, fun ideas, impossible ideas</t>
  </si>
  <si>
    <t>In a problematic situation encourage to ask friend for help</t>
  </si>
  <si>
    <t>In a problematic situation encourage to share the ideas</t>
  </si>
  <si>
    <t>In a problematic situation encourage to listening to others</t>
  </si>
  <si>
    <t>In a problematic situation encourage taking turns trying solutions</t>
  </si>
  <si>
    <t>M8</t>
  </si>
  <si>
    <t>Patience and Waiting Skills</t>
  </si>
  <si>
    <t>Did you know that waiting helps with friendships
patience makes you better at games and sports
patience helps you solve problems
patience makes you trustworthy
many professions need patience (artists, scientists, gamers, athletes)</t>
  </si>
  <si>
    <t>If you can wait and keep trying, you get better at drawing, reading, sports — anything! Do you have your own examples when it helped?</t>
  </si>
  <si>
    <t>When you wait calmly, your body feels relaxed — like sunshine inside your chest.</t>
  </si>
  <si>
    <t>If you can wait for your turn and play calmly, games are more fun for everyone — including you! Do you agree?</t>
  </si>
  <si>
    <t>“If you pause and wait before acting, your brain finds better ideas!”Let's practice!</t>
  </si>
  <si>
    <t>Waiting makes things like birthdays, surprises, and holidays feel extra special! Imagine if you would have birthday everyday!</t>
  </si>
  <si>
    <t>Simon says</t>
  </si>
  <si>
    <t>Kids learn patience best when the waiting feels achievable. Wait 10 seconds → praise</t>
  </si>
  <si>
    <t>Use sand timers and extend waiting time to 1 minute -&gt; praise</t>
  </si>
  <si>
    <t>Musical statues. Dance → freeze → wait → dance again.</t>
  </si>
  <si>
    <t>Count down challenge start from 10</t>
  </si>
  <si>
    <t>A toy is hidden in a bag; children must wait to open it. Count down challenge start from 30</t>
  </si>
  <si>
    <t>Pass the story. Each child adds one sentence to a group story.
They wait for their turn to contribute.</t>
  </si>
  <si>
    <t>Give them a small “while I wait” activity (count colors, spot objects, etc) Share how many objects</t>
  </si>
  <si>
    <t>Seasonal Waves</t>
  </si>
  <si>
    <t>BCV</t>
  </si>
  <si>
    <t>Descriprion/Goal</t>
  </si>
  <si>
    <t>6K Star</t>
  </si>
  <si>
    <t>Captain 8K</t>
  </si>
  <si>
    <t>9K Ninja</t>
  </si>
  <si>
    <t>6K Superstar</t>
  </si>
  <si>
    <t>9K Sensei</t>
  </si>
  <si>
    <t>Colour Hunt with buddy</t>
  </si>
  <si>
    <t>Flash Stroll</t>
  </si>
  <si>
    <t>Path Detective</t>
  </si>
  <si>
    <t>Route Rockstar</t>
  </si>
  <si>
    <t>Walk Habit Hero</t>
  </si>
  <si>
    <t>Tiny Twitcher</t>
  </si>
  <si>
    <t>Jitterbug</t>
  </si>
  <si>
    <t>Kinetic Kid</t>
  </si>
  <si>
    <t>Motion Master</t>
  </si>
  <si>
    <t>Momentum Medalist</t>
  </si>
  <si>
    <t>Park Pal</t>
  </si>
  <si>
    <t>Nature Scout</t>
  </si>
  <si>
    <t>Trail Blazer</t>
  </si>
  <si>
    <t>Wild Explorer</t>
  </si>
  <si>
    <t>Eco Guardian</t>
  </si>
  <si>
    <t>Rookie Racer</t>
  </si>
  <si>
    <t>Triple Threat</t>
  </si>
  <si>
    <t>Power Player</t>
  </si>
  <si>
    <t>All-Star Athlete</t>
  </si>
  <si>
    <t>Olympic Legend</t>
  </si>
  <si>
    <t>Grain Guard</t>
  </si>
  <si>
    <t>Fiber Force</t>
  </si>
  <si>
    <t>Harvest Hero</t>
  </si>
  <si>
    <t>Kernel King</t>
  </si>
  <si>
    <t>Whole Grain Wizard</t>
  </si>
  <si>
    <t>Carb Cadet</t>
  </si>
  <si>
    <t>Spud Squad</t>
  </si>
  <si>
    <t>Energy Engine</t>
  </si>
  <si>
    <t>Power Fueler</t>
  </si>
  <si>
    <t>Starch Specialist</t>
  </si>
  <si>
    <t>Seedling</t>
  </si>
  <si>
    <t>Garden Grower</t>
  </si>
  <si>
    <t>Veggie Viking</t>
  </si>
  <si>
    <t>Rainbow Eater</t>
  </si>
  <si>
    <t>Produce Pro</t>
  </si>
  <si>
    <t>Milk Mite</t>
  </si>
  <si>
    <t>Calcium Captain</t>
  </si>
  <si>
    <t>Bone Builder</t>
  </si>
  <si>
    <t>Dairy Duke</t>
  </si>
  <si>
    <t>Stronghold Sage</t>
  </si>
  <si>
    <t>Bean Bud</t>
  </si>
  <si>
    <t>Pod Pilot</t>
  </si>
  <si>
    <t>Sprout Soul</t>
  </si>
  <si>
    <t>Protein Pioneer</t>
  </si>
  <si>
    <t>Plant Powerhouse</t>
  </si>
  <si>
    <t>Pea Pal</t>
  </si>
  <si>
    <t>Lentil Leader</t>
  </si>
  <si>
    <t>Bean Boss</t>
  </si>
  <si>
    <t>Legume Lord</t>
  </si>
  <si>
    <t>Pulse Prime</t>
  </si>
  <si>
    <t>Drop Scout</t>
  </si>
  <si>
    <t>Sizzle Squad</t>
  </si>
  <si>
    <t>Liquid Gold</t>
  </si>
  <si>
    <t>Olive Overlord</t>
  </si>
  <si>
    <t>Mediterranean Master</t>
  </si>
  <si>
    <t>Nutty Nibbler</t>
  </si>
  <si>
    <t>Avocado Ace</t>
  </si>
  <si>
    <t>Seed Sultan</t>
  </si>
  <si>
    <t>Omega Officer</t>
  </si>
  <si>
    <t>Healthy Heart Hero</t>
  </si>
  <si>
    <t>Guppy</t>
  </si>
  <si>
    <t>River Rider</t>
  </si>
  <si>
    <t>Wave Runner</t>
  </si>
  <si>
    <t>Sea Captain</t>
  </si>
  <si>
    <t>Neptune’s Knight</t>
  </si>
  <si>
    <t>Sip Starter</t>
  </si>
  <si>
    <t>Hydration Helper</t>
  </si>
  <si>
    <t>Water Warrior</t>
  </si>
  <si>
    <t>H2O Hero</t>
  </si>
  <si>
    <t>Fountain of Youth</t>
  </si>
  <si>
    <t>Season Scout</t>
  </si>
  <si>
    <t>Local Legend</t>
  </si>
  <si>
    <t>Market Maker</t>
  </si>
  <si>
    <t>Earth Eater</t>
  </si>
  <si>
    <t>Nature’s Neighbor</t>
  </si>
  <si>
    <t>Green Gremlin</t>
  </si>
  <si>
    <t>Eco Scout</t>
  </si>
  <si>
    <t>Planet Pal</t>
  </si>
  <si>
    <t>World Watcher</t>
  </si>
  <si>
    <t>Earth Avenger</t>
  </si>
  <si>
    <t>Plate Polisher</t>
  </si>
  <si>
    <t>Scrap Saver</t>
  </si>
  <si>
    <t>Zero Hero</t>
  </si>
  <si>
    <t>Waste Warrior</t>
  </si>
  <si>
    <t>Green Guardian</t>
  </si>
  <si>
    <t>Label Learner</t>
  </si>
  <si>
    <t>Fact Finder</t>
  </si>
  <si>
    <t>Data Detective</t>
  </si>
  <si>
    <t>Ingredient Inspector</t>
  </si>
  <si>
    <t>Truth Teller</t>
  </si>
  <si>
    <t>Dreamer</t>
  </si>
  <si>
    <t>Nap Knight</t>
  </si>
  <si>
    <t>Slumber Star</t>
  </si>
  <si>
    <t>Midnight Magic</t>
  </si>
  <si>
    <t>Zen Master</t>
  </si>
  <si>
    <t>Bright Eye</t>
  </si>
  <si>
    <t>Mind Mapper</t>
  </si>
  <si>
    <t>Brain Builder</t>
  </si>
  <si>
    <t>Laser Looker</t>
  </si>
  <si>
    <t>Zen Genius</t>
  </si>
  <si>
    <t>Feel-Good Friend</t>
  </si>
  <si>
    <t>Heart Helper</t>
  </si>
  <si>
    <t>Emotion Engine</t>
  </si>
  <si>
    <t>Mood Mechanic</t>
  </si>
  <si>
    <t>Calm Captain</t>
  </si>
  <si>
    <t>Sidekick</t>
  </si>
  <si>
    <t>Buddy Builder</t>
  </si>
  <si>
    <t>Team Player</t>
  </si>
  <si>
    <t>Social Star</t>
  </si>
  <si>
    <t>Friendship King</t>
  </si>
  <si>
    <t>Conditions</t>
  </si>
  <si>
    <t>Wave</t>
  </si>
  <si>
    <t>Behavioral Change Variable</t>
  </si>
  <si>
    <t>Type of activity</t>
  </si>
  <si>
    <t>Task No.</t>
  </si>
  <si>
    <t>Task Code</t>
  </si>
  <si>
    <t>Task Type</t>
  </si>
  <si>
    <t>SDT - Competence</t>
  </si>
  <si>
    <t>SDT - Autonomy</t>
  </si>
  <si>
    <t>SDT - Relatedness</t>
  </si>
  <si>
    <t>Task Title</t>
  </si>
  <si>
    <t>TargetGroup</t>
  </si>
  <si>
    <t>Description</t>
  </si>
  <si>
    <t>Notes for configuration</t>
  </si>
  <si>
    <t>Reward count (max_times_fired)</t>
  </si>
  <si>
    <t>Timeframe ( in days) to reset reward count (min_days_to_fire)</t>
  </si>
  <si>
    <t>Requirement - Image</t>
  </si>
  <si>
    <t>Requirement - Text</t>
  </si>
  <si>
    <t>Requirement - Other</t>
  </si>
  <si>
    <t>Allowed Activity Type</t>
  </si>
  <si>
    <t xml:space="preserve">Conditions - Property </t>
  </si>
  <si>
    <t>Conditions - Operator</t>
  </si>
  <si>
    <t>Conditions - Value</t>
  </si>
  <si>
    <t>Points</t>
  </si>
  <si>
    <t>Data providers</t>
  </si>
  <si>
    <t>Current Status</t>
  </si>
  <si>
    <t>Main</t>
  </si>
  <si>
    <t>PC</t>
  </si>
  <si>
    <t>Survey Question</t>
  </si>
  <si>
    <t>Step Scout</t>
  </si>
  <si>
    <t xml:space="preserve">We're curious about your child's typical daily activity level. On average, how many steps do you think your child take each day? Don't worry about being precise—just a rough estimate is perfect. </t>
  </si>
  <si>
    <t>Question Options: [ 2000-4000; 4000-6000; 6000 - 8000; I have never checked/ I have no idea]</t>
  </si>
  <si>
    <t>FitBit Kiddo</t>
  </si>
  <si>
    <t>Many people find it helpful to track their daily steps or activity levels to get a better understanding of their movement. Do you currently use a fitness tracker, smartphone app, or any other method to monitor your child's daily activity?</t>
  </si>
  <si>
    <t>Question Options: [Yes, I track my activity regularly; Yes, but I don't track it regularly; No, I don't track my activity]</t>
  </si>
  <si>
    <t>C</t>
  </si>
  <si>
    <t>Info Tip</t>
  </si>
  <si>
    <t>Step-tastic Thinker</t>
  </si>
  <si>
    <t xml:space="preserve">Even small increases in your daily steps can significantly impact your health. Taking at least 2,300 steps per day lowers your risk of heart disease later in life, and for every 500 extra steps, that risk drops even further! Imagine the benefits of adding a few more walks to your child's day. </t>
  </si>
  <si>
    <t>Info Tip - Activity Log</t>
  </si>
  <si>
    <t>Self- Monitoring</t>
  </si>
  <si>
    <t>Move Manager</t>
  </si>
  <si>
    <t>Simply tracking your daily activity can be a game-changer!  It helps you understanding your child's habits and making small changes that add up. This week try to track your child's step count by using any of the tools you have at hand (e.g. Garmin, Smartphone). Feel free to report on the description of this task.</t>
  </si>
  <si>
    <t>x</t>
  </si>
  <si>
    <t>P</t>
  </si>
  <si>
    <t>Instruction: Tutorial (Video)</t>
  </si>
  <si>
    <t>Step Student</t>
  </si>
  <si>
    <t>Are you ready to start tracking your child's steps with your Garmin Watch? Watch the video, which will guide you through the basics of tracking steps with your Garmin and the HW8 Watch App.</t>
  </si>
  <si>
    <t>Video on HW8 Watch App Instructions</t>
  </si>
  <si>
    <t>Video</t>
  </si>
  <si>
    <t>Activity Log (Automatic)</t>
  </si>
  <si>
    <t>Stride Starter</t>
  </si>
  <si>
    <t>By monitoring your child's activity and tracking the steps, you’ll not only gain health benefits but you can also earn points! Log your child's steps for the first time. Try to reach at least 100 steps by taking a very short walk and syncing the app.</t>
  </si>
  <si>
    <t>DAY_AGGREGATE</t>
  </si>
  <si>
    <t>STEPS_SUM</t>
  </si>
  <si>
    <t>STRICTLY_GREATER</t>
  </si>
  <si>
    <t>Garmin</t>
  </si>
  <si>
    <t>A</t>
  </si>
  <si>
    <t>The 4K Walker</t>
  </si>
  <si>
    <t xml:space="preserve">Let's get moving! Your child's first challenge is to reach and log 4,000 steps. This is a great starting point to build a habit of walking and moving throughout the day. </t>
  </si>
  <si>
    <t>Info Box: [ Tip: Break it down by taking short walks, such as during breaks or after meals.]</t>
  </si>
  <si>
    <t xml:space="preserve"> 6K Star</t>
  </si>
  <si>
    <t xml:space="preserve">Great job on hitting 4,000 steps last time! Now it's time to challenge your child with 6,000 steps. This will help build stamina while continuing your daily movement. </t>
  </si>
  <si>
    <t>Info Box: [Tip: You can break it into smaller chunks, like a 10-minute walk in the morning, another in the afternoon, and an evening stroll.]</t>
  </si>
  <si>
    <t xml:space="preserve">Your child has made great progress, so let’s raise the bar to 8,000 steps! This will increase the endurance and keep you on track toward a more active lifestyle. </t>
  </si>
  <si>
    <t>Info Box: ["Tip: If you don’t have time for a long walk, try breaking it down into shorter bursts—aim for 3-4 walks throughout the day."]</t>
  </si>
  <si>
    <t>9K-Ninja</t>
  </si>
  <si>
    <t>You're doing fantastic! Now, let's go for 9,000 steps. This is a solid goal that will challenge the endurance while making your child feel accomplished.</t>
  </si>
  <si>
    <t>Info Box: ["Tip: Take a longer walk, like a 30-minute stroll around your neighborhood, to help boost your step count."]</t>
  </si>
  <si>
    <t>M</t>
  </si>
  <si>
    <t>Step Trainee</t>
  </si>
  <si>
    <t>Now that your child reached 4,000 steps, let’s try to make it a daily habit! Challenge your child to hit this goal at least 5 days a week. Remember, life happens – if you miss a day, don’t worry! Just focus on getting back on track tomorrow.</t>
  </si>
  <si>
    <t>Info Box: ["Tip: Consider taking the stairs instead of the elevator or walking to nearby destinations instead of driving."]</t>
  </si>
  <si>
    <t>Your child has successfully stepped up to 6,000 steps! Now it's time to build consistency. Aim to reach this goal on at least 5 days this week, turning it into a regular part of your routine. Don't let a busy day derail you, find small pockets of time to add steps.</t>
  </si>
  <si>
    <t>Info Box: ["Tip: Add an extra 5-minute walk in the morning and after lunch to help you reach your goal."]</t>
  </si>
  <si>
    <t>Admiral 8K</t>
  </si>
  <si>
    <t>Amazing work reaching 8,000 steps! To maintain this progress, focus on incorporating walking into your child's daily life. Aim to hit 8,000 steps on 4 days this week. Schedule short walks throughout the day, and remember that even a little extra effort can make a big difference.</t>
  </si>
  <si>
    <t>Info Box: ["Tip: Try parking a little farther away or leaving a bus stop farther from your destination to get some extra steps in."]</t>
  </si>
  <si>
    <t>Your child has made it to the final step goal! Now, focus on sustaining this momentum. Challenge your child to reach 9,000 steps on at least 4 days this week. Treat your daily walk as a non-negotiable appointment, and celebrate your successes along the way. Remember to be kind to your child and adjust as needed!</t>
  </si>
  <si>
    <t>Info Box: ["Tip: Take the opportunity to walk to a nearby park, explore a new area, or go for a walk with a friend."]</t>
  </si>
  <si>
    <t>PA2</t>
  </si>
  <si>
    <t>PA2 - A</t>
  </si>
  <si>
    <t>Open Question</t>
  </si>
  <si>
    <t>Walk Wisperer</t>
  </si>
  <si>
    <t>If you could fit a short 10-minute walk with your child into your day (today), what are the moments when you could potentially fit in a short walk?</t>
  </si>
  <si>
    <t xml:space="preserve"> Excuse Explorer</t>
  </si>
  <si>
    <t>What prevents your child from walking more during the day?</t>
  </si>
  <si>
    <t>The Mighty Walk</t>
  </si>
  <si>
    <t>Did you know that walking helps make your child's leg muscles stronger and keep sthe bones healthy?</t>
  </si>
  <si>
    <t>Tip</t>
  </si>
  <si>
    <t>More fun to the walks</t>
  </si>
  <si>
    <t>Same walking routs, same view: boring? Think how to get some of ideas on how to get more fun during the  walks and bring diversity in your daily life! Here come some of the ideas: add the theme your child's walk, gamify the walk, change the scenary, socialize, combine with hobbies!</t>
  </si>
  <si>
    <t>Short snippets of people describing how they are getting more fun during the walks (colour hunt, counting the animals or buildings, exploring different neigborhoods, using books and moovies, diverse toys and activities)</t>
  </si>
  <si>
    <t>Instruction</t>
  </si>
  <si>
    <t xml:space="preserve">The Pocket Walker </t>
  </si>
  <si>
    <t>In the last level you identified some moments when you could fit in a short walk with your child. Use it as inspiration and schedule in at least one short 10-minute walk this week</t>
  </si>
  <si>
    <t>Colour hunt with your buddy</t>
  </si>
  <si>
    <t>If you are already scheduling short walks with your child, why don't you try to make them more fun? Go for a walk and suggest your child to combine the walk with a search for a specific colour. For example, blue. It could be any object your child encounter on the walk. The more, the better! Invite you child's friend and let the children compete to see who has the most such objects.</t>
  </si>
  <si>
    <t>Activity Log</t>
  </si>
  <si>
    <t xml:space="preserve">Start with an easy and relaxed 15-minute walk with your child. Pick a nearby location (e.g. park, café, supermarket) and walk there. The goal is to make walking a habit, starting with short, manageable distances. </t>
  </si>
  <si>
    <t>You probably take the same route home from kindergarten or school Suggest your child to make your route a little longer. Be creative, and try walking ~30 minutes</t>
  </si>
  <si>
    <t>You are getting used to the walking vibe. Now pick a route that your child has never walked before, and explore it for about 60 minutes. It can be a beautiful park nearby or exploring the streets of a neighborhood your child has not been so often in before. Use this time to enjoy new sights, discover interesting places, or simply take in the fresh air.</t>
  </si>
  <si>
    <t>Walkend Adventure</t>
  </si>
  <si>
    <t>Time for a weekend adventure! Go for a weekend mini-trip with your child involving at least 75 minutes of walking. Explore a nearby town, hike a scenic trail, or visit a local attraction. Pack a lunch, suggest to invite your child's friend, and enjoy a full day of discovery!</t>
  </si>
  <si>
    <t>Daily Walking Doses</t>
  </si>
  <si>
    <t>Now, let’s make 15-minute walks a habit! Aim to do short 15-minute walks at least 3 times per week.</t>
  </si>
  <si>
    <t>Info Box: [Tip: Get off at an earlier bus stop, explore a new section of your neighborhood, or take a scenic route to your favorite place in the neigborghood]</t>
  </si>
  <si>
    <t>Enjoy extended routes</t>
  </si>
  <si>
    <t>Now you and your child have already tried to extend the usual route from school or kindergarten. Try to implement this more often into your daily routine. Aim to extend the route at least 3 times per week.</t>
  </si>
  <si>
    <t>Weekly Discovery Walk</t>
  </si>
  <si>
    <t>Continue exploring new routes for 60 minutes at least twice per week. Make it a weekly ritual to discover new parts of your city or enjoy the beauty of nature.</t>
  </si>
  <si>
    <t>Info Box:[Tip:  It is much more fun when bringing a friend. Consider meeting and catching up with freinds over a walk]</t>
  </si>
  <si>
    <t>Make daily walking a non-negotiable part of your weekly routine. Schedule weekly walks to explore nature, meet with friends or  choose walking to your destinations as much as possible. Consistency is key! Your goal is to get at least 30 minutes of walking activity 5 times per week.</t>
  </si>
  <si>
    <t>Chair Trouble Club</t>
  </si>
  <si>
    <t>Did you know that sitting for long time promotes poor posture, disrupts cerebral circulation causing mental fatigue and reduced focus, raises blood pressure, bad cholesterol and insulin resistance increasing a risk of heart disease and diabetes even in children?</t>
  </si>
  <si>
    <t>The Seat Trap</t>
  </si>
  <si>
    <t xml:space="preserve"> Did you know that "long sitting time” generally refers to uninterrupted periods of sitting lasting around 60 minutes or more. How long is your child's sitting time during the day?</t>
  </si>
  <si>
    <t>Options: [Less than 1 hour; About 1 h; More than 1 hour]</t>
  </si>
  <si>
    <t>Micro-Move Magic</t>
  </si>
  <si>
    <t>Did you know that even a 2-minute moving break makes your child's heart pump faster, which keeps it healthy and strong.</t>
  </si>
  <si>
    <t>Activity Log (Photo)</t>
  </si>
  <si>
    <t>Quick Fix</t>
  </si>
  <si>
    <t>Explore the space where your child most often sits motionless. Invite your child to take aphoto of themselves taking a short break and showing the most funny movement idea!</t>
  </si>
  <si>
    <t>Garmin Go Time</t>
  </si>
  <si>
    <t>You can use your  child's Garmin for an extra nudge in order to get more active- The next video will show you how to easily do that:</t>
  </si>
  <si>
    <t>Video on reminder configuration</t>
  </si>
  <si>
    <t>Move-it Club</t>
  </si>
  <si>
    <t>If your child needs an idea of what to do during the moving breaks, here is something  for the inspiration: move like an animal, "mirror me" activity, opposite action. Choose your favorite and explore more</t>
  </si>
  <si>
    <t>Flip-It Fun</t>
  </si>
  <si>
    <t>Suggest your child to play a game where your child does the OPPOSITE of what  you say or show!"Say “Jump up!” → Your child should crouch down.
Say “Move fast!” → Your child should move slowly.
Say “Stretch tall!” → Your child should curl small like a ball.
Say “Run in place!” → Your child should freeze like a statue.</t>
  </si>
  <si>
    <t>Superhero Training</t>
  </si>
  <si>
    <t>Tell your kid: "You’re superheroes getting ready for your next mission! Let’s train your powers!"Pick 4–5 quick moves (each 20–30 seconds):
Power Jump – Jump high like you’re flying.
Shield Pose – Stand strong with arms out like a shield.
Laser Squats – Squat down and “shoot lasers” from your hands.
Speed Run – Run in place like The Flash.
Balance Beam – Stand on one foot like you’re walking on a rooftop.</t>
  </si>
  <si>
    <t>Animal Moves</t>
  </si>
  <si>
    <t>Suggest your child to move like an animal. Choose any of the list: Frog Jumps – Squat and jump forward like a frog, Bear Crawl – Walk on hands and feet like a bear, Crab Walk – Sit and walk backward on hands and feet like a crab, Elephant Stomps – March with heavy steps and swing arms like a trunk, Bird Flaps – Flap arms and hop like a bird</t>
  </si>
  <si>
    <t>Spelling Steps</t>
  </si>
  <si>
    <t>Suggest you child to spell the words with the steps: each letter = one step or move! Have a fun!</t>
  </si>
  <si>
    <t>Microbreak Starter</t>
  </si>
  <si>
    <t>Take a 1-minute movement break at least three times today. You can maybe use the animal moves  or any moves that your child likes.</t>
  </si>
  <si>
    <t>Microbreak Builder</t>
  </si>
  <si>
    <t xml:space="preserve">Take a 2-minute movement break at least three times today. You can combine some of the moves your child has learned so far or add some of your favorites. </t>
  </si>
  <si>
    <t>Microbreak Master</t>
  </si>
  <si>
    <t>Take a 2-3 minute movement break (choose 3-4 different moves) 3 times per day at least two times per week</t>
  </si>
  <si>
    <t>Microbreak Champion</t>
  </si>
  <si>
    <t>Consistently take 7+ movement breaks throughout your child's week, each lasting 2-3 minutes, choosing a variety of moves, whatever suits you best at the moment at least 3 times per day</t>
  </si>
  <si>
    <t>Outdoor play power</t>
  </si>
  <si>
    <t>Did you know that outdoor play naturally encourages moderate-to-vigorous activity—children outdoors for at least 2 hours a day get ~27% more active than peers who stay inside.</t>
  </si>
  <si>
    <t>Check progress</t>
  </si>
  <si>
    <t>Your child has made a progress and reduces sitting time. Compare your child's sitting time now and one month ago. Is it still reducing?</t>
  </si>
  <si>
    <t>Options: [Yes, No, No changes]</t>
  </si>
  <si>
    <t>The Outside Snap</t>
  </si>
  <si>
    <t>Even one short movement break outside encourage more active play, improve your child's motor skills, focus and learning ability, reduce stress. Additionally, sunlight supports bone health and immunity.</t>
  </si>
  <si>
    <t>Dream Break Doodles</t>
  </si>
  <si>
    <t>There are so many different things you can do outside, even on short breaks! Suggest your chilld to draw what they would like to do during short breaks if some of them were outside</t>
  </si>
  <si>
    <t>Info Box: [Don't foget to take a picture of your masterpiece and share it with us!]</t>
  </si>
  <si>
    <t>Next turn is outdoor</t>
  </si>
  <si>
    <t>Schedule your child's outdoor activity: try to plan at least one of your child's movement breaks outdoor</t>
  </si>
  <si>
    <t>Fresh Air Fun Finder</t>
  </si>
  <si>
    <t>If your child needs an idea of what to do during the movement breaks outdoor, here is something  for the inspiration: jumping with rope, run to a marker and return, do animal walks, leaf hunt, balance challenge and more. Choose your favorite and explore more</t>
  </si>
  <si>
    <t>Hop and Loop</t>
  </si>
  <si>
    <t>Suggest your child to go outside for one of their movement breaks: make a 1-minute jump rope challenge there.Do as many rope jumps as possible during 1 minute.</t>
  </si>
  <si>
    <t>Info Box: [Don´t forget to share the answer with us!]</t>
  </si>
  <si>
    <t>X</t>
  </si>
  <si>
    <t>Mini scavanger hunt</t>
  </si>
  <si>
    <t xml:space="preserve">Suggest you child to pick 3–5 simple, safe items from nature or the playground, such as: leaf, small stick, something round, during the short outdoor movement break. </t>
  </si>
  <si>
    <t>Info Box: [Don't foget to take a picture of the objects and share it with us!]</t>
  </si>
  <si>
    <t>Suggest you child to move like a frog, crab, or bear across a short distance during the outdoor movement break. How many animals there were?</t>
  </si>
  <si>
    <t>Cloud Shapes</t>
  </si>
  <si>
    <t>Suggest you child to spot the cloud and to act them outduring the outdoor movement break. What was the cloud look like?</t>
  </si>
  <si>
    <t>Microbreak Air Starter</t>
  </si>
  <si>
    <t>Take at least 1 outdoor 5-minute movement break for your child. You can maybe use the animal moves  or any moves that your child likes.</t>
  </si>
  <si>
    <t>Microbreak Air Builder</t>
  </si>
  <si>
    <t xml:space="preserve">Take a 1 outdoor 5-7-minute movement break at least 1 time per week for your child. You can combine some of the moves your child has learned so far or add some of your favorites. </t>
  </si>
  <si>
    <t>Microbreak Air Master</t>
  </si>
  <si>
    <t xml:space="preserve">Take a 1 outdoor 5-7-minute movement break at least 2 times per week for your child. You can combine some of the moves your child has learned so far or add some of your favorites. </t>
  </si>
  <si>
    <t>Microbreak Air Champion</t>
  </si>
  <si>
    <t xml:space="preserve">Take at least 1 outdoor 5-7-minute movement break every day during the week  for your child. You can combine some of the moves your child has learned so far or add some of your favorites. </t>
  </si>
  <si>
    <t>Game Power</t>
  </si>
  <si>
    <t xml:space="preserve">Did you know that games that include running, jumping and throwing are beneficial for children? These games enchance motor skils and physical health in general helping maintain a healthy weight and reducing the risk of developing chronic conditions like obesity and diabetes later in life; cognitive development improving problem-solving skills and focus; social and emotional well-being that influences on the teamwork and communication ability; and improve sleep. </t>
  </si>
  <si>
    <t>PC2-PA4-A-Children</t>
  </si>
  <si>
    <t>Missing Play Mistery</t>
  </si>
  <si>
    <t>Observe your child: does he play games including running, jumping or throwing? If not, try to understand why. Check if your child has the skills of running, jumping and throwing, and maybe it is time to learn something new together?</t>
  </si>
  <si>
    <t>C1-PA4-A-Children</t>
  </si>
  <si>
    <t>Playtime Picks</t>
  </si>
  <si>
    <t>Here is the list of the games including running (Freeze Tag, Shadow Tag, Treasure Dash), jumping (Jumping Rope, Jumping Obstacle Course, Hop Scotch), and throwing (Beanbag Toss, Target Throw, Bucket Challenge). Keep it for further!</t>
  </si>
  <si>
    <t>C2-PA4-A-Children</t>
  </si>
  <si>
    <t>The Playground Detective</t>
  </si>
  <si>
    <t xml:space="preserve">Take a quick check of the closest space (for example, playground) where your child could go and play! Think, which kinds of activities or games your child could do here: how about running, jumping, throwing?  
Share a photo of the space! </t>
  </si>
  <si>
    <t>P1-PA4-A-Children</t>
  </si>
  <si>
    <t>The Game Debate</t>
  </si>
  <si>
    <t>Google one game from the list, that you already studied, and watch the video with your child. Let us know which game you choose</t>
  </si>
  <si>
    <t>P2-PA4-A-Children</t>
  </si>
  <si>
    <t>Time to Play</t>
  </si>
  <si>
    <t>Go for a walk with your child and play the game choosen from the list</t>
  </si>
  <si>
    <t>A1-PA3-C-Children</t>
  </si>
  <si>
    <t>Freeze Tag</t>
  </si>
  <si>
    <t>Suggest your child to play Freeze Tag when they are outside. Choose a tagger, the tagger tries to tag other player(s), when a player is tagged, they must "freeze" in place. Let your child becreative and suggest how to "unfreeze" the player!</t>
  </si>
  <si>
    <t>A2-PA3-C-Children</t>
  </si>
  <si>
    <t>Hop Scotch</t>
  </si>
  <si>
    <t xml:space="preserve">Suggest your child to play Hop Scotch when they are outside. Tip: draw a serie of numbered squares (1-10) arranged in a pattern, add a semicircle of "home" at the top. </t>
  </si>
  <si>
    <t>A3-PA3-C-Children</t>
  </si>
  <si>
    <t>Bucket Challenge</t>
  </si>
  <si>
    <t>Suggest your child to play Bucket Challenge when they are outside. Tip: take a small bucket or container when go outside, small objects to throw (balls, sponges, bean bags). Place a bucket on the ground, mark a staring line a few steps away, and START!</t>
  </si>
  <si>
    <t>A4-PA3-C-Children</t>
  </si>
  <si>
    <t>More Fun With Friend</t>
  </si>
  <si>
    <t>Suggest your child to invite a friend and to play one of the games that they already learnt, outside</t>
  </si>
  <si>
    <t>M1-PA3-C-Children</t>
  </si>
  <si>
    <t>Run/Jump/Throw Starter</t>
  </si>
  <si>
    <t xml:space="preserve">Include at least 1 outdoor game including running, jumping or throwing in your child's 30-minutes walk at least once per week. </t>
  </si>
  <si>
    <t>M2-PA3-C-Children</t>
  </si>
  <si>
    <t>Run/Jump/Throw Builder</t>
  </si>
  <si>
    <t xml:space="preserve">Include at least 1 outdoor game including running, jumping or throwing in your child's 30-minutes walk at least two times per week. </t>
  </si>
  <si>
    <t>M3-PA3-C-Children</t>
  </si>
  <si>
    <t>Run/Jump/Throw Master</t>
  </si>
  <si>
    <t xml:space="preserve">Include at least 1 outdoor game including running, jumping or throwing in your child's 60-minutes walk at least once per week. </t>
  </si>
  <si>
    <t>M4-PA3-C-Children</t>
  </si>
  <si>
    <t>Run/Jump/Throw Champion</t>
  </si>
  <si>
    <t xml:space="preserve">Include at least 1 outdoor game including running, jumping or throwing in your child's 60-minutes walk at least three times per week. </t>
  </si>
  <si>
    <t>DN1-A</t>
  </si>
  <si>
    <t>Grain Boost</t>
  </si>
  <si>
    <t xml:space="preserve">We're curious about your child's wohle grain's diet. How many meals do you have that incorporate whole grain's food? </t>
  </si>
  <si>
    <t>Question Options: [Once a week/ 2-4 meals a week/ 4-6 meals a week / Everyday/ Never]</t>
  </si>
  <si>
    <t>GameBus</t>
  </si>
  <si>
    <t>The Great Grain Quest</t>
  </si>
  <si>
    <t>Let's test your knowledge! There are plenty of whole grains, how many can you name? Don't cheat and only use your memory! If you don't know we can give you a head start: popcorn is a whole-grain!</t>
  </si>
  <si>
    <t>Info Box: [Write down your child's answers in the text box below]</t>
  </si>
  <si>
    <t>GENERAL_ACTIVITY</t>
  </si>
  <si>
    <t>DESCRPTION; SECRET</t>
  </si>
  <si>
    <t>DIFFERENT; EQUAL</t>
  </si>
  <si>
    <t>(null); 6oUjp5Vb</t>
  </si>
  <si>
    <t>Grain Goals</t>
  </si>
  <si>
    <t>Whole grains help keep you full longer, so you’re less likely to snack like a raccoon at midnight.</t>
  </si>
  <si>
    <t>Grain Brain Time</t>
  </si>
  <si>
    <t>Whole grain = whole brain fuel . If it says “100% whole grain,” that’s the winner!</t>
  </si>
  <si>
    <t>Nutrida's explorer</t>
  </si>
  <si>
    <t>Log in into Nutrida and explore the APP .</t>
  </si>
  <si>
    <t>Info Box: [Read out loud this helpful tip to your child: Eating whole grains helps you stay full longer, so your stomach doesn’t shout, “SNACK TIME!”]</t>
  </si>
  <si>
    <t>VISIT_APP_PAGE</t>
  </si>
  <si>
    <t>PAGE_NAME</t>
  </si>
  <si>
    <t>DIFFERENT</t>
  </si>
  <si>
    <t>nonsense</t>
  </si>
  <si>
    <t>Nutrida</t>
  </si>
  <si>
    <t>It's Whole Grain's time!</t>
  </si>
  <si>
    <t>Prepare and log in a meal with Nutrida where it incorporates whole grain food.</t>
  </si>
  <si>
    <t>Info Box: [1 serving of whole grains is equal to: 30–40 g dry oats, 40 g whole-grain bread (≈ 1 slice), 75 g cooked brown rice, whole-wheat pasta, quinoa or 30 g whole-grain cereal (check label: whole grain first)]</t>
  </si>
  <si>
    <t>PLAN_MEAL</t>
  </si>
  <si>
    <t>NR_MEALS</t>
  </si>
  <si>
    <t>EQUAL</t>
  </si>
  <si>
    <t>Let's get Grainy</t>
  </si>
  <si>
    <t>This week eat 1 serving of a whole-grain food (like 1 slice whole-grain bread or ½ cup oatmeal).</t>
  </si>
  <si>
    <t>Info Box: [Kids care more about shape and texture than ingredients, so be creative and have fun!]</t>
  </si>
  <si>
    <t>NUTRITION_SUMMARY</t>
  </si>
  <si>
    <t>CARBS_CONFORMANCE; AGGREGATION_LEVEL</t>
  </si>
  <si>
    <t>STRICTLY_GREATER; EQUAL</t>
  </si>
  <si>
    <t>25; WEEKLY</t>
  </si>
  <si>
    <t>Grain-tastic!</t>
  </si>
  <si>
    <t>On 2 different days this week, eat 1 serving of a whole-grain food (like 1 slice whole-grain bread or ½ cup oatmeal).</t>
  </si>
  <si>
    <t>Info Box: [Eat whole grains yourself. Kids notice more than you think. Talk about how they help you feel strong and full.]</t>
  </si>
  <si>
    <t>50; WEEKLY</t>
  </si>
  <si>
    <t>Holy Whole Grains!</t>
  </si>
  <si>
    <t>For 5 days, eat 1 serving of whole grains each day. Try them at breakfast, lunch, or dinner.</t>
  </si>
  <si>
    <t>Info Box: [Some kids prefer softer whole-grain breads or well-cooked pasta. Toasting can help with texture and flavor.]</t>
  </si>
  <si>
    <t>75; WEEKLY</t>
  </si>
  <si>
    <t>The Whole-Grain Zone</t>
  </si>
  <si>
    <t>For 7 days, eat 2–3 servings of whole grains each day. Make whole grains your “default” choice when possible.</t>
  </si>
  <si>
    <t>Info Box: [Progress over perfection. One whole-grain choice a day still counts!]</t>
  </si>
  <si>
    <t>100; WEEKLY</t>
  </si>
  <si>
    <t xml:space="preserve">Whole-Grain World </t>
  </si>
  <si>
    <t>Record 2 meals that integrate whole grain's foods during the week.</t>
  </si>
  <si>
    <t>Info Box: [Don't forget to plan the meals in the Nutrida APP to gain points!]</t>
  </si>
  <si>
    <t>Whole-Grain Power</t>
  </si>
  <si>
    <t>Record 4 meals that integrate whole grain's foods during the week.</t>
  </si>
  <si>
    <t>Whole-Grain Time</t>
  </si>
  <si>
    <t>Record 5 meals that integrate whole grain's foods during the week.</t>
  </si>
  <si>
    <t>Whole-Grain Master</t>
  </si>
  <si>
    <t>Record 6 meals that integrate whole grain's foods during the week.</t>
  </si>
  <si>
    <t>DN1-B</t>
  </si>
  <si>
    <t>Energy on a Plate</t>
  </si>
  <si>
    <t xml:space="preserve">We're curious about your child's starchy consumption. How many meals do you have that incorporate starchy food? </t>
  </si>
  <si>
    <t>Carb Stars</t>
  </si>
  <si>
    <t xml:space="preserve">Let's have a look at your child's starchy food's knowledge! Write down all the starchy foods that your child knows! </t>
  </si>
  <si>
    <t>Info Box: [Write down the list in the text box below]</t>
  </si>
  <si>
    <t>Fuel Up!</t>
  </si>
  <si>
    <t>Starchy foods are your “GO” foods. They give you energy to run, play, and think. Non-starchy foods are your “GROW &amp; GLOW” foods. They help your body stay healthy and strong!</t>
  </si>
  <si>
    <t>Ready, Set, GO Foods!</t>
  </si>
  <si>
    <t>Let's play a game called: "Go food or GROW food". Here is what you'll need: Food pictures or cards (real foods, drawings, or flashcards) and Two labeled areas: the "GO foods" area and the "GROW foods area". The rules are simple: 1. Show a food card (example: rice, potato, broccoli, apple).  2. The child decides: GO Food (starchy) → jump in place. GROW Food (non-starchy) → stretch tall. 3. Place the card in the correct area. 4. Say the food name together and why it goes there.</t>
  </si>
  <si>
    <t>Info Box: [Don't forget to log in the score! For each one correct one point!]</t>
  </si>
  <si>
    <t>Self-Monitoring</t>
  </si>
  <si>
    <t>Carb Crew</t>
  </si>
  <si>
    <t>Starchy foods are “energy foods” they power playtime, school, and growing bodies.</t>
  </si>
  <si>
    <t>Play Power</t>
  </si>
  <si>
    <t>Prepare and log in a meal with Nutrida where it incorporates starchy food as a base.</t>
  </si>
  <si>
    <t>Info Box: [1 serving of starchy food is equal to: 40 g bread (1 slice), 75–80 g cooked rice, pasta, couscous, noodles, 150 g cooked potato (1 small), 80 g sweet potato or corn or 30 g breakfast cereal]</t>
  </si>
  <si>
    <t>Let's get Starchy</t>
  </si>
  <si>
    <t>This week eat 1 serving of a starchy food at a meal or snack (like bread, rice, pasta, or potato).</t>
  </si>
  <si>
    <t>Info Box: [Think “base food”. Start meals with a starchy food (rice, pasta, potatoes), then add protein and veggies.]</t>
  </si>
  <si>
    <t>Star-tastic!</t>
  </si>
  <si>
    <t>On 2 days this week, eat 1 serving of a starchy food at a meal or snack (like bread, rice, pasta, or potato).</t>
  </si>
  <si>
    <t>Info Box: [Soft textures win. Slightly overcook whole-grain pasta or rice for kids who prefer softer foods.]</t>
  </si>
  <si>
    <t>Holy starch!</t>
  </si>
  <si>
    <t>For 5 days, eat 1 serving of starchy food each day at a meal. Try breakfast, lunch, or dinner!</t>
  </si>
  <si>
    <t>Info Box: [Shape matters. Kids love starchy foods in fun shapes—spiral pasta, mini potatoes, toast cut into stars.]</t>
  </si>
  <si>
    <t>The Carb Zone</t>
  </si>
  <si>
    <t>For 7 days, include starchy foods at every main meal to fuel your body for play and learning.</t>
  </si>
  <si>
    <t>Info Box: [Starchy foods are kid-safe comfort foods. When kids are sick, tired, or overwhelmed, simple starchy foods are often easiest to eat.]</t>
  </si>
  <si>
    <t xml:space="preserve">Starchy World </t>
  </si>
  <si>
    <t>Record 2 meals that integrate starchy foods during the week.</t>
  </si>
  <si>
    <t>Starch Power</t>
  </si>
  <si>
    <t>Record 4 meals that integrate starchy foods during the week.</t>
  </si>
  <si>
    <t>Starch Time</t>
  </si>
  <si>
    <t>Record 5 meals that integrate starchy foods during the week.</t>
  </si>
  <si>
    <t>Starch Master</t>
  </si>
  <si>
    <t>Record 6 meals that integrate starchy foods during the week.</t>
  </si>
  <si>
    <t>DN2-A</t>
  </si>
  <si>
    <t>Healthy Heroes</t>
  </si>
  <si>
    <t xml:space="preserve">We're curious about your child's fruit and vegetable intake. How many meals does your child eat that incorporate fruits and vegetables? </t>
  </si>
  <si>
    <t>Snack Attack</t>
  </si>
  <si>
    <t>Fruits are the sweet plant treats, they grow from flowers and often have seeds. Vegetables are the plant helpers, they can be roots, leaves, or stems and help your body grow strong.</t>
  </si>
  <si>
    <t>Garden Gang</t>
  </si>
  <si>
    <t>Draw a big party where fruits and vegetables are having fun together! Fruits can be sweet and colorful and vegetables can be strong and crunchy!</t>
  </si>
  <si>
    <t>Plant Power</t>
  </si>
  <si>
    <t>Vegetables are like superheroes for your body! They help you grow strong, keep your tummy happy, and give you super energy to play.
Fruits are sweet sidekicks they give you vitamins and keep you healthy too!</t>
  </si>
  <si>
    <t>Fruity and veggie chef</t>
  </si>
  <si>
    <t>Imagine you are a MasterChef for the day! You get to create a 3-course meal using only fruits and vegetables. Create and describe your starter, main dish, and dessert. Make it colorful, creative, and super tasty. Your dishes can be as magical or silly as you like!</t>
  </si>
  <si>
    <t>Grow Strong Foods</t>
  </si>
  <si>
    <t>Prepare and log in a meal with Nutrida where it incorporates vegetables, don´t forget the fruity dessert!</t>
  </si>
  <si>
    <t>Info Box: [1 serving of fruits and vegetables is equal to: 1 medium fruit (≈ 120–150 g), 150 g cut fruit, 150 g berries, 150 g fruit purée (no added sugar), 80 g cooked vegetables, 80 g raw vegetables, 40 g leafy greens (raw) or 150 g vegetable purée (no added salt)]</t>
  </si>
  <si>
    <t>Tiny Tasty Treats</t>
  </si>
  <si>
    <t xml:space="preserve">This week eat 1 serving of fruit and vegetables. </t>
  </si>
  <si>
    <t>Info Box: [Use Fun Names: Call broccoli “little trees” or carrots “orange rockets”.]</t>
  </si>
  <si>
    <t>FIBER_CONFORMANCE; AGGREGATION_LEVEL</t>
  </si>
  <si>
    <t>Healthy Bites</t>
  </si>
  <si>
    <t xml:space="preserve">On 3 days this week, eat 1 serving of fruit and vegetables. </t>
  </si>
  <si>
    <t>Info Box: [Let Kids Help: Have kids wash, peel, or arrange fruits and veggies.]</t>
  </si>
  <si>
    <t>Yummy Garden</t>
  </si>
  <si>
    <t xml:space="preserve">For 5 days, eat 2 servings of fruits and/or vegetables each day. </t>
  </si>
  <si>
    <t>Info Box: [Make dips, spreads, or patties. Smooth textures help introduce vegetables to kids who dislike lumps]</t>
  </si>
  <si>
    <t>Seed to Snack</t>
  </si>
  <si>
    <t>For 7 days, eat fruits and vegetables at every meal, aiming for lots of different colors.</t>
  </si>
  <si>
    <t>Info Box: [Add a Dip: Kids love healthy dips like yogurt, hummus, or guacamole.]</t>
  </si>
  <si>
    <t>Fruit &amp; Veggie Safari</t>
  </si>
  <si>
    <t xml:space="preserve"> Incorporate a piece of fruit and one vegetable for a week</t>
  </si>
  <si>
    <t>MEAL_TYPE</t>
  </si>
  <si>
    <t>CONTAINS</t>
  </si>
  <si>
    <t>FIBER</t>
  </si>
  <si>
    <t>Treasure in the Garden</t>
  </si>
  <si>
    <t>Incorporate 2 pieces of fruit and vegetables for a week</t>
  </si>
  <si>
    <t>Farm to Table Fun</t>
  </si>
  <si>
    <t>Incorporate 3 pieces of fruits and vegetables for a week. Change one type or colour</t>
  </si>
  <si>
    <t>Info Box: [Make Food Colorful, kids eat with their eyes first! Include reds, greens, yellows, and purples on the plate.]</t>
  </si>
  <si>
    <t>Eat the Rainbow</t>
  </si>
  <si>
    <t>Incorporate 5 pieces of fruits and vegetables for a week. Vary types and colours</t>
  </si>
  <si>
    <t>DN3-A</t>
  </si>
  <si>
    <t>Dairy-licious!</t>
  </si>
  <si>
    <t>We're curious about your child's dairy intake. How many meals does your child eat that incorporate dairy? Remembre that dairy products include cheese and butter aswell!</t>
  </si>
  <si>
    <t>The Dairy Zone</t>
  </si>
  <si>
    <t>What's your child's favourite dairy? Make a list of the top 3 and ask him, if those three ingredients had to compete in a race, who would win and why?</t>
  </si>
  <si>
    <t>Dairy Dash</t>
  </si>
  <si>
    <t>Dairy foods give energy! They help your muscles move and play. They are full of calcium that helps you grow tall and strong.</t>
  </si>
  <si>
    <t>Info Tip (Video)</t>
  </si>
  <si>
    <t>Yogurt Yays</t>
  </si>
  <si>
    <t>Yogurt has good bugs! These “good bacteria” help your tummy feel happy. Here is a fun video that explains how youghurt is made!</t>
  </si>
  <si>
    <t>Video: https://youtu.be/1ZSoYrHyX9c?si=RA40M_UPqi0yXb6f</t>
  </si>
  <si>
    <t>H5P_GENERAL</t>
  </si>
  <si>
    <t>DURATION</t>
  </si>
  <si>
    <t>Mystery Taste Test</t>
  </si>
  <si>
    <t>Help your child explore new dairy foods in a fun, pressure-free way. You'll need: 3–5 small portions of different dairy products, a clean blindfold or have your child close their eyes, napkins, spoons, cups and water for rinsing between tastes. Its important to only use foods your child is safe to eat (no allergies). Tips for Success: Keep it short (5–10 minutes). Repeat another day—familiarity builds acceptance. Join in! Kids love when parents play too. Don't forget to take a picture and share the experience with us!</t>
  </si>
  <si>
    <t>Info Box: [The instructions for your child could be: "Get ready to be a food detective! You will try mystery dairy foods while your eyes are covered. Use your senses to guess: Is it smooth or crunchy? Is it sweet or plain? Is it cold or warm? After each taste, draw a face or give a thumbs-up, thumbs-sideways, or thumbs-down.
There are no wrong answers this game is all about trying something new and having fun!"]</t>
  </si>
  <si>
    <t>Moo-ving Snacks</t>
  </si>
  <si>
    <t>Prepare and log in a meal with Nutrida where it incorporates dairy-based food</t>
  </si>
  <si>
    <t>Info Box: [1 serving of dairy-based food is equal to: 200 ml milk, 125 g yogurt, 30 g cheese (matchbox-sized piece), 150 g cottage cheese or 200 ml fortified dairy-based drink]</t>
  </si>
  <si>
    <t>Bone Boosters</t>
  </si>
  <si>
    <t>This week have 1 serving of a dairy-based food or drink (like milk, yogurt, or cheese).</t>
  </si>
  <si>
    <t>Info Box: [Model Healthy Habits. Kids copy what parents eat and drink, enjoy dairy together at meals or snacks!]</t>
  </si>
  <si>
    <t>FAT_CONFORMANCE; AGGREGATION_LEVEL</t>
  </si>
  <si>
    <t>Strong Stuff</t>
  </si>
  <si>
    <t>On 3 days this week, have 1 serving of a dairy-based food or drink (like milk, yogurt, or cheese).</t>
  </si>
  <si>
    <t>Info Box: [Try lactose-free milk or yogurt if needed. If dairy is limited, talk to a healthcare provider about calcium sources.]</t>
  </si>
  <si>
    <t>Calcium Power</t>
  </si>
  <si>
    <t>For 5 days, have 1 serving of dairy every day</t>
  </si>
  <si>
    <t>Info Box: [Use Dairy in Cooking! Add milk to soups, cheese to veggies, yogurt to sauces. This helps picky eaters get dairy without noticing.]</t>
  </si>
  <si>
    <t>Dairy Fuel</t>
  </si>
  <si>
    <t xml:space="preserve">For 7 days, aim for 2–3 servings of dairy each day </t>
  </si>
  <si>
    <t>Info Box: [Texture and Temperature Matter: Cold milk vs. warm milk, Smooth yogurt vs. chunky yogurt. Small changes can make a big difference.]</t>
  </si>
  <si>
    <t>Build-a-Bone</t>
  </si>
  <si>
    <t>Incorporate one dairy-based product for a week</t>
  </si>
  <si>
    <t>Say Cheese!</t>
  </si>
  <si>
    <t>Incorporate 1 different dairy-based product for a week</t>
  </si>
  <si>
    <t>Info Box: [Dairy product are not only Milk and Youghurt, remember to include Cheese and Butter! Don't forget to plan the meals in the Nutrida APP to gain points!]</t>
  </si>
  <si>
    <t>Dairy master</t>
  </si>
  <si>
    <t>Incorporate 2 different dairy-based products for a week</t>
  </si>
  <si>
    <t>Varie-dairy</t>
  </si>
  <si>
    <t>Incorporate non-sugary dairy products for a week</t>
  </si>
  <si>
    <t>DN4-A</t>
  </si>
  <si>
    <t>Super Seeds</t>
  </si>
  <si>
    <t>Let's test your knowledge on plant-based food. Which of the following best describes plant-based foods for children?</t>
  </si>
  <si>
    <t>Question Options: [Foods that come only from animals and provide protein/ Foods made mostly from plants, such as fruits, vegetables, grains, beans, nuts, and seeds, which provide fiber, vitamins, and minerals/ Foods that are only vegetables and do not include grains or beans]</t>
  </si>
  <si>
    <t>Veggie Heroes</t>
  </si>
  <si>
    <t>How many plant-based meals do you and your child know? Write them down and see how many can you get! Let's give you a head-start: Almond Milk is one!</t>
  </si>
  <si>
    <t>Plants can make “milk” too! Almond milk, soy milk, and oat milk come from plants, not cows.</t>
  </si>
  <si>
    <t>Quiz</t>
  </si>
  <si>
    <t>Tiny but Mighty</t>
  </si>
  <si>
    <t xml:space="preserve">Beans are plant-based food too! They provide lots of good nutrients to your body. Let's test your bean's knowledge by taking a fun Quiz! Try to do it together! </t>
  </si>
  <si>
    <t>Question1:[What are beans?] Answers:[Tiny rocks/ Seeds from plants/ Candy] Question2:[Why are beans good for your body?] Answers:[They help you grow strong muscles/ They give you super-speed flying powers/ They make your hair turn rainbow colors] Question3:[What color can beans be?] Answers:[Only white/ Red, black, white, and more/ Only green]</t>
  </si>
  <si>
    <t>GENERAL_SURVEY</t>
  </si>
  <si>
    <t>GENERAL_SURVEY_ANSWER</t>
  </si>
  <si>
    <t>Bean Boozled</t>
  </si>
  <si>
    <t xml:space="preserve">Beans have a funny shape that can be used as a body for a funny little character! Let's see how creative your child can be by drawing a superhero with a bean-based body! </t>
  </si>
  <si>
    <t>Boogie Beans</t>
  </si>
  <si>
    <t>Prepare and log in a meal with Nutrida where it incorporates plant-based food</t>
  </si>
  <si>
    <t>Info Box: [1 serving of plant-based food is equal to: 80 g cooked beans, lentils, chickpeas, 100 g tofu or tempeh, 40 g hummus, 15 g seeds or 15 g nut or seed butter]</t>
  </si>
  <si>
    <t>Pea Party</t>
  </si>
  <si>
    <t>This week eat 1 serving of a plant-based food (like beans, hummus, tofu, or nuts).</t>
  </si>
  <si>
    <t>Info Box: [Protein from plants builds strong muscles. Beans, lentils, tofu, and nuts give kids the protein they need to grow and play.]</t>
  </si>
  <si>
    <t>NUTRITION_DIARY</t>
  </si>
  <si>
    <t>PERC_PROTEINS; AGGREGATION_LEVEL</t>
  </si>
  <si>
    <t>Hummus Heroes</t>
  </si>
  <si>
    <t>On 2 days this week, eat 1 serving of a plant-based food (like beans, hummus, tofu, or nuts).</t>
  </si>
  <si>
    <t>Info Box: [Plant proteins are tummy-friendly. Many plant proteins have fiber, which helps digestion and keeps kids full longer.]</t>
  </si>
  <si>
    <t>Soy Squad</t>
  </si>
  <si>
    <t>For 5 days, eat 1 serving of plant-based food each day</t>
  </si>
  <si>
    <t>Info Box: [Variety keeps meals interesting. Mixing beans, lentils, tofu, quinoa, and nut butters introduces different textures, flavors, and nutrients.]</t>
  </si>
  <si>
    <t>Magic Beans</t>
  </si>
  <si>
    <t>For 7 days, eat 2 servings of plant-based foods each day</t>
  </si>
  <si>
    <t>Info Box: [Plant proteins support healthy hearts. They’re usually low in saturated fat and contain nutrients like magnesium and folate.]</t>
  </si>
  <si>
    <t>Protein Power</t>
  </si>
  <si>
    <t>Incorporate one plant-based product for a week</t>
  </si>
  <si>
    <t>Grow &amp; Glow</t>
  </si>
  <si>
    <t>Incorporate 2 plant-based product for a week</t>
  </si>
  <si>
    <t>Garden Goodies</t>
  </si>
  <si>
    <t>Incorporate 4 plant-based product for a week</t>
  </si>
  <si>
    <t>Healthy Harvest</t>
  </si>
  <si>
    <t>Incorporate 5 plant-based product for a week</t>
  </si>
  <si>
    <t>DN5-A</t>
  </si>
  <si>
    <t>Super Plant Fats</t>
  </si>
  <si>
    <t xml:space="preserve">We're curious about your child's plant-based oil consumption. How many meals do you have that incorporate plant fats in food? </t>
  </si>
  <si>
    <t>Let's test your child's fatty plant's knowledge! How many does he know? We'll give you a headstart: Avocado is one!</t>
  </si>
  <si>
    <t>Info Box: [Don´t forget to do it together and share the answer with us!]</t>
  </si>
  <si>
    <t>Superpower Oil</t>
  </si>
  <si>
    <t xml:space="preserve">Fats Are Fuel, But Not All the Same! Animal fats (like butter, cheese, and fatty meat) are solid and sometimes slow-moving, they give energy but too much isn’t great for your heart. Plant fats (like avocado, nuts, and olive oil) are liquid or soft and superhero-friendly, they help your heart, brain, and body stay strong </t>
  </si>
  <si>
    <t>Healthy Spread</t>
  </si>
  <si>
    <t>Olive oil is basically liquid sunshine for your body! Just a tablespoon a day can help your heart, boost brain health, and even make your skin glow. Bonus: it’s like nature’s multitasker—you can cook with it, drizzle it on salads, or even use it as a natural hair conditioner.</t>
  </si>
  <si>
    <t>Power Up!</t>
  </si>
  <si>
    <t>Let’s explore the science of plant fats! Grab a clear cup, some water, a few drops of food coloring, and olive oil. Together with your child, pour water into the cup, add food coloring, then slowly pour the oil on top. Watch how the oil floats and forms colorful layers. What hapens when you shake it?</t>
  </si>
  <si>
    <t>Info Box: [Don't foget to take a picture of this incredible science experiment and share it with us!]</t>
  </si>
  <si>
    <t>Olive oil Avengers!</t>
  </si>
  <si>
    <t>Prepare and log in a meal with Nutrida where it incorporates olive oil</t>
  </si>
  <si>
    <t>Info Box: [1 serving of plant-based fats equals to: 5 g oil (1 teaspoon)]</t>
  </si>
  <si>
    <t>Liquid Squad</t>
  </si>
  <si>
    <t>This week eat 1 serving of a olive oil</t>
  </si>
  <si>
    <t>Info Box: [Olive oil helps keep your heart strong. Tell kids their “heart has a shield” when they eat foods with olive oil.]</t>
  </si>
  <si>
    <t>PERC_FATS; AGGREGATION_LEVEL</t>
  </si>
  <si>
    <t>Olive Oil Odyssey</t>
  </si>
  <si>
    <t>On 2 days this week, eat 1 serving of a olive oil</t>
  </si>
  <si>
    <t>Info Box: [Olive oil contains healthy fats that help brains grow and stay sharp—like fuel for thinking superpowers.]</t>
  </si>
  <si>
    <t>Butter from Plants</t>
  </si>
  <si>
    <t>For 5 days, eat 1 serving of olive oil each day</t>
  </si>
  <si>
    <t>Info Box: [People in Italy, Greece, and Spain eat olive oil daily—maybe that’s why they have lots of energy and happy smiles!]</t>
  </si>
  <si>
    <t>Fat-tastic Fun</t>
  </si>
  <si>
    <t>For 7 days, eat 2 servings of olive oil each day</t>
  </si>
  <si>
    <t>Info Box: [Let kids pour, drizzle, brush, or mix themselves, hands-on is more engaging.]</t>
  </si>
  <si>
    <t>Mighty Munchies</t>
  </si>
  <si>
    <t>Incorporate one fatty-based product like virgin olive oil in your meals for a week</t>
  </si>
  <si>
    <t>Super Spreadables</t>
  </si>
  <si>
    <t>Incorporate 2 fatty plant-based product like virgin olive oil for a week</t>
  </si>
  <si>
    <t>Plant Fat Party</t>
  </si>
  <si>
    <t>Replace butter or sunflower oil for virgin olive oil for a week</t>
  </si>
  <si>
    <t>Heart Helpers</t>
  </si>
  <si>
    <t>Replace butter or sunflower oil for virgin olive oil in all meals</t>
  </si>
  <si>
    <t>DN5-B</t>
  </si>
  <si>
    <t>Plant's Fat's Fun</t>
  </si>
  <si>
    <t xml:space="preserve">We're curious about your child's nuts consumption. How many meals do you have that incorporate nuts in food? </t>
  </si>
  <si>
    <t>Super Nuts</t>
  </si>
  <si>
    <t>Let's test your child's plant-based fat knowledge! How many does he know? We'll give you a headstart: Almond is one!</t>
  </si>
  <si>
    <t>Mighty Fats</t>
  </si>
  <si>
    <t xml:space="preserve">Nuts have protein, healthy fats, fiber, vitamins, and minerals all in one bite-sized snack! </t>
  </si>
  <si>
    <t>Tiny Power Bites</t>
  </si>
  <si>
    <t>You can incorporate nuts in the diet by adding some chopped nuts or a spoon of nut butter into oatmeal, yogurt, or smoothie bowls, making peanut or almond sauce for noodles or veggies or even by adding chopped or ground nuts to muffins, pancakes, or homemade granola bars.</t>
  </si>
  <si>
    <t>Nutty Art</t>
  </si>
  <si>
    <t>Let’s turn snack time into art time! Gather a variety of nuts, seeds, and safe spreads like peanut or almond butter. Together with your child, create pictures, patterns, or shapes on a plate or tray using the nuts and spreads</t>
  </si>
  <si>
    <t>Crunch Time</t>
  </si>
  <si>
    <t>Prepare and log in a meal with Nutrida where it incorporates plant-based fats</t>
  </si>
  <si>
    <t>Info Box: [1 serving of nuts is equal to: 15 g whole nuts, 15 g ground or chopped nuts or 15 g nut butter, , 30 g avocado (≈ ¼ medium avocado), 15 g nuts or seeds, 15 g nut or seed butter or 25 g olives (5–6 olives)]</t>
  </si>
  <si>
    <t>Power in a Bite</t>
  </si>
  <si>
    <t>This week eat 1 serving of healthy fat products</t>
  </si>
  <si>
    <t>Info Box: [Plant-based fats are packed with protein, which help kids grow strong muscles.]</t>
  </si>
  <si>
    <t>SUMMARY_CONFORMANCE; AGGREGATION_LEVEL</t>
  </si>
  <si>
    <t>Snack Superstars</t>
  </si>
  <si>
    <t>On 2 days this week, eat 1 serving of healthy fat products</t>
  </si>
  <si>
    <t>Info Box: [This fats are unsaturated fats, which help brain development, heart health, and energy.]</t>
  </si>
  <si>
    <t>Plant Buddies</t>
  </si>
  <si>
    <t>For 5 days, eat 1 serving of healthy fat products</t>
  </si>
  <si>
    <t>Info Box: [Plant-based fats provide vitamins E and B, magnesium, zinc, and iron, supporting immunity, bones, and energy.]</t>
  </si>
  <si>
    <t>Healthy Explorers</t>
  </si>
  <si>
    <t>For 7 days, eat 1–2 servings of healthy fat products each day, making them a regular part of snacks or meals.</t>
  </si>
  <si>
    <t>Info Box: [Plant-based fats are calorie-dense, giving active kids the energy they need for play, sports, and learning.]</t>
  </si>
  <si>
    <t>Chompy Champs</t>
  </si>
  <si>
    <t>Eat healthy fat products for a day in a week</t>
  </si>
  <si>
    <t>Brain Bites</t>
  </si>
  <si>
    <t>Eat healthy fat products for 3 days in a week</t>
  </si>
  <si>
    <t>Eat healthy fat products for 4 days in a week</t>
  </si>
  <si>
    <t>Snack Boost</t>
  </si>
  <si>
    <t>Eat healthy fat products for 5 days in a week</t>
  </si>
  <si>
    <t>DN6-A</t>
  </si>
  <si>
    <t>Seafood Superstars</t>
  </si>
  <si>
    <t xml:space="preserve">We're curious about your child's seafood consumption. How many meals do you have that incorporate seafood? </t>
  </si>
  <si>
    <t>Ocean Bites</t>
  </si>
  <si>
    <t>What's your child's favourite seafood? If that food had a superpower, what would it be and why? We're exited to know!</t>
  </si>
  <si>
    <t>Fishy Fun</t>
  </si>
  <si>
    <t>Fish like salmon, sardines, and tuna are rich in omega-3 fatty acids, which help brain development, learning, and focus.</t>
  </si>
  <si>
    <t>Underwater Heroes</t>
  </si>
  <si>
    <t>Fish are cold-blooded aquatic animals with fins and gills like salmon, cod, tuna, tilapia. They are usually high in protein, omega-3 fats, vitamin D, and minerals. Other seafood includes shellfish and mollusks like shrimp, crab, mussels, clams, squid. They are often rich in protein, iron, zinc, iodine, and B vitamins. Both of them can be served 1-2 a week.</t>
  </si>
  <si>
    <t>Ocean Power</t>
  </si>
  <si>
    <t>Let's test your child's artist skills by drawing a colorful marine scene! Don't forget to add lots of fish and mabe some crabs! Remind him the importance of keeping the environment clean and healthy so we can enjoy what mother earth has to offer to us!</t>
  </si>
  <si>
    <t>Wave Snacks</t>
  </si>
  <si>
    <t>Prepare and log in a meal with Nutrida where it incorporates seafood</t>
  </si>
  <si>
    <t>Info Box: [1 serving of seafood is equal to: 60–75 g cooked fish or shellfish (child’s palm size), 100 g canned fish (drained) or 100 g cooked shrimp]</t>
  </si>
  <si>
    <t>Aquatic Adventures</t>
  </si>
  <si>
    <t>Try 1 serving of seafood (like fish, tuna, or shrimp) at a meal.</t>
  </si>
  <si>
    <t>Info Box: [Fish and seafood provide high-quality protein for muscle growth and repair.]</t>
  </si>
  <si>
    <t>Ocean Party</t>
  </si>
  <si>
    <t>Once this week, eat 1 serving of seafood (like fish, tuna, or shrimp) at a meal.</t>
  </si>
  <si>
    <t>Info Box: [Nutrients in fish, especially omega-3 DHA, help eyes develop and stay healthy.]</t>
  </si>
  <si>
    <t>Brainy Fish</t>
  </si>
  <si>
    <t>For 2 different days this week, eat 1 serving of seafood each day.</t>
  </si>
  <si>
    <t>Info Box: [Vitamins like A, D, and selenium in fish strengthen the immune system, helping kids fight off infections.]</t>
  </si>
  <si>
    <t>Under-the-Sea Snacks</t>
  </si>
  <si>
    <t>For 2 weeks, eat seafood 2 times per week, choosing different types when possible.</t>
  </si>
  <si>
    <t>Info Box: [Fish can be baked, grilled, or blended into patties. Seafood can be added to soups, pasta, or rice dishes.]</t>
  </si>
  <si>
    <t>Ocean Fuel</t>
  </si>
  <si>
    <t>Eat fish or seafood for a meal in a week</t>
  </si>
  <si>
    <t>Eat fish or seafood for 2 meals in a week</t>
  </si>
  <si>
    <t>Sea Superfoods</t>
  </si>
  <si>
    <t>Eat fish or seafood for 2 days in a week</t>
  </si>
  <si>
    <t>Grow Strong</t>
  </si>
  <si>
    <t>Eat two different fish or seafood for 2 days in 2 weeks</t>
  </si>
  <si>
    <t>DN7-A</t>
  </si>
  <si>
    <t>Captain Aqua</t>
  </si>
  <si>
    <t>We're curious about your child's water consumption. How many glasses of water your child drinks during the day?</t>
  </si>
  <si>
    <t>Question Options: [My child does not drink watert/ 2-3 glasses/3-4 glasses/5-7 glasses/more than 7 glasses]</t>
  </si>
  <si>
    <t>Splash Snacks</t>
  </si>
  <si>
    <t>Here is the list of the foods with the highest water content: tomatoes, cucmbers, watermelon, broccoli, spinach, mushrooms, melon, brussel sprouts, oranges, apples, blueberries. Draw the favorite one from the list and share a photo of your masterpiece with us!</t>
  </si>
  <si>
    <t>Liquid Lifeforce</t>
  </si>
  <si>
    <t>Did you know that water makes up more than half of your body weight, and a person can't survive for more than a few days without it. Why? Your body has lots of important jobs and it needs water to do many of them.</t>
  </si>
  <si>
    <t>Info Box: [Because water is so important, you might wonder if you're drinking enough. There is no magic amount of water that kids need to drink every day. The amount kids need depends on their age, body size, health, and activity level, plus the weather (temperature and humidity levels).]</t>
  </si>
  <si>
    <t>Liquid Legend</t>
  </si>
  <si>
    <t>Here come some tips on how to incorporate healthy drinking habits into the diet: prioritize plain water, keep a fun reusable water bottle, infuse water with fruits or herbs, drink water before/during meals to create a structured routine.</t>
  </si>
  <si>
    <t>Dream Drinker</t>
  </si>
  <si>
    <t>Now it's time to draw! Draw the cup or the bottle of your dream. Be creative and don't limit yourself!</t>
  </si>
  <si>
    <t>Captain Cup-tastic</t>
  </si>
  <si>
    <t xml:space="preserve">Decorate your real water bottle or cup! Use special markers or stickers. Don't forget to take a photo and share it with us! </t>
  </si>
  <si>
    <t>Water Bingo</t>
  </si>
  <si>
    <t>It's a water bingo time! Get a sticker for each glass of water, drink 4 glasses of water per day during a week. How many stickers did you get during the week?</t>
  </si>
  <si>
    <t>The Sweet-Free Superhero</t>
  </si>
  <si>
    <r>
      <rPr>
        <sz val="11"/>
        <color rgb="FF000000"/>
        <rFont val="Aptos Narrow"/>
        <scheme val="minor"/>
      </rPr>
      <t>Continue</t>
    </r>
    <r>
      <rPr>
        <b/>
        <sz val="11"/>
        <color rgb="FF000000"/>
        <rFont val="Aptos Narrow"/>
        <scheme val="minor"/>
      </rPr>
      <t xml:space="preserve"> </t>
    </r>
    <r>
      <rPr>
        <sz val="11"/>
        <color rgb="FF000000"/>
        <rFont val="Aptos Narrow"/>
        <scheme val="minor"/>
      </rPr>
      <t>drinking 4 glasses of water per day, if you drink anything else except water and milk, replace at least 1 portion of these drinks with water 3 times per week</t>
    </r>
  </si>
  <si>
    <t>Hydro Paparazzi</t>
  </si>
  <si>
    <t>Continue drinking 4 glasses of water per day, take your water bottle for a walk. Take a photo of your bottle against a natural background</t>
  </si>
  <si>
    <t>The Sweet-Free Champion</t>
  </si>
  <si>
    <r>
      <rPr>
        <sz val="11"/>
        <color rgb="FF000000"/>
        <rFont val="Aptos Narrow"/>
        <scheme val="minor"/>
      </rPr>
      <t>Continue</t>
    </r>
    <r>
      <rPr>
        <b/>
        <sz val="11"/>
        <color rgb="FF000000"/>
        <rFont val="Aptos Narrow"/>
        <scheme val="minor"/>
      </rPr>
      <t xml:space="preserve"> </t>
    </r>
    <r>
      <rPr>
        <sz val="11"/>
        <color rgb="FF000000"/>
        <rFont val="Aptos Narrow"/>
        <scheme val="minor"/>
      </rPr>
      <t>drinking 4 glasses of water per day, if you drink anything else except water and milk, replace at least 1 portion of these drinks with water every day during the week</t>
    </r>
  </si>
  <si>
    <t>Sip Master 5</t>
  </si>
  <si>
    <t>This week drink 5 glasses of water per day</t>
  </si>
  <si>
    <t>Liquid Legend Level 6</t>
  </si>
  <si>
    <t>This week drink 6 glasses of water per day</t>
  </si>
  <si>
    <t>Frosty Funster</t>
  </si>
  <si>
    <t>Continue drinking 6 glasses of water per day. Make fancy ice cubes:  Just pop a berry, a mint leaf or a sliver of cucumber into the water compartments when you fill the tray. Share a photo with us</t>
  </si>
  <si>
    <t>The Refresh Hexpert</t>
  </si>
  <si>
    <t>DN8-A</t>
  </si>
  <si>
    <t>Season's eater</t>
  </si>
  <si>
    <t xml:space="preserve">We're curious about if your child consumes local and seasonal foods? How many meals do you have that incorporate local and seasonal foods in your family's menui? </t>
  </si>
  <si>
    <t>Agent Apple</t>
  </si>
  <si>
    <t>What's your child's favorite local and seasonal foods? Inspire your child the be a "food detective" who discover which food is local and seasonal! Don't forget to report your findings!</t>
  </si>
  <si>
    <t>Harvest Hits</t>
  </si>
  <si>
    <t>Did you know that eating local and seasonal have the following benefits: local foods does not have to travel far, so it is super fresh and helps the planet; seasonal foods test better because they grow at the perfect time!</t>
  </si>
  <si>
    <t>Nature's Nibbler</t>
  </si>
  <si>
    <t>Here come some tips on how to incorporate local and seasonal foods in the diet: visit local farmer's markets, Make a weekly menu featuring seasonal fruits and vegetables (example: In winter, use root vegetables for soups and stews; in summer, enjoy fresh berries and salads), Look for “locally grown” labels in supermarkets, freeze, pickle, or dry seasonal produce to enjoy out of season.</t>
  </si>
  <si>
    <t>Seasonal Scetcher</t>
  </si>
  <si>
    <t xml:space="preserve">Now it's time to have a fun! Let your child draw the fruits and vegetables that are seasonal at your location! </t>
  </si>
  <si>
    <t>Inspector Carrot</t>
  </si>
  <si>
    <t xml:space="preserve">Visit a local supermarket and find three local and three seasonal foods there. </t>
  </si>
  <si>
    <t>Fruitographer</t>
  </si>
  <si>
    <t>Include a local and seasonal food at least in 1 meal</t>
  </si>
  <si>
    <t>Info Box: [Don´t forget to do it together and share the photo with us!]</t>
  </si>
  <si>
    <t>Seasonal Sampler</t>
  </si>
  <si>
    <t>Include a local and seasonal food at least in 2 meals</t>
  </si>
  <si>
    <t>Bi-Weekly Locavore</t>
  </si>
  <si>
    <t>Include a local and seasonal food at least in 3 meals</t>
  </si>
  <si>
    <t>Seasonal Triple Treat</t>
  </si>
  <si>
    <t>Include a local and seasonal food in all meals</t>
  </si>
  <si>
    <t>Freshness Fantastic Four</t>
  </si>
  <si>
    <t xml:space="preserve">Eat a local and seasonal foods at least 2 time per week! </t>
  </si>
  <si>
    <t>Five Star Feaster</t>
  </si>
  <si>
    <t xml:space="preserve">Eat a local and seasonal foods at least 4 time per week! </t>
  </si>
  <si>
    <t xml:space="preserve">Eat a local and seasonal foods at least 6 time per week! </t>
  </si>
  <si>
    <t>Locavore Legend</t>
  </si>
  <si>
    <t xml:space="preserve">Eat a local and seasonal foods every day! </t>
  </si>
  <si>
    <t>DN9-A</t>
  </si>
  <si>
    <t>Planet Plate Pal</t>
  </si>
  <si>
    <t xml:space="preserve">We're curious about if your child consumes sustainable and healthy foods? How many meals do you have that incorporate sustainable and healthy foods in your family's menui? </t>
  </si>
  <si>
    <t>The Green Guru</t>
  </si>
  <si>
    <t>Together with your child, google what is sustainable and healthy foods. What is your favorite from the list? Share an answer with us!</t>
  </si>
  <si>
    <t>The Earthy Expert</t>
  </si>
  <si>
    <t>Did you know that A sustainable, plant-forward diet not only promotes heart health, healthy weight, better digestion, and reduced disease risk, but also aligns with ecological goals by conserving resources and protecting biodiversity?</t>
  </si>
  <si>
    <t>Green Bean Beast</t>
  </si>
  <si>
    <t>Here come just some tips on how to incorporate lsustainable and healthy foods in the diet: buy local and seasonal, reduce meat consumption and replace with legumes and whole grains, plan your meals, practice home cooking!</t>
  </si>
  <si>
    <t>Planet Path Picasso</t>
  </si>
  <si>
    <t>Suggest your child to draw the path of some local food. Don't forget to take a picture if this masterpiece and share with us!!</t>
  </si>
  <si>
    <t>Carbon-Cutting Explorer</t>
  </si>
  <si>
    <t>Plan and cook sustainable and healthy food with your child!</t>
  </si>
  <si>
    <t>Carbon-Cutting Chef</t>
  </si>
  <si>
    <t>Eat a sustainable and healthy meal at least 1 time per week!</t>
  </si>
  <si>
    <t>Sustaina-Sampler</t>
  </si>
  <si>
    <t>Eat a sustainable and healthy meal at least 2 time per week!</t>
  </si>
  <si>
    <t>Sustaina-Twice Taster</t>
  </si>
  <si>
    <t>Eat a sustainable and healthy meal at least 3 time per week!</t>
  </si>
  <si>
    <t>Sustaina Trio Taster</t>
  </si>
  <si>
    <t>Eat a sustainable and healthy meal at least 4 time per week!</t>
  </si>
  <si>
    <t>Sustaina-Quad Snacker</t>
  </si>
  <si>
    <t>Eat a sustainable and healthy meal at least 4 time per week !</t>
  </si>
  <si>
    <t>Sustaina Champion</t>
  </si>
  <si>
    <t>Eat a sustainable and healthy meal at least 4 time per week during two weeks!</t>
  </si>
  <si>
    <t>Triple-Week Gree Hero</t>
  </si>
  <si>
    <t>Eat a sustainable and healthy meal at least 4 time per week during three weeks!</t>
  </si>
  <si>
    <t>Carbon-Cutting Champ</t>
  </si>
  <si>
    <t>Eat a sustainable and healthy meal at least 4 time per week during one month!</t>
  </si>
  <si>
    <t>DN 10</t>
  </si>
  <si>
    <t>DN10-A</t>
  </si>
  <si>
    <t>The Leftover Detective</t>
  </si>
  <si>
    <t>Do you think throwing away food is a big problem?"</t>
  </si>
  <si>
    <t>Question Options: [Yes/ No  / I'm not sure]</t>
  </si>
  <si>
    <t>Did you know that reducing of food wasting not only lowers a greenhouse gas emission and protects biodiversity, but also saves money, reduce disposal costs, provide more food for people in need, and reduces a clutter at home!</t>
  </si>
  <si>
    <t>Dr. Waste-No-More</t>
  </si>
  <si>
    <t>Did you know that increasing of food wasting led to the resource depletion, loss of biodiversity, financial losses and causes health risks?</t>
  </si>
  <si>
    <t>Zero-Waste-Zoe</t>
  </si>
  <si>
    <t>Here come some tips on how to reduce food wasting in the household: Make a weekly meal plan and shopping list to avoid buying unnecessary items, Use airtight containers and label leftovers with dates, start with smaller servings; people can take more if they’re still hungry, Turn yesterday’s dinner into today’s lunch.</t>
  </si>
  <si>
    <t>The Waste-Free Artist</t>
  </si>
  <si>
    <t>Suggest your child to draw what happens to wasted food in the trash (rotting, producing gas) vs. what happens when food is eaten (energy, happy family). Take a photo and share with us</t>
  </si>
  <si>
    <t>The List Legend</t>
  </si>
  <si>
    <t>Plan your weekly shopping with your child considering to reduce food wasting</t>
  </si>
  <si>
    <t>Portion Pro</t>
  </si>
  <si>
    <t>Let your child serve a portion for themself! Was it smaller or bigger that you expected?</t>
  </si>
  <si>
    <t>The Meal Magician</t>
  </si>
  <si>
    <t>Challenge your child to create a new dish from leftovers, give the dish a fun name, share picture with us!</t>
  </si>
  <si>
    <t>Captain Waste-Tracker</t>
  </si>
  <si>
    <t>Create a food waste tracker chart together with your child - get a sticker for the finished meals or for saving leftovers!</t>
  </si>
  <si>
    <t>The Bin Blocker Boss</t>
  </si>
  <si>
    <t>Using the food waste tracker that you created with your child, check if you had a zero food waste this week!</t>
  </si>
  <si>
    <r>
      <rPr>
        <b/>
        <sz val="11"/>
        <color rgb="FF000000"/>
        <rFont val="Aptos Narrow"/>
        <scheme val="minor"/>
      </rPr>
      <t xml:space="preserve"> Zero-Waste Wizard</t>
    </r>
    <r>
      <rPr>
        <sz val="11"/>
        <color rgb="FF000000"/>
        <rFont val="Aptos Narrow"/>
        <scheme val="minor"/>
      </rPr>
      <t xml:space="preserve"> </t>
    </r>
  </si>
  <si>
    <t>Try to keep zero waste level at least for 1 day per week</t>
  </si>
  <si>
    <t>Triple Zero Hero</t>
  </si>
  <si>
    <t>Try to keep  waste level at least for 3 days per week</t>
  </si>
  <si>
    <t>Five Day Food Hero</t>
  </si>
  <si>
    <t>Try to keep  waste level at least for 5 days per week</t>
  </si>
  <si>
    <r>
      <rPr>
        <b/>
        <sz val="11"/>
        <color rgb="FF000000"/>
        <rFont val="Aptos Narrow"/>
        <scheme val="minor"/>
      </rPr>
      <t xml:space="preserve"> Zero-Waste Week Wizard</t>
    </r>
    <r>
      <rPr>
        <sz val="11"/>
        <color rgb="FF000000"/>
        <rFont val="Aptos Narrow"/>
        <scheme val="minor"/>
      </rPr>
      <t xml:space="preserve"> </t>
    </r>
  </si>
  <si>
    <t>Try to keep zero waste level during the whole week</t>
  </si>
  <si>
    <t>DN 11</t>
  </si>
  <si>
    <t>DN11-A</t>
  </si>
  <si>
    <t>Bean Story</t>
  </si>
  <si>
    <t xml:space="preserve">We're curious about your child's legumes consumption. How many meals do you have that incorporate legumes (for example, different kinds of beans, peas, adamame, lentils)? </t>
  </si>
  <si>
    <t xml:space="preserve">The Beaniversity </t>
  </si>
  <si>
    <t>Legumes and nuts are good choices when you want to eat a healthy diet. When eating a plant-rich and varied diet, legumes, nuts and seeds are good sources of protein and other nutrients. Legumes also have a low climate footprint compared to other foods. Eat more legumes, such as brown, 
white and black beans, kidney 
beans, lentils and chickpeas</t>
  </si>
  <si>
    <t>The Lentil League</t>
  </si>
  <si>
    <t>Did you know that eating legumes helps for muscle growth and repair,  gut health better, lower colon cancer risk, maintain healthy blood pressure</t>
  </si>
  <si>
    <t>Bean Balance Expert</t>
  </si>
  <si>
    <t>Modify your child's favorite meals by incorporating legumes such as adding mashed chikpeas to a sandwich or mixing lentils into spagetti bolognese. Use snacks as an oppotrunity to introduce legumes. Begin with small portions to make new foods less  daunting and help reduce waste!</t>
  </si>
  <si>
    <t>Pea-parazzi</t>
  </si>
  <si>
    <t>Go for grocery shopping with your child and explore which kinds of legumes are available in the closest supermarket! Don't forget to take a photo of different kinds and share it with us!</t>
  </si>
  <si>
    <t>Self-monitoring</t>
  </si>
  <si>
    <t>Chef Chickpea</t>
  </si>
  <si>
    <t>Prepare and log in a meal with Nutrida where it incorporates legumes</t>
  </si>
  <si>
    <t>Info Box: [1 dayly serving of legumes is equal to: 1/3-1/2 cup or 75-100 g of cooked beans  ]</t>
  </si>
  <si>
    <t>Legume Hunter</t>
  </si>
  <si>
    <t>Involve your child in family shopping, buy different kinds of beans for cooking , a little bit of each variety! Share a photo with us!</t>
  </si>
  <si>
    <t>The Lentil Legend</t>
  </si>
  <si>
    <t>Involve your child in cooking legumes, name the dishes creatively, vote for the favorite beans! Share result of the voting with us!</t>
  </si>
  <si>
    <t>Beanovator</t>
  </si>
  <si>
    <t>Add legumes to the main dish at least 2 time this week (f.ex., pasta souce)</t>
  </si>
  <si>
    <t>The Bean Alchemist</t>
  </si>
  <si>
    <t>Add legumes to the main dish at least 3 time this week</t>
  </si>
  <si>
    <t>Beanius</t>
  </si>
  <si>
    <t>Cook legumes or add them to the regular dishes 4 time this week, involve your child in cooking process, use different kinds of beans</t>
  </si>
  <si>
    <t>Beanbow Eater</t>
  </si>
  <si>
    <t>Continue serving legumes at least 4 times per week. Make a "Legume rainbow chart" with your child, and mark there the colour of the beans you ate!</t>
  </si>
  <si>
    <t>Bean Badge Boss</t>
  </si>
  <si>
    <t>Reward your child with the stickers when your child tries new kind of legumes!</t>
  </si>
  <si>
    <t>Bean Voyage Planner</t>
  </si>
  <si>
    <t>Don't forget to Plan your shopping and include legumes in your shopping list, explore new recipes with your child! Create "Adventure program" of consuming legumes for 4 weeks"!</t>
  </si>
  <si>
    <t>DN12-A</t>
  </si>
  <si>
    <t>Info-Muncher</t>
  </si>
  <si>
    <t xml:space="preserve">Nutrition labels are like secret maps that tell us what’s inside our food—how much energy (calories), sugar, salt, and vitamins it has. They help us choose foods that make us strong and healthy. Do you like snacks? What if two snacks look the same, but one has way more sugar? Which one would you choose? 
</t>
  </si>
  <si>
    <t>Label Legends Academy</t>
  </si>
  <si>
    <t>Reading nutrition labels helps you choose foods that give you energy for sports, help you grow taller, and keep you healthy—just like picking the best fuel for a car! Healthy eating starts at the grocery store, so it’s important to make nutritious choices. Use the Nutrition Facts label to compare foods and find what’s right for you. Choose items higher in dietary fiber, vitamins, and minerals, and lower in saturated fat, trans fat, sodium, and added sugars</t>
  </si>
  <si>
    <t>The Label Lab</t>
  </si>
  <si>
    <t>Did you know that reading the nutrition labels help us to get an idea of serving size, to balance calories in and out, and to get the nutrients you want?</t>
  </si>
  <si>
    <t>Food Facts University</t>
  </si>
  <si>
    <t xml:space="preserve"> The nutrition information listed on the Nutrition Facts label is based on the serving size listed on the label, which is usually one serving. Some containers have two columns with one column listing the nutrition information per serving and the other column listing the nutrition information for the entire package. A total intake of 2,000 calories a day is used as a general guide for nutrition advice. Your calorie needs may be higher or lower and vary depending on your age, sex, and physical activity level.  Look at the %DV to choose products that are higher in nutrients you want to get more of—like dietary fiber, vitamin D, calcium, iron, and potassium—and lower in nutrients you want to get less of—like saturated fat, trans fat, sodium, and added sugars! Have a nice jorney!</t>
  </si>
  <si>
    <t>Healthy Detective Academy</t>
  </si>
  <si>
    <t>Go for grocery shopping together with your child and do the following excercise: Pick two similar products (e.g., two yogurts) and ask:
Which one has less sugar? Which one has more protein?
Let them decide which is the healthier option.</t>
  </si>
  <si>
    <t>Sticker Scientists</t>
  </si>
  <si>
    <t>Suggest your child to design their own label for the favorite snack! Don't forget take a photo of the label and to share it with us!</t>
  </si>
  <si>
    <t>Great Lunchbox Challenge</t>
  </si>
  <si>
    <t>Let kids design their own lunchbox menu based on label reading. Encourage them to draw a “super lunch” poster showing the nutrients they picked.</t>
  </si>
  <si>
    <t>Take a photo of the masterpiece and share with us!</t>
  </si>
  <si>
    <t>Healthy Detective</t>
  </si>
  <si>
    <t>During a grocery shopping give a mission to your child. Example: “Find a cereal box with less than 10g of sugar per serving.”Or: “Find a snack box that has at least 3g of fiber.”They must read the nutrition label to check sugar, fiber, protein, or other nutrients.</t>
  </si>
  <si>
    <t>Flip The Food</t>
  </si>
  <si>
    <t xml:space="preserve">Challenge your child during the breakfast and suggest them to change one ingredient in the  meal to make it healthier using the skill of reading the nutrition labels! You can play this game in the restaurant replacing the options during the dinner or lunch! Have a fun! </t>
  </si>
  <si>
    <t>Sticker Sherlock</t>
  </si>
  <si>
    <t>Teach children to identify healthy choices by investigating food labels like detectives. Examples: Find a snack with less than 10g sugar and at least 2g fiber.”Or: “Find the healthiest cereal among these three boxes.”</t>
  </si>
  <si>
    <t>Lunchbox Lottery</t>
  </si>
  <si>
    <t xml:space="preserve">Repeat  a lunchbox challenge at least once per week! </t>
  </si>
  <si>
    <t>Finders Boxers</t>
  </si>
  <si>
    <t>Repeat "find a box" challenge at least once per week!</t>
  </si>
  <si>
    <t>Dish Disruptors</t>
  </si>
  <si>
    <t>Repeat replacement game at home or in the restaurant at least once per week!</t>
  </si>
  <si>
    <t>Operation "Healthy Habit"</t>
  </si>
  <si>
    <t>Repeat "Healthy detective" game at home or in the restaurant at least once per week!</t>
  </si>
  <si>
    <t>Cartoon break</t>
  </si>
  <si>
    <t xml:space="preserve"> Watch a short cartoon about what happens in a body when you sleep.</t>
  </si>
  <si>
    <t>Info Box: [When you are deep in a dream, your brain unplugs your muscles. You literally freeze. This stops you from kicking the wall if you dream about being a ninja!]</t>
  </si>
  <si>
    <t>Detective Pillow</t>
  </si>
  <si>
    <t xml:space="preserve"> Look around your house: where do people sleep? What do you like about your bedroom? Who goes to bed early or late? What do you do when you go to bed?</t>
  </si>
  <si>
    <t>The Bad Sleep Bandits</t>
  </si>
  <si>
    <t xml:space="preserve"> What makes sleeping (or going to bed) harder for you? </t>
  </si>
  <si>
    <t>Info Box: [Tablets, phones, and TVs give off a special Blue Light. This light tricks your brain into thinking the sun is still up! Your brain says, "Oh, it’s daytime? Okay, stay awake!]</t>
  </si>
  <si>
    <t>Dark and cozy</t>
  </si>
  <si>
    <t>Your brain needs darkness to make a sleepy chemical called Melatonin. Make your room as dark as a bat cave! If you need a light, use a tiny nightlight that is red or orange (like a sunset), not bright white.</t>
  </si>
  <si>
    <t>Night Watch</t>
  </si>
  <si>
    <t>Apply small changes to make the bedroom a sleep paradise (dim lights, screens away, soft pillow)</t>
  </si>
  <si>
    <t>Info Box: [Line up your favorite stuffed animals along the edge of the bed or right next to your pillow. They aren't just toys; they are your "Night Watch." Having them close makes you feel safe and ready to drift off.]</t>
  </si>
  <si>
    <t>Dream Prep</t>
  </si>
  <si>
    <t>Choose 1-2 thing you and 1-2 thing the parent wants you to do before bedtime (hug, wearing pyjama, brushing, flossing, shower)</t>
  </si>
  <si>
    <t>Sleep Duty</t>
  </si>
  <si>
    <r>
      <t xml:space="preserve"> </t>
    </r>
    <r>
      <rPr>
        <sz val="11"/>
        <color rgb="FF000000"/>
        <rFont val="Aptos Narrow"/>
      </rPr>
      <t>Do your bedtime routine before sleep at a selected bedtime</t>
    </r>
  </si>
  <si>
    <t>Info Box: [Take off your day clothes and put on your pajamas. Think of your PJs as your Official Sleep Uniform. As soon as you put them on, you are on "Sleep Duty."]</t>
  </si>
  <si>
    <t>Dreamland Portal</t>
  </si>
  <si>
    <r>
      <t xml:space="preserve"> </t>
    </r>
    <r>
      <rPr>
        <sz val="11"/>
        <color rgb="FF000000"/>
        <rFont val="Aptos Narrow"/>
      </rPr>
      <t>Before the bedtime routine add a no device policy and replace the screen with something else (read a story, make a drawing/puzzle, play a game)</t>
    </r>
  </si>
  <si>
    <t>Info Box: [Climb into bed and open a real book (not a screen!). Reading is like opening a magic portal that transports you gently from your room into Dreamland.]</t>
  </si>
  <si>
    <t>Dream Snack</t>
  </si>
  <si>
    <r>
      <t xml:space="preserve"> </t>
    </r>
    <r>
      <rPr>
        <sz val="11"/>
        <color rgb="FF000000"/>
        <rFont val="Aptos Narrow"/>
      </rPr>
      <t>Add to bedtime routine a no sugar (drinks) policy and replace with water, milk, yoghurt, fruit</t>
    </r>
  </si>
  <si>
    <t>Info Box: [Eating candy or sugary snacks right before bed is like putting rocket fuel in a car that is trying to park. Your body gets a burst of energy called a "sugar rush" just when it wants to rest.]</t>
  </si>
  <si>
    <t>Light ON</t>
  </si>
  <si>
    <t xml:space="preserve"> Plan a wake up routine, where you let light enter the room to help waking up easier and wash your face with water or drink something</t>
  </si>
  <si>
    <t>Info Box: [Open your curtains or blinds immediately! Your eyes have special sensors that need sunlight to turn off the "Sleep Mode" switch in your brain. Think of the sun as your battery charger.]</t>
  </si>
  <si>
    <t>Dress-up DJ</t>
  </si>
  <si>
    <t>Create a back-up solution if the routine did not work</t>
  </si>
  <si>
    <t>Info Box: [Pick one song that makes you want to dance and play it while you get dressed. It is impossible to be grumpy when your favorite upbeat song is playing. It sets the mood for a great adventure.]</t>
  </si>
  <si>
    <t>Feel-O-meter Morning</t>
  </si>
  <si>
    <t>Link routine to how you feel in morning</t>
  </si>
  <si>
    <t>Info Box: [What mood did you wake up in? Did your bedtime routine helped your smile?]</t>
  </si>
  <si>
    <t xml:space="preserve">Sleepytime Superkid </t>
  </si>
  <si>
    <t>Do the established bedtime routine 3 days in a row</t>
  </si>
  <si>
    <t>Morning-Night Superkid</t>
  </si>
  <si>
    <t>Do the established bedtime and wake-up routine 3 days in a row</t>
  </si>
  <si>
    <t>Do Less Go Fast</t>
  </si>
  <si>
    <t>Did you know your brain cannot actually do two things at once? If you try to watch TV and do math, your brain just switches back and forth super fast. This makes you tired! It is much faster to do one thing at a time.</t>
  </si>
  <si>
    <t>Super Focus Quiz</t>
  </si>
  <si>
    <r>
      <rPr>
        <b/>
        <sz val="11"/>
        <color rgb="FF000000"/>
        <rFont val="Aptos Narrow"/>
      </rPr>
      <t>Quizz: The "Super Focus" Quiz.</t>
    </r>
    <r>
      <rPr>
        <sz val="11"/>
        <color rgb="FF000000"/>
        <rFont val="Aptos Narrow"/>
      </rPr>
      <t xml:space="preserve"> Doing three things at once (like watching TV, doing homework, and eating) makes you finish your homework faster. Drinking water and eating a healthy snack can actually help your brain focus better. Taking a short "brain break" (like stretching) when you are stuck is bad for your concentration. Your brain is like a muscle—the more you practice focusing, the stronger it gets. A messy desk with lots of toys on it is the best place to concentrate.</t>
    </r>
  </si>
  <si>
    <t>Focus or Fuzz</t>
  </si>
  <si>
    <t xml:space="preserve"> Where do you concentrate best? When are you distracted? </t>
  </si>
  <si>
    <t>Info Box: [If your desk is covered in toys, wrappers, and pencils, your eyes will look at them instead of your work. Clearing a small space is like clearing a runway so your "Focus Plane" can land safely.]</t>
  </si>
  <si>
    <t>Brain Booster Trick</t>
  </si>
  <si>
    <t>Sitting perfectly still is actually hard work! Sometimes, squishing a stress ball or chewing gum can help your brain focus better. It gives the "bored" part of your brain something to do so the "smart" part can work.</t>
  </si>
  <si>
    <t>The Pomodoro Sprint</t>
  </si>
  <si>
    <t>Set timer and place for screentime (and place them away during focus activities)</t>
  </si>
  <si>
    <t>Info Box: [It is hard to focus for a long time. So, turn it into a game! Set a timer for 20 minutes. Challenge yourself to work super hard until the timer dings, then give yourself a 5-minute fun break. This is called the "Pomodoro Technique," but we can call it "The Sprint."]</t>
  </si>
  <si>
    <t>Shake Break</t>
  </si>
  <si>
    <t>Follow short relaxation exercises after focus periods (like shakes, dances, stretches)</t>
  </si>
  <si>
    <t>The Calm-Balm Time</t>
  </si>
  <si>
    <r>
      <rPr>
        <b/>
        <sz val="11"/>
        <color rgb="FF000000"/>
        <rFont val="Aptos Narrow"/>
        <scheme val="minor"/>
      </rPr>
      <t xml:space="preserve"> </t>
    </r>
    <r>
      <rPr>
        <sz val="11"/>
        <color rgb="FF000000"/>
        <rFont val="Aptos Narrow"/>
        <scheme val="minor"/>
      </rPr>
      <t>Do relaxation exercises (like shakes, dances, stretches)</t>
    </r>
  </si>
  <si>
    <t>Info Box: [When the world feels too fast, be a turtle. Do everything in Super Slow Motion. Walk slowly, pick up a pencil slowly, and talk slowly. Slowing down your body actually tricks your brain into calming down, too.]</t>
  </si>
  <si>
    <t>Brain Game Swap</t>
  </si>
  <si>
    <t>Do attention games that replace devices (like puzzles, memory, drawing, matching, simon says or senses)</t>
  </si>
  <si>
    <t>Info Box: [If you love stories, don't just watch them—make them! Grab paper and markers and draw your own superhero or video game character. You get to decide what powers they have and who the bad guys are. You are the Boss of this world!]</t>
  </si>
  <si>
    <t>Taste Adventure</t>
  </si>
  <si>
    <t>Mindful eating exercises (focus on taste, texture, smell) without devices</t>
  </si>
  <si>
    <t>Info Box: [This sounds funny, but it is true! Once you swallow food, your stomach has to do all the work. If you swallow big chunks, your stomach gets tired and you might get a tummy ache. Chew your food until it is mushy—be a "Chewing Champion"!]</t>
  </si>
  <si>
    <t>Happy Feet Walk</t>
  </si>
  <si>
    <r>
      <rPr>
        <b/>
        <sz val="11"/>
        <color rgb="FF000000"/>
        <rFont val="Aptos Narrow"/>
        <scheme val="minor"/>
      </rPr>
      <t xml:space="preserve"> </t>
    </r>
    <r>
      <rPr>
        <sz val="11"/>
        <color rgb="FF000000"/>
        <rFont val="Aptos Narrow"/>
        <scheme val="minor"/>
      </rPr>
      <t xml:space="preserve">Mindful walking or excercise  (barefoot trails) </t>
    </r>
  </si>
  <si>
    <t>Info Box: [Did you know the bottom of your foot has thousands of tiny sensors? When you walk barefoot, your feet "read" the ground—soft grass, cold mud, or rough sand. It sends a high-speed map to your brain so you know exactly where you are!]</t>
  </si>
  <si>
    <t>The Daily Chill Star</t>
  </si>
  <si>
    <t>Integrate relaxation exercises in daily life (such as after of before school)</t>
  </si>
  <si>
    <t>Play and Relax</t>
  </si>
  <si>
    <t>Combine an attention game with a relaxation exercise afterwards</t>
  </si>
  <si>
    <t>Table Treasure Time</t>
  </si>
  <si>
    <t>Have a no device policy during meals (for the whole family)</t>
  </si>
  <si>
    <t>Info Box: [When you look down at a tablet or phone, your neck bends forward and your shoulders hunch over. Doctors call this "Tech Neck." If you do it too much, you start to look like a turtle, and your neck and back can start to hurt!]</t>
  </si>
  <si>
    <t xml:space="preserve">Sense Exploration </t>
  </si>
  <si>
    <t>Do outdoor activities where you focus on the senses (find new things, or red things) while sitting or walking</t>
  </si>
  <si>
    <t>Movie Time</t>
  </si>
  <si>
    <r>
      <t xml:space="preserve"> </t>
    </r>
    <r>
      <rPr>
        <sz val="11"/>
        <color rgb="FF000000"/>
        <rFont val="Aptos Narrow"/>
        <scheme val="minor"/>
      </rPr>
      <t>Watch movie on different emotions (long version is perhaps Inside Out)</t>
    </r>
  </si>
  <si>
    <t>Info Box: []</t>
  </si>
  <si>
    <t>Emotion Check</t>
  </si>
  <si>
    <t>How can I tell how I feel using a feeling chart? how do you notice emotions in your body</t>
  </si>
  <si>
    <r>
      <rPr>
        <sz val="11"/>
        <color rgb="FF000000"/>
        <rFont val="Aptos Narrow"/>
        <scheme val="minor"/>
      </rPr>
      <t xml:space="preserve">Info Box: [Find the face that looks most like </t>
    </r>
    <r>
      <rPr>
        <i/>
        <sz val="11"/>
        <color rgb="FF000000"/>
        <rFont val="Aptos Narrow"/>
        <scheme val="minor"/>
      </rPr>
      <t>your</t>
    </r>
    <r>
      <rPr>
        <sz val="11"/>
        <color rgb="FF000000"/>
        <rFont val="Aptos Narrow"/>
        <scheme val="minor"/>
      </rPr>
      <t xml:space="preserve"> inside feeling. Is it happy? Mad? Worried? Excited? Tired? You don’t have to pick the “perfect” one — just the one that feels closest.]</t>
    </r>
  </si>
  <si>
    <t>Mood Match</t>
  </si>
  <si>
    <r>
      <rPr>
        <b/>
        <sz val="11"/>
        <color rgb="FF000000"/>
        <rFont val="Aptos Narrow"/>
        <scheme val="minor"/>
      </rPr>
      <t xml:space="preserve"> I</t>
    </r>
    <r>
      <rPr>
        <sz val="11"/>
        <color rgb="FF000000"/>
        <rFont val="Aptos Narrow"/>
        <scheme val="minor"/>
      </rPr>
      <t>dentify things that make you feel happy, sad, frustrated</t>
    </r>
  </si>
  <si>
    <t>Feeling Plan</t>
  </si>
  <si>
    <t>What do you do when your feel something like sad or angry?</t>
  </si>
  <si>
    <t>Options: [I talk to someone O trust, I calm down with a break, I do smth that helps me feel better]</t>
  </si>
  <si>
    <t>Balloon Breaths</t>
  </si>
  <si>
    <t>Breathing exercise (like a balloon)</t>
  </si>
  <si>
    <t>Info Box: [Put your hand on your tummy. Imagine there is a colorful balloon inside. When you breathe in, try to make the balloon (your tummy) grow BIG. When you breathe out, let the balloon deflate. If your hand moves up and down, you are doing it right!]</t>
  </si>
  <si>
    <t>Happy Pics 1</t>
  </si>
  <si>
    <t>Make pictures of things that make you happy</t>
  </si>
  <si>
    <t>Info Box: [Don't forget to share it with us!]</t>
  </si>
  <si>
    <t>Happy Pics 2</t>
  </si>
  <si>
    <r>
      <t xml:space="preserve"> </t>
    </r>
    <r>
      <rPr>
        <sz val="11"/>
        <color rgb="FF000000"/>
        <rFont val="Aptos Narrow"/>
        <scheme val="minor"/>
      </rPr>
      <t>Draw or write the happy moment of the day</t>
    </r>
  </si>
  <si>
    <t>Day Highlights</t>
  </si>
  <si>
    <r>
      <rPr>
        <b/>
        <sz val="11"/>
        <color rgb="FF000000"/>
        <rFont val="Aptos Narrow"/>
        <scheme val="minor"/>
      </rPr>
      <t xml:space="preserve"> </t>
    </r>
    <r>
      <rPr>
        <sz val="11"/>
        <color rgb="FF000000"/>
        <rFont val="Aptos Narrow"/>
        <scheme val="minor"/>
      </rPr>
      <t xml:space="preserve">Share 1 thing you liked and 1 thing you did not like about the day </t>
    </r>
  </si>
  <si>
    <t>Shine Moments</t>
  </si>
  <si>
    <t>Share 1 thing that went well today or that made you feel proud</t>
  </si>
  <si>
    <t>Muscle Melt</t>
  </si>
  <si>
    <r>
      <rPr>
        <b/>
        <sz val="11"/>
        <color rgb="FF000000"/>
        <rFont val="Aptos Narrow"/>
      </rPr>
      <t xml:space="preserve"> </t>
    </r>
    <r>
      <rPr>
        <sz val="11"/>
        <color rgb="FF000000"/>
        <rFont val="Aptos Narrow"/>
      </rPr>
      <t>Practice grounding techniques (tension-relax muscles) especially when noticing unhappy moments</t>
    </r>
  </si>
  <si>
    <t>Info Box: [This is the most fun way to relax your muscles! First, pretend to be a Robot: squeeze every muscle tight, make stiff arms, and scrunch up your face for 5 seconds. Then, turn into Cooked Spaghetti: let your whole body go wiggly, floppy, and soft. Doesn't that feel better?]</t>
  </si>
  <si>
    <t>Happy Dinner Chat</t>
  </si>
  <si>
    <t>Sit down and share how your happy moments with your family during dinner</t>
  </si>
  <si>
    <t>Sad-To-Glad Breaths</t>
  </si>
  <si>
    <t xml:space="preserve"> Combine breathing exercise when noticing unhappy moments</t>
  </si>
  <si>
    <t>Joy Boost Box</t>
  </si>
  <si>
    <t>Create a back-up solution if you have no happy moments (like watch pictures back of happy things)</t>
  </si>
  <si>
    <t>Brain Tidy Time</t>
  </si>
  <si>
    <t>Do a child-friendly meditation session to order all thoughts</t>
  </si>
  <si>
    <t>Info Box: [Close your eyes and teleport! Imagine your favorite happy place—like a beach, a treehouse, or a magical castle. What does it smell like? Is it warm? Staying there in your mind for just 1 minute can reset your mood.]</t>
  </si>
  <si>
    <t>Kind-Hug Boost</t>
  </si>
  <si>
    <t>Explore the benefits of kindness and hugs</t>
  </si>
  <si>
    <t>Info Box: [When you hug someone for 20 seconds, your brain releases a special chemical called Oxytocin. It makes you feel warm, fuzzy, and safe. It’s like a magical potion that instantly makes you and your friend feel happy!]</t>
  </si>
  <si>
    <t>Wave of Kindness</t>
  </si>
  <si>
    <t xml:space="preserve"> List your current interactions with family and friends</t>
  </si>
  <si>
    <t>Info Box: [Kindness is contagious! If you hold the door for someone, they feel happy, so they help someone else. It creates a wave of nice things that spreads further than you can see.]</t>
  </si>
  <si>
    <t>Throw Kind, Get Kind</t>
  </si>
  <si>
    <t>Notice kind things around you (when somebody did something nice for someone else)</t>
  </si>
  <si>
    <t>Info Box: [Kindness is like a boomerang. When you throw kindness out into the world (by sharing a toy or saying "nice job"), it almost always comes back to you. People want to be nice to kids who are nice to them!]</t>
  </si>
  <si>
    <t>Growing Good Bonds</t>
  </si>
  <si>
    <t>Family and friends are important. How can you make your relationship stronger?</t>
  </si>
  <si>
    <t>Options: [Being kind and listening; spending time together and helping; talking, sharing, being honest; all options]</t>
  </si>
  <si>
    <t>Friend and Family Power</t>
  </si>
  <si>
    <t>Write down things you like to do with family and friends</t>
  </si>
  <si>
    <t>Nice Things To Do</t>
  </si>
  <si>
    <t>Write down kind things you can do to someone else</t>
  </si>
  <si>
    <t>Info Box: [Did you know that helping someone actually gives you energy? When you do something kind, your brain releases Endorphins. This gives you a burst of happy energy called a "Helper's High." It feels good to do good!]</t>
  </si>
  <si>
    <t>Tiny Kind Act</t>
  </si>
  <si>
    <t>Do a small kind action for someone you know (hold a door, help with chores)</t>
  </si>
  <si>
    <t>Two Nice Things</t>
  </si>
  <si>
    <t>Say 1 nice thing you like about someone else and 1 thing you like about yourself</t>
  </si>
  <si>
    <t>Reconnect Time</t>
  </si>
  <si>
    <t>Talk to someone you have not spoken to in a while (someone in class, or a family member)</t>
  </si>
  <si>
    <t xml:space="preserve">Play Date </t>
  </si>
  <si>
    <t>Organize a play date with someone and do something you both like</t>
  </si>
  <si>
    <t>Random Nice Things</t>
  </si>
  <si>
    <t>Do a small kind action for a stranger (give a smile)</t>
  </si>
  <si>
    <t>Love Boost</t>
  </si>
  <si>
    <t>Give someone you love a hug or compliment</t>
  </si>
  <si>
    <t>Listen Like a Friend</t>
  </si>
  <si>
    <t>Talk to someone, but also listen and share if you learned something new about what that person liked</t>
  </si>
  <si>
    <t>Group Play Date</t>
  </si>
  <si>
    <t>Organize a play date with multiple people</t>
  </si>
  <si>
    <t>Activity</t>
  </si>
  <si>
    <t>Tasks</t>
  </si>
  <si>
    <t>Task description</t>
  </si>
  <si>
    <t>Quiz description</t>
  </si>
  <si>
    <t>Short description</t>
  </si>
  <si>
    <t>Beans Quiz</t>
  </si>
  <si>
    <t>M1: Sleep, Energy and Routine</t>
  </si>
  <si>
    <t>Congratulations on taking your first step! Here you'll learn the basics of mindfulness and healthy sleep – perfect for sparking curiosity and celebrating initial successes.</t>
  </si>
  <si>
    <t>You've mastered the basics! Now it's about integrating small habits into your everyday life and feeling how your body and mind slowly change.</t>
  </si>
  <si>
    <t>Your progress is visible! Here you deepen your knowledge and try out new techniques to bring more balance and energy into your day.</t>
  </si>
  <si>
    <t>You're on the right track! Now it's about embracing challenges and making your routines more conscious – for greater well-being in everyday life.</t>
  </si>
  <si>
    <t>Your practice will become a habit! Here you will learn how to maintain mindfulness and health even during stressful periods and understand yourself better.</t>
  </si>
  <si>
    <t>You're a true movement expert! Now it's about refining your goals, adding variety to your routine, and inspiring others.</t>
  </si>
  <si>
    <t>Masterful! You seamlessly integrate mindfulness and health into your life and become a role model for others – keep it up and enjoy the journey.</t>
  </si>
  <si>
    <t>You are a true movement master! Your knowledge and experience shine through – live your passion and continue to inspire others to lead an active lifestyle.</t>
  </si>
  <si>
    <t>M2: Concentration, Attention and Awareness</t>
  </si>
  <si>
    <t>Congratulations on taking your first step! Here you'll learn the basics of concentration, and focus your attention consciously!</t>
  </si>
  <si>
    <t>Your practice will become a habit! Here you will learn how to maintain your newly gained skills and improve your ability to focus your attention conciously!</t>
  </si>
  <si>
    <t>Masterful! You seamlessly integrate mindfulness and awareness into your life  – keep it up and enjoy the journey.</t>
  </si>
  <si>
    <t>You are a true movement master! Your knowledge and experience shine through –  continue doing the activities with a focus on your senses!</t>
  </si>
  <si>
    <t>M3: Emotions</t>
  </si>
  <si>
    <t>Congratulations on taking your first step! Here you'll learn the basics of cognitive and emotional experiences!</t>
  </si>
  <si>
    <t>Your progress is visible! Here you deepen your knowledge and try out new techniques to bring more emotional balance into your day.</t>
  </si>
  <si>
    <t>Your practice will become a habit! Here you will learn how to maintain your newly gained skills and improve your ability to be aware and to control your emotions!</t>
  </si>
  <si>
    <t>You're a true movement expert! Now it's about refining your goals and adding variety to your routine!</t>
  </si>
  <si>
    <t>Masterful! You seamlessly integrate cognitive ad emotional experiences into your life  – keep it up and enjoy the journey.</t>
  </si>
  <si>
    <t>You are a true movement master! Your knowledge and experience shine through –  continue doing the activities with a focus on your emotions!</t>
  </si>
  <si>
    <t>M4: Friends</t>
  </si>
  <si>
    <t>Congratulations on taking your first step! Here you'll learn the basics of interactions with friends and family!</t>
  </si>
  <si>
    <t>You've mastered the basics! Now it's about integrating small habits into your everyday life and feeling how your relationships with friends and family are getting stronger!</t>
  </si>
  <si>
    <t>Your progress is visible! Here you deepen your knowledge and try out new techniques to bring more balance into your daily relationships with the others.</t>
  </si>
  <si>
    <t>You're on the right track! Now it's about embracing challenges and making your interactions with the others more conscious – for greater well-being in everyday life.</t>
  </si>
  <si>
    <t>Your practice will become a habit! Here you will learn how to maintain your newly gained skills and improve your ability of building stronger relationships with the others!</t>
  </si>
  <si>
    <t>You're a true movement expert! Now it's about refining your goals, adding variety to the time that you spend with family and friends!</t>
  </si>
  <si>
    <t>Masterful! You seamlessly integrate mindfulness and awareness into your interactions with family and friends  – keep it up and enjoy the journey.</t>
  </si>
  <si>
    <t>You are a true movement master! Your knowledge and experience shine through –  keep up the good work!</t>
  </si>
  <si>
    <t>M5: Nature</t>
  </si>
  <si>
    <t>DN6 Sea the Benefits</t>
  </si>
  <si>
    <t>Congratulations on taking your first step! Here you'll learn the basics of fish and seafood consumption</t>
  </si>
  <si>
    <t>You've mastered the basics! Now it's about integrating small habits into your everyday life and feeling how your knowledge regarding fish and seafood are getting stronger!</t>
  </si>
  <si>
    <t>Your progress is visible! Here you deepen your knowledge and get some inspiration using new recipies!</t>
  </si>
  <si>
    <t>You're on the right track! Now it's about embracing challenges and making your fish and seafood consumption a bit more regular – for greater well-being in everyday life.</t>
  </si>
  <si>
    <t>Your practice will become a habit! Here you will learn how to maintain your newly gained skills and improve your healthy habits!</t>
  </si>
  <si>
    <t>You're a true fish and seafood expert! Now it's about refining your goals and the first steps on the way of maintenance your regular fish consumption!</t>
  </si>
  <si>
    <t>Masterful! You seamlessly integrate  fish and seafood consumption in your daily life – keep it up and enjoy the journey.</t>
  </si>
  <si>
    <t>You are a true fish and seafood master! Your knowledge and experience shine through –  keep up the good work!</t>
  </si>
  <si>
    <t>DN11 Legume Boost</t>
  </si>
  <si>
    <t>Congratulations on taking your first step! Here you'll learn the basics principles of boosting your legume consumption!</t>
  </si>
  <si>
    <t>You've mastered the basics! Now it's about integrating small habits into your everyday life and feeling how your knowledge regarding legume boost are getting stronger!</t>
  </si>
  <si>
    <t>You're on the right track! Now it's about embracing challenges and making your legume consumption a bit more regular – for greater well-being in everyday life.</t>
  </si>
  <si>
    <t>You're a true legume expert! Now it's about refining your goals and the first steps on the way of maintenance your regular legume consumption!</t>
  </si>
  <si>
    <t>Masterful! You seamlessly integrate  legumes in your daily life – keep it up and enjoy the journey.</t>
  </si>
  <si>
    <t>You are a true legume master! Your knowledge and experience shine through –  keep up the good work!</t>
  </si>
  <si>
    <t>Fun Nutrition</t>
  </si>
  <si>
    <t>DN12 Read it right</t>
  </si>
  <si>
    <t>Congratulations on taking your first step! Here you'll learn the basics principles of reading the nutrition labels!</t>
  </si>
  <si>
    <t>You've mastered the basics! Now it's about integrating small habits into your everyday life and feeling how your knowledge regarding the nutrition labels are getting stronger!</t>
  </si>
  <si>
    <t>Your progress is visible! Here you deepen your knowledge and try out to apply it "on the field"!</t>
  </si>
  <si>
    <t>You're on the right track! Now it's about embracing challenges and applying your newly gained skills a bit more regular – for greater well-being in everyday life.</t>
  </si>
  <si>
    <t>You're a true label expert! Now it's about refining your goals and the first steps on the way of maintenance your regular reading skills!</t>
  </si>
  <si>
    <t>Masterful! You seamlessly integrate reading of nutrition labels in your daily life – keep it up and enjoy the journey.</t>
  </si>
  <si>
    <t>You are a true label master! Your knowledge and experience shine through –  keep up the good work!</t>
  </si>
  <si>
    <t>DN7 Drink Up!</t>
  </si>
  <si>
    <t>Congratulations on taking your first step! Here you'll learn the basics principles of  water consumption!</t>
  </si>
  <si>
    <t>You've mastered the basics! Now it's about integrating small habits into your everyday life and feeling how your knowledge regarding the water consumption are getting stronger!</t>
  </si>
  <si>
    <t>You're a true  expert of water consumption! Now it's about refining your goals and the first steps on the way of maintenance your regular skills!</t>
  </si>
  <si>
    <t>Masterful! You seamlessly integrate optimal consumption of water in your daily life – keep it up and enjoy the journey.</t>
  </si>
  <si>
    <t>You are a true master of water consumption! Your knowledge and experience shine through –  keep up the good work!</t>
  </si>
  <si>
    <t>DN8  Seasonal Swap</t>
  </si>
  <si>
    <t>Congratulations on taking your first step! Here you'll learn the basics principles of inclusion seasonal and local foods in your daily diet!</t>
  </si>
  <si>
    <t>You've mastered the basics! Now it's about integrating small habits into your everyday life and feeling how your knowledge regarding the local and seasonal nutrition are getting stronger!</t>
  </si>
  <si>
    <t>You're a true  expert of seasonal and local foods! Now it's about refining your goals and the first steps on the way of maintenance your regular reading skills!</t>
  </si>
  <si>
    <t>Masterful! You seamlessly integrate local and seasonal foods in your daily diet – keep it up and enjoy the journey.</t>
  </si>
  <si>
    <t>You are a true master of seasonal and local nutrition! Your knowledge and experience shine through –  keep up the good work!</t>
  </si>
  <si>
    <t>DN9 Healthy Choices for a Healthy Planet</t>
  </si>
  <si>
    <t>Congratulations on taking your first step! Here you'll learn the basics principles of making healthy choices that are good for a healthy planet!</t>
  </si>
  <si>
    <t>You've mastered the basics! Now it's about integrating small habits into your everyday life and feeling how your knowledge regarding the healthy and sustainable food are getting stronger!</t>
  </si>
  <si>
    <t>You're a true  expert of healthy and sustainable foods! Now it's about refining your goals and the first steps on the way of maintenance your regular reading skills!</t>
  </si>
  <si>
    <t>Masterful! You seamlessly integrate sustainable and healthyl foods in your daily diet – keep it up and enjoy the journey.</t>
  </si>
  <si>
    <t>You are a true master of healthy and sustainable nutrition! Your knowledge and experience shine through –  keep up the good work!</t>
  </si>
  <si>
    <t>DN10 Eat Smart, Waste Less!</t>
  </si>
  <si>
    <t>Congratulations on taking your first step! Here you'll learn the basics principles of reducing your food waste!</t>
  </si>
  <si>
    <t>You've mastered the basics! Now it's about integrating small habits into your everyday life and feeling how your knowledge regarding the reducing of food waste are getting stronger!</t>
  </si>
  <si>
    <t>Your practice will become a habit! Here you will learn how to maintain your newly gained skills and improve your useful habits!</t>
  </si>
  <si>
    <t>You're a true food waste expert ! Now it's about refining your goals and the first steps on the way of maintenance your regular reading skills!</t>
  </si>
  <si>
    <t>Masterful! You seamlessly reduced your food waste – keep it up and enjoy the journey.</t>
  </si>
  <si>
    <t>You are a true food waste master! Your knowledge and experience shine through –  keep up the good work!</t>
  </si>
  <si>
    <t>What to have in mind when creating tasks?</t>
  </si>
  <si>
    <t>NOT included into Design</t>
  </si>
  <si>
    <t>Action</t>
  </si>
  <si>
    <t>Maintenance</t>
  </si>
  <si>
    <t>Termination</t>
  </si>
  <si>
    <t>No intention to
change; no
awareness of the
problem</t>
  </si>
  <si>
    <t>Thinking about change; No action yet</t>
  </si>
  <si>
    <t>Firm intention and
preparation (e.g.,
registering at the gym,
making a plan)</t>
  </si>
  <si>
    <t>Initially active
implementation; behavior
is displayed regularly</t>
  </si>
  <si>
    <t>Behavior is maintained over a longer period of time; relapse prevention (regular follow-ups)</t>
  </si>
  <si>
    <t>Behavior is automated; no relapse risk</t>
  </si>
  <si>
    <t>PC1 (Sustenance)</t>
  </si>
  <si>
    <t>PC2* (Transition)</t>
  </si>
  <si>
    <t>C1 (Sustenance)</t>
  </si>
  <si>
    <t>C2* (Transition)</t>
  </si>
  <si>
    <t>P1 (Sustenance)</t>
  </si>
  <si>
    <t>P2* (Transition)</t>
  </si>
  <si>
    <t>A1*- A4* (Transition)</t>
  </si>
  <si>
    <t>M1 - M4 (Sustenance)</t>
  </si>
  <si>
    <t>PA</t>
  </si>
  <si>
    <t>Example</t>
  </si>
  <si>
    <t>"Sport? That is not for me"</t>
  </si>
  <si>
    <t>"I should move more"</t>
  </si>
  <si>
    <t>"I will start jogging next week"</t>
  </si>
  <si>
    <t>"I have been jogging for 2 weeks"</t>
  </si>
  <si>
    <t>"I have been jogging regularly for the last 6 months"</t>
  </si>
  <si>
    <t>Task Type(s)</t>
  </si>
  <si>
    <t>Survey Questions - Info Tips - Videos - Quizzes</t>
  </si>
  <si>
    <t>Survey Questions- Quizzes</t>
  </si>
  <si>
    <t>Info Tips - Videos - Quizzes</t>
  </si>
  <si>
    <t>-Instructions - Tutorials - Guidance Videos - Planning Tasks</t>
  </si>
  <si>
    <t>-Instructions​
- Tutorials​
- Guidance​
- Activity Logging Tasks</t>
  </si>
  <si>
    <t xml:space="preserve">Activity Logging Tasks </t>
  </si>
  <si>
    <t>Activity Logging Tasks</t>
  </si>
  <si>
    <t>Content Operationalization</t>
  </si>
  <si>
    <t>-Health information - Awareness raising - Risk clarification - Showing role models ("What do I get
from exercise?")</t>
  </si>
  <si>
    <t>-Reflective questions ​
-Pondering Benefits ​
-Commitment consideration</t>
  </si>
  <si>
    <t>-Emotional arguments - Pros and Cons - Success stories</t>
  </si>
  <si>
    <t>-Barrier identification​
-Solution Brainstorming​
-(First) Realistic Goal-Settings</t>
  </si>
  <si>
    <t>-Goal setting &amp; (action) planning support – Anticipate obstacles and
develop coping strategies  - Social support</t>
  </si>
  <si>
    <t>-Concrete action planning​: "When, where,how, with whom, how often?
-First actions​
-Support network assesment</t>
  </si>
  <si>
    <t>-Reward systems - Self-monitoring - Reinforcement through (progress) feedback - Social
support (e.g. group training) -  Relapse prevention</t>
  </si>
  <si>
    <t>-Routine establishment - Reward successes - Emphasize fun (add variability) - Normalize relapse and support re-engagement</t>
  </si>
  <si>
    <t>"I just eat what I enjoy"</t>
  </si>
  <si>
    <t>"I know I should eat healthier"</t>
  </si>
  <si>
    <t>"I bought a cookbook with healthy recipes and I'm planning to cook a healthy meal next week"</t>
  </si>
  <si>
    <t>"I've been eating healthy snacks every day for the past week"</t>
  </si>
  <si>
    <t>"I've consistently focused on a balanced diet for the last year "</t>
  </si>
  <si>
    <t>Survey Questions - Quizzes</t>
  </si>
  <si>
    <t>Instructions - Tutorials - Guidance Videos - Planning Tasks</t>
  </si>
  <si>
    <t>- Addressing common myths - Current eating habits - Basic Nutrition Knowledge</t>
  </si>
  <si>
    <t>- Reflective questions about desired outcomes - Assessing openness to change eating habits</t>
  </si>
  <si>
    <t xml:space="preserve"> - Pros and Cons of healthy eating - Emotional connections to food and eating  - Basic understanding of food labels </t>
  </si>
  <si>
    <t xml:space="preserve"> - Guidance on Meal Planning (with Nutrida) , Grocery Shopping - Minding Food Labels - Checking easy recipes - Planning first meals - Identifying obstacles for healthy eating </t>
  </si>
  <si>
    <t>- Concrete action planning:  Meal Planning with Nutrida, Exploring App - Introducing  (new) healthy food and recipes to try</t>
  </si>
  <si>
    <t>- Self-Monitoring Tasks (e.g., fiber, protein, fat, sodium, water intake) - Check progress in Nutrida (Referring to Stats) - Social support - Relapse Prevention</t>
  </si>
  <si>
    <t>-Routine establishment - Reward successes (e.g.,  Nutrida Performance Stats) - Add variability (food, new recipes) - Normalize relapse and support re-engagement</t>
  </si>
  <si>
    <t>Mental</t>
  </si>
  <si>
    <t>"I'm generally okay, even if I feel tired or disconnected sometimes"</t>
  </si>
  <si>
    <t>"I've been feeling run down and wondering if I should prioritize sleep"</t>
  </si>
  <si>
    <t>" I am planning to set a bedtime routine"</t>
  </si>
  <si>
    <t>"I am sleeping between 7-8 hours each night for the last two weeks"</t>
  </si>
  <si>
    <t>"I have set and followed a sleep routine for the last 6 months"</t>
  </si>
  <si>
    <t xml:space="preserve">Instructions - Tutorials - Guidance Videos and Audios- Planning Tasks </t>
  </si>
  <si>
    <t>-Instructions​
- Tutorials​ 
- Guidance​
- Activity Logging Tasks</t>
  </si>
  <si>
    <t>- Awareness raising  (connection between mental health and overall wellbeing) - Debunking stigmas - Highlight importance of self-care.</t>
  </si>
  <si>
    <t>-Reflective questions  ​(e.g. Current stressors, sleep hygiene, awareness)
-Commitment consideration (prioritizing Mental Health)</t>
  </si>
  <si>
    <t>-Information on stress management techniques - Initial assesment of stress triggers - Pros and Cons of coping startegies</t>
  </si>
  <si>
    <t>- Identifying triggers and common barriers of self-care - First approaches to mindfulness exercises (body scanning)</t>
  </si>
  <si>
    <t>- Planning self-care routines -Tutorials on relaxation techniques, meditation, body scanning, journalling - Support network assesment</t>
  </si>
  <si>
    <t>- Detailed planning and goal-setting - Identifying obstacles and backup plans - First action steps</t>
  </si>
  <si>
    <t>- Self-Monitoring Tasks - Social Support -Relapse Prevention</t>
  </si>
  <si>
    <t xml:space="preserve">SDT Dimension </t>
  </si>
  <si>
    <t>Mechanism</t>
  </si>
  <si>
    <t>Nudge</t>
  </si>
  <si>
    <t>Game Element</t>
  </si>
  <si>
    <t>Suggestions/Guidelines</t>
  </si>
  <si>
    <t xml:space="preserve">Autonomy </t>
  </si>
  <si>
    <t>Self - Monitoring</t>
  </si>
  <si>
    <t>Default</t>
  </si>
  <si>
    <t xml:space="preserve">Automated Activities </t>
  </si>
  <si>
    <t>Include more "automated" activities for which they can obtain "low effort" points ( i.e. receive points automatically without having to engage too much with platform)</t>
  </si>
  <si>
    <t> Most of these activities imply motioring of activities, water logging, steps ( Data that can be sent from Garmin to GameBus) which increases self-efficacy and autonomy feelings</t>
  </si>
  <si>
    <t>Statistics - Progress bars - Performance Graphs</t>
  </si>
  <si>
    <t>Progress must be trackable</t>
  </si>
  <si>
    <t>Daily Feed</t>
  </si>
  <si>
    <t>Motivation through progress towards (daily) goals (Consolvo et al. 2006,→ feed or reminders of what they have completed so far)</t>
  </si>
  <si>
    <t>Notifications</t>
  </si>
  <si>
    <t>They should be able to enable/disable this element</t>
  </si>
  <si>
    <t>Personalization/Customization</t>
  </si>
  <si>
    <t xml:space="preserve">They can select their preferred activities and „choose an activity path“ </t>
  </si>
  <si>
    <t>Flexibility</t>
  </si>
  <si>
    <t>Pool of varied activities parts. can choose from. They can select which they want to complete and try different ways/options to reach point goal.</t>
  </si>
  <si>
    <t xml:space="preserve">Feedback channel </t>
  </si>
  <si>
    <t>Participants can suggest activity/tasks ideas for next waves</t>
  </si>
  <si>
    <t>Competence</t>
  </si>
  <si>
    <t>Granular Feedback</t>
  </si>
  <si>
    <t>Provide points/bonuses for regularity/adherence (e.g., bonuses after several days of activity log)</t>
  </si>
  <si>
    <t>Cumulative Feedback</t>
  </si>
  <si>
    <t>Badges</t>
  </si>
  <si>
    <t xml:space="preserve">Badges have to be clearly displayed so that they can work as a reward. </t>
  </si>
  <si>
    <t>(Socially displayed)Titles can also be used as badges (e.g. "Nutrition Master")</t>
  </si>
  <si>
    <t>Badges more persuasive in higher TTM stages</t>
  </si>
  <si>
    <t xml:space="preserve">Streaks </t>
  </si>
  <si>
    <t>Count of engagement days as a way of tracking progress and increasing motivation (not to lose streak) - Can be framed as  "X days of healthy habit making"</t>
  </si>
  <si>
    <t>Non-linearity - Difficulty Progression</t>
  </si>
  <si>
    <t>Levels</t>
  </si>
  <si>
    <t>Start-off with REALLY EASY LEVELS and then slowly increase difficulty: Boosting-up feelings of competence and encouraging initial engagement</t>
  </si>
  <si>
    <t>Avoid predictability in difficulty progression (Epstein et al., 2021; Birk et al., 2016)</t>
  </si>
  <si>
    <t>Social Norms</t>
  </si>
  <si>
    <t>Leaderboards</t>
  </si>
  <si>
    <t>Users’ standing-performance in relation to peers/social context can motivate engagement</t>
  </si>
  <si>
    <t>Users get reminders of progress/goals as a nudge to engage - recommendations</t>
  </si>
  <si>
    <t>Should be phrased as progress made, not to lose progress (loss-aversion)</t>
  </si>
  <si>
    <t>Loss - Aversion</t>
  </si>
  <si>
    <t>Countdown</t>
  </si>
  <si>
    <t>Better tracking of level timelines and a nudge not to lose points/level</t>
  </si>
  <si>
    <t>We have some performance tracking/ monitoring for nutrition in Nutrida (We may have to refer to this more in our tasks). We have to include a way of tracking also PA and Wellness (e.g. Sleep) not only on the watch but maybe in the HW8 Watch App</t>
  </si>
  <si>
    <t>Relatedness</t>
  </si>
  <si>
    <t>Community</t>
  </si>
  <si>
    <t xml:space="preserve">Visible Status System </t>
  </si>
  <si>
    <t xml:space="preserve">Badges </t>
  </si>
  <si>
    <t xml:space="preserve">Need to be socially displayed  - Maybe in profile (as a title "Nutrition Master") or appear in Newsfeed </t>
  </si>
  <si>
    <t>Team Goals</t>
  </si>
  <si>
    <t>Trial site -based challenges (e.g. Reach X amount of steps along with fellow participants)</t>
  </si>
  <si>
    <t xml:space="preserve">Progress and performance displayed to peers/social context </t>
  </si>
  <si>
    <t>Community recognition systems</t>
  </si>
  <si>
    <t>Activities in real-life social spaces with real-life social groups (e.g. Bring your friend to your daily walk; Encourage your friend for a short active pause btw study sessions)</t>
  </si>
  <si>
    <t>Seasonal Waves Timeline</t>
  </si>
  <si>
    <t>Calendar week</t>
  </si>
  <si>
    <t>Monday</t>
  </si>
  <si>
    <t>Tuesday</t>
  </si>
  <si>
    <t>Wednesday</t>
  </si>
  <si>
    <t>Thursday</t>
  </si>
  <si>
    <t>Friday</t>
  </si>
  <si>
    <t>Saturday</t>
  </si>
  <si>
    <t>Sunday</t>
  </si>
  <si>
    <t>Spring</t>
  </si>
  <si>
    <t>Summer</t>
  </si>
  <si>
    <t>Autumn</t>
  </si>
  <si>
    <t>Winter</t>
  </si>
  <si>
    <t>29. Dec</t>
  </si>
  <si>
    <t>30. Dec</t>
  </si>
  <si>
    <t>31. Dec</t>
  </si>
  <si>
    <t>1. Mar</t>
  </si>
  <si>
    <t>2. Mar</t>
  </si>
  <si>
    <t>3. Mar</t>
  </si>
  <si>
    <t>4. Mar</t>
  </si>
  <si>
    <t>5. Mar</t>
  </si>
  <si>
    <t>6. Mar</t>
  </si>
  <si>
    <t>7. Mar</t>
  </si>
  <si>
    <t>8. Mar</t>
  </si>
  <si>
    <t>9. Mar</t>
  </si>
  <si>
    <t>10. Mar</t>
  </si>
  <si>
    <t>11. Mar</t>
  </si>
  <si>
    <t>12. Mar</t>
  </si>
  <si>
    <t>13. Mar</t>
  </si>
  <si>
    <t>14. Mar</t>
  </si>
  <si>
    <t>15. Mar</t>
  </si>
  <si>
    <t>16. Mar</t>
  </si>
  <si>
    <t>17. Mar</t>
  </si>
  <si>
    <t>18. Mar</t>
  </si>
  <si>
    <t>19. Mar</t>
  </si>
  <si>
    <t>20. Mar</t>
  </si>
  <si>
    <t>21. Mar</t>
  </si>
  <si>
    <t>22. Mar</t>
  </si>
  <si>
    <t>23. Mar</t>
  </si>
  <si>
    <t>24. Mar</t>
  </si>
  <si>
    <t>25. Mar</t>
  </si>
  <si>
    <t>26. Mar</t>
  </si>
  <si>
    <t>27. Mar</t>
  </si>
  <si>
    <t>28. Mar</t>
  </si>
  <si>
    <t>29. Mar</t>
  </si>
  <si>
    <t>30. Mar</t>
  </si>
  <si>
    <t>31. Mar</t>
  </si>
  <si>
    <t>1. May</t>
  </si>
  <si>
    <t>2. May</t>
  </si>
  <si>
    <t>3. May</t>
  </si>
  <si>
    <t>4. May</t>
  </si>
  <si>
    <t>5. May</t>
  </si>
  <si>
    <t>6. May</t>
  </si>
  <si>
    <t>7. May</t>
  </si>
  <si>
    <t>8. May</t>
  </si>
  <si>
    <t>9. May</t>
  </si>
  <si>
    <t>10. May</t>
  </si>
  <si>
    <t>11. May</t>
  </si>
  <si>
    <t>12. May</t>
  </si>
  <si>
    <t>13. May</t>
  </si>
  <si>
    <t>14. May</t>
  </si>
  <si>
    <t>15. May</t>
  </si>
  <si>
    <t>16. May</t>
  </si>
  <si>
    <t>17. May</t>
  </si>
  <si>
    <t>18. May</t>
  </si>
  <si>
    <t>19. May</t>
  </si>
  <si>
    <t>20. May</t>
  </si>
  <si>
    <t>21. May</t>
  </si>
  <si>
    <t>22. May</t>
  </si>
  <si>
    <t>23. May</t>
  </si>
  <si>
    <t>24. May</t>
  </si>
  <si>
    <t>25. May</t>
  </si>
  <si>
    <t>26. May</t>
  </si>
  <si>
    <t>27. May</t>
  </si>
  <si>
    <t>28. May</t>
  </si>
  <si>
    <t>29. May</t>
  </si>
  <si>
    <t>30. May</t>
  </si>
  <si>
    <t>31. May</t>
  </si>
  <si>
    <t>1. Oct</t>
  </si>
  <si>
    <t>2. Oct</t>
  </si>
  <si>
    <t>3. Oct</t>
  </si>
  <si>
    <t>4. Oct</t>
  </si>
  <si>
    <t>5. Oct</t>
  </si>
  <si>
    <t>6. Oct</t>
  </si>
  <si>
    <t>7. Oct</t>
  </si>
  <si>
    <t>8. Oct</t>
  </si>
  <si>
    <t>9. Oct</t>
  </si>
  <si>
    <t>10. Oct</t>
  </si>
  <si>
    <t>11. Oct</t>
  </si>
  <si>
    <t>12. Oct</t>
  </si>
  <si>
    <t>13. Oct</t>
  </si>
  <si>
    <t>14. Oct</t>
  </si>
  <si>
    <t>15. Oct</t>
  </si>
  <si>
    <t>16. Oct</t>
  </si>
  <si>
    <t>17. Oct</t>
  </si>
  <si>
    <t>18. Oct</t>
  </si>
  <si>
    <t>19. Oct</t>
  </si>
  <si>
    <t>20. Oct</t>
  </si>
  <si>
    <t>21. Oct</t>
  </si>
  <si>
    <t>22. Oct</t>
  </si>
  <si>
    <t>23. Oct</t>
  </si>
  <si>
    <t>24. Oct</t>
  </si>
  <si>
    <t>25. Oct</t>
  </si>
  <si>
    <t>26. Oct</t>
  </si>
  <si>
    <t>27. Oct</t>
  </si>
  <si>
    <t>28. Oct</t>
  </si>
  <si>
    <t>29. Oct</t>
  </si>
  <si>
    <t>30. Oct</t>
  </si>
  <si>
    <t>31. Oct</t>
  </si>
  <si>
    <t>1. Dec</t>
  </si>
  <si>
    <t>2. Dec</t>
  </si>
  <si>
    <t>3. Dec</t>
  </si>
  <si>
    <t>4. Dec</t>
  </si>
  <si>
    <t>5. Dec</t>
  </si>
  <si>
    <t>6. Dec</t>
  </si>
  <si>
    <t>7. Dec</t>
  </si>
  <si>
    <t>8. Dec</t>
  </si>
  <si>
    <t>9. Dec</t>
  </si>
  <si>
    <t>10. Dec</t>
  </si>
  <si>
    <t>11. Dec</t>
  </si>
  <si>
    <t>12. Dec</t>
  </si>
  <si>
    <t>13. Dec</t>
  </si>
  <si>
    <t>14. Dec</t>
  </si>
  <si>
    <t>15. Dec</t>
  </si>
  <si>
    <t>16. Dec</t>
  </si>
  <si>
    <t>17. Dec</t>
  </si>
  <si>
    <t>18. Dec</t>
  </si>
  <si>
    <t>19. Dec</t>
  </si>
  <si>
    <t>20. Dec</t>
  </si>
  <si>
    <t>21. Dec</t>
  </si>
  <si>
    <t>22. Dec</t>
  </si>
  <si>
    <t>23. Dec</t>
  </si>
  <si>
    <t>24. Dec</t>
  </si>
  <si>
    <t>25. Dec</t>
  </si>
  <si>
    <t>26. Dec</t>
  </si>
  <si>
    <t>27. Dec</t>
  </si>
  <si>
    <t>28. Dec</t>
  </si>
  <si>
    <t>Recommendations for Writing Motivating and Meaningful Tasks</t>
  </si>
  <si>
    <t>Area</t>
  </si>
  <si>
    <t>Rule/ Key Point</t>
  </si>
  <si>
    <t>Questions to ask yourself while writing</t>
  </si>
  <si>
    <t>Sources of informational content</t>
  </si>
  <si>
    <r>
      <t>·</t>
    </r>
    <r>
      <rPr>
        <sz val="7"/>
        <color rgb="FF000000"/>
        <rFont val="Times New Roman"/>
        <family val="1"/>
      </rPr>
      <t xml:space="preserve">       </t>
    </r>
    <r>
      <rPr>
        <sz val="11"/>
        <color rgb="FF000000"/>
        <rFont val="Calibri"/>
        <family val="2"/>
      </rPr>
      <t xml:space="preserve">For source citations: Well-known and established sources are trusted more and perceived as more credible. If sources are mentioned in the tasks, they should ideally be widely recognized. In the case of Germany, for example, this could be an established health institute like the </t>
    </r>
    <r>
      <rPr>
        <i/>
        <sz val="11"/>
        <color rgb="FF000000"/>
        <rFont val="Calibri"/>
        <family val="2"/>
      </rPr>
      <t>Robert Koch Institute (RKI)</t>
    </r>
    <r>
      <rPr>
        <sz val="11"/>
        <color rgb="FF000000"/>
        <rFont val="Calibri"/>
        <family val="2"/>
      </rPr>
      <t>, which has been widely known at least since the pandemic.</t>
    </r>
  </si>
  <si>
    <t>Are the sources cited for the information generally well-known, not just to us as scientists?</t>
  </si>
  <si>
    <t>Goals and sub goals/milestones</t>
  </si>
  <si>
    <t>• The objective of the tasks should be clear.
• Each activity path should have a clear final goal, and this goal should be broken down into smaller, achievable sub-goals that participants can reach step by step.</t>
  </si>
  <si>
    <t>What should participants be able to do or which skill should they have mastered by the end of the path/task?</t>
  </si>
  <si>
    <t>Arguments in favor of health supporting behavior</t>
  </si>
  <si>
    <t>• The content should provide specific and compelling reasons for why it is worthwhile to eat healthily or exercise more—going beyond generic statements.</t>
  </si>
  <si>
    <t>Do the materials provide reasons why adopting health-promoting behaviors is worthwhile?
Are these reasons tangible or abstract and far off in the future?
Can the reason be linked to a specific suggested activity?</t>
  </si>
  <si>
    <t>Framing of messages (gain/loss) and motivating language</t>
  </si>
  <si>
    <t>• Messages should generally be framed in a positive way, rather than relying on fear or deterrence.
• Content should be phrased in a friendly and motivating manner, and, where possible, include new perspectives that encourage participants to reflect on their past behavior.</t>
  </si>
  <si>
    <r>
      <t>What can participants "gain" by choosing health-promoting behaviors?
Positive example:</t>
    </r>
    <r>
      <rPr>
        <i/>
        <sz val="11"/>
        <color rgb="FF000000"/>
        <rFont val="Calibri"/>
        <family val="2"/>
      </rPr>
      <t xml:space="preserve">
"If you quit smoking today, your lungs will begin to regenerate, and activities like climbing stairs will become easier."</t>
    </r>
    <r>
      <rPr>
        <sz val="11"/>
        <color rgb="FF000000"/>
        <rFont val="Calibri"/>
        <family val="2"/>
      </rPr>
      <t xml:space="preserve">
Negative example:</t>
    </r>
    <r>
      <rPr>
        <i/>
        <sz val="11"/>
        <color rgb="FF000000"/>
        <rFont val="Calibri"/>
        <family val="2"/>
      </rPr>
      <t xml:space="preserve">
"If you continue smoking, your health will continue to deteriorate."</t>
    </r>
    <r>
      <rPr>
        <sz val="11"/>
        <color rgb="FF000000"/>
        <rFont val="Calibri"/>
        <family val="2"/>
      </rPr>
      <t xml:space="preserve">
Does the task read as motivating, and is the tone of the content friendly?
Does the content encourage reflection on one's past behavior?
Does it provide new perspectives or food for thought?</t>
    </r>
  </si>
  <si>
    <t>Personal relevance and linguistic adaptation for the target group</t>
  </si>
  <si>
    <t>• The information/task should be phrased in a way that holds personal relevance for the participants. Unnecessary information or clichés should be avoided.
• If the participant group comes from a specific cultural community, it is essential to ensure that the information/tasks are formulated in a way that does not conflict with the values or beliefs of that community.
• Language style and word choice should be adapted as closely as possible to the target audience (e.g., using formal address for older individuals).
• Word choice should align with the target audience (considering education level, age, and potentially other categories). Medical jargon should be avoided to facilitate understanding.</t>
  </si>
  <si>
    <t>Does the content include information that is general in nature but not specifically tailored to the target audience? (If so, this should be revised.)
Are medical terms or medical jargon used that could be avoided?
Are complicated sentence structures used that could be simplified?
Does the choice of words match the language and understanding of the target audience?</t>
  </si>
  <si>
    <t>Incorporation of feedback and success moments</t>
  </si>
  <si>
    <t>• Achievements already attained should be addressed in the form of positive feedback.</t>
  </si>
  <si>
    <t>How can feedback on participants' previous successes be integrated into the subsequent content of the campaign or activity path?
Which sub-goals or milestones have participants already reached that can be acknowledged with praise?</t>
  </si>
  <si>
    <t>Use of information supporting elements (audio material, pictures, videos, graphics etc.)</t>
  </si>
  <si>
    <t>• Purely text-based information should, whenever possible, be supported by other formats (e.g., audio, images, videos, or other visualizations). These can be used, for example, to visualize progress already achieved. Visuals should serve a supportive role and not be overly complex or complicated.
• When using images, ensure that the intended target audience can identify with them as much as possible (e.g., in terms of age, gender, body type, etc.).
• Supporting elements (images, videos, visuals) can also be used as "eye-catchers" to capture participants' attention.</t>
  </si>
  <si>
    <t>Are the supporting elements used innovative or engaging?
Can the target audience recognize themselves or identify with the images or videos?
Are the visuals easy to understand?
(Complex visuals that require advanced skills, such as interpreting complex diagrams, should be avoided.)</t>
  </si>
  <si>
    <t>References</t>
  </si>
  <si>
    <r>
      <t>·</t>
    </r>
    <r>
      <rPr>
        <sz val="7"/>
        <color rgb="FF000000"/>
        <rFont val="Times New Roman"/>
        <family val="1"/>
      </rPr>
      <t xml:space="preserve">       </t>
    </r>
    <r>
      <rPr>
        <sz val="10"/>
        <color rgb="FF000000"/>
        <rFont val="Calibri"/>
        <family val="2"/>
      </rPr>
      <t>Grace-Farfaglia, 2019. Social Cognitive Theories and Electronic Health Design: Scoping Review</t>
    </r>
  </si>
  <si>
    <r>
      <t>·</t>
    </r>
    <r>
      <rPr>
        <sz val="7"/>
        <color rgb="FF000000"/>
        <rFont val="Times New Roman"/>
        <family val="1"/>
      </rPr>
      <t xml:space="preserve">       </t>
    </r>
    <r>
      <rPr>
        <sz val="10"/>
        <color rgb="FF000000"/>
        <rFont val="Calibri"/>
        <family val="2"/>
      </rPr>
      <t>Rimer &amp; Kreuter, 2006. Advancing Tailored Health Communication: A Persuasion and Message Effects Perspective</t>
    </r>
  </si>
  <si>
    <r>
      <t>·</t>
    </r>
    <r>
      <rPr>
        <sz val="7"/>
        <color rgb="FF000000"/>
        <rFont val="Times New Roman"/>
        <family val="1"/>
      </rPr>
      <t xml:space="preserve">       </t>
    </r>
    <r>
      <rPr>
        <sz val="10"/>
        <color rgb="FF000000"/>
        <rFont val="Calibri"/>
        <family val="2"/>
      </rPr>
      <t>Block &amp; Keller, 1995. When to Accentuate the Negative: The Effects of Perceived Efficacy and Message Framing on Intentions to Perform a Health-Related Behavior</t>
    </r>
  </si>
  <si>
    <r>
      <t>·</t>
    </r>
    <r>
      <rPr>
        <sz val="7"/>
        <color rgb="FF000000"/>
        <rFont val="Times New Roman"/>
        <family val="1"/>
      </rPr>
      <t xml:space="preserve">       </t>
    </r>
    <r>
      <rPr>
        <sz val="10"/>
        <color rgb="FF000000"/>
        <rFont val="Calibri"/>
        <family val="2"/>
      </rPr>
      <t>den Akker et al., 2015. Tailored motivational message generation: A model and practical framework for real-time physical activity coaching</t>
    </r>
  </si>
  <si>
    <t>#</t>
  </si>
  <si>
    <t>Definition</t>
  </si>
  <si>
    <t>Campaign</t>
  </si>
  <si>
    <t>Unit of game rules and configurations of the gamified digital intervention accesible through the Gamebus web-app. Each trial should have its own adapted campaign.</t>
  </si>
  <si>
    <t>(User) groups</t>
  </si>
  <si>
    <t>The group is the distinguishment of users based on certain characteristics (e.g., users enrolled in a campaign, users receiving specific treatments). A user can belong to multiple groups.</t>
  </si>
  <si>
    <t>(Campaign) wave</t>
  </si>
  <si>
    <t>The wave is the time period during which specific campaign configurations are active. For instance, a particular set of health tasks may be available to a specific user group during a campaign wave. There is a TTM-based "Main wave" and additional "Seasonal Waves"</t>
  </si>
  <si>
    <t>(Game) Mechanics</t>
  </si>
  <si>
    <t xml:space="preserve">Define how a game "works" - Rules that guide game and player's actions </t>
  </si>
  <si>
    <t>The Transtheoretical Model - Stages of Change (TTM - SOC) proposes that people transfer through different stages in their path to behavioral change. The stages are: Precontemplation, Contemplation, Preparation, Action, and Maintenance</t>
  </si>
  <si>
    <t>SDT</t>
  </si>
  <si>
    <t>Self-Determination Theory (SDT) proposes that a behavior is intrinsically motivated if it fulfills the (psychological) needs of autonomy, competence, and relatedness</t>
  </si>
  <si>
    <t>A dimension is a selected area of (healthy) lifestyle being targeted by the digital intervention. This intervention includes 3 dimensions: diet and nutrition (DN), physical activity (PA), and mindfulness (M).</t>
  </si>
  <si>
    <t>Specific (experimental)  variables and measurable indicators of the targeted dimensions (PA,DN, M) that are expected to be object of change due to the digital intervention</t>
  </si>
  <si>
    <t>Type of Activity (Activity Track)</t>
  </si>
  <si>
    <t xml:space="preserve">Represents an specific, observable behavior (i.e. activity) associated to a Behavioral Change Variable (Operationalization). There are different variations (i.e. tracks)  that users can choose to engage with according to their preferences. </t>
  </si>
  <si>
    <t>Activity suggestion that end users have to complete in order to obtain points. It is strongly associated to TTM Stages  and Behavioral Change Variables. There are two types: Transition and Sustenance</t>
  </si>
  <si>
    <t>Sustenance task</t>
  </si>
  <si>
    <t>Core task of (current) TTM Stage. Its purpose is checking that the user completes activities keeping them on that stage.</t>
  </si>
  <si>
    <t>Transition Task</t>
  </si>
  <si>
    <t xml:space="preserve">Stage Change Indicators. Tasks that indicate key steps towards next stage (modelled by processes considered in TTM  like decisional balance which mediate transition between stages) </t>
  </si>
  <si>
    <t>The level is the hierarchical position in the Gamebus achievements. Users may collect expected points to move to the next level.</t>
  </si>
  <si>
    <t>The point is the reward users can collect when a task is completed.</t>
  </si>
  <si>
    <t>Relapse</t>
  </si>
  <si>
    <t>In TTM relapse refers to a setback or a return to an earlier TTM stage. In the proposed design framework, "relapse" is modelled as a fallback to the previous game level when not completing the targeted sustenance tasks specific of the (current) level (this is to be done by balancing game points)</t>
  </si>
  <si>
    <t>The "relapse border" defines the moment in the game (after level 3) in which the relapse dynamic appears and it is possible to fallback to lower levels. This means that for the stages of precontemplation and contemplation there is no possibility for relapse (in the proposed Gamebus Design Framework). It appears only after the preparation stage level</t>
  </si>
  <si>
    <t>The leaderboard is a scoreboard showing the names and current scores of users in the different challenges</t>
  </si>
  <si>
    <t>Newsfeeds</t>
  </si>
  <si>
    <t>The newsfeed is a continuously updated stream of game activity (e.g., earned points, activities completed, social interactions)</t>
  </si>
  <si>
    <t>Progress bars</t>
  </si>
  <si>
    <t>A progress bar is a graphical user interface element that indicates how much of a task is complete, showing users the status of a process</t>
  </si>
  <si>
    <t>Loot boxes</t>
  </si>
  <si>
    <t>Loot boxes in Gamebus  are virtual, randomized items that users can earn as a reward</t>
  </si>
  <si>
    <t>Notification</t>
  </si>
  <si>
    <t>A notification is a message or alert that provides important information from a device, app, or other source. In Gamebus its primary intention is to work as nudges or engagement reminders.</t>
  </si>
  <si>
    <t>The nudge is or a subtle prompt to influence people toward targeted behavior without restricting their freedom.</t>
  </si>
  <si>
    <t>Dimensions</t>
  </si>
  <si>
    <t>TrialCountry</t>
  </si>
  <si>
    <t>TTMStage</t>
  </si>
  <si>
    <t>TaskType</t>
  </si>
  <si>
    <t>Waves</t>
  </si>
  <si>
    <t>Germany</t>
  </si>
  <si>
    <t>Young</t>
  </si>
  <si>
    <t>Luxembourg</t>
  </si>
  <si>
    <t>Spain</t>
  </si>
  <si>
    <t>Portugal</t>
  </si>
  <si>
    <t>The Netherlands</t>
  </si>
  <si>
    <t>Bulgaria</t>
  </si>
  <si>
    <t>Easter</t>
  </si>
  <si>
    <t>Denmark</t>
  </si>
  <si>
    <t>Christmas</t>
  </si>
  <si>
    <t>Italy</t>
  </si>
  <si>
    <t>Question (True -False)</t>
  </si>
  <si>
    <t>Question</t>
  </si>
  <si>
    <t>Instruction: Tutorial (Video) and Activity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</si>
</sst>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font>
      <sz val="11"/>
      <color theme="1"/>
      <name val="Aptos Narrow"/>
      <family val="2"/>
      <scheme val="minor"/>
    </font>
    <font>
      <sz val="12"/>
      <color theme="1"/>
      <name val="Aptos Narrow"/>
      <family val="2"/>
      <scheme val="minor"/>
    </font>
    <font>
      <b/>
      <sz val="11"/>
      <color theme="0"/>
      <name val="Aptos Narrow"/>
      <family val="2"/>
      <scheme val="minor"/>
    </font>
    <font>
      <b/>
      <sz val="11"/>
      <color theme="1"/>
      <name val="Aptos Narrow"/>
      <family val="2"/>
      <scheme val="minor"/>
    </font>
    <font>
      <b/>
      <sz val="10"/>
      <color rgb="FF000000"/>
      <name val="Aptos Narrow"/>
      <family val="2"/>
      <scheme val="minor"/>
    </font>
    <font>
      <sz val="10"/>
      <color rgb="FF000000"/>
      <name val="Aptos Narrow"/>
      <family val="2"/>
      <scheme val="minor"/>
    </font>
    <font>
      <sz val="11"/>
      <color rgb="FF000000"/>
      <name val="Aptos Narrow"/>
      <family val="2"/>
      <scheme val="minor"/>
    </font>
    <font>
      <b/>
      <sz val="11"/>
      <color rgb="FF000000"/>
      <name val="Aptos Narrow"/>
      <family val="2"/>
      <scheme val="minor"/>
    </font>
    <font>
      <sz val="10"/>
      <color theme="1"/>
      <name val="Aptos Narrow"/>
      <family val="2"/>
      <scheme val="minor"/>
    </font>
    <font>
      <b/>
      <sz val="11"/>
      <color rgb="FF0F9ED5"/>
      <name val="Aptos Narrow"/>
      <scheme val="minor"/>
    </font>
    <font>
      <sz val="10"/>
      <color rgb="FF242424"/>
      <name val="Aptos Narrow"/>
    </font>
    <font>
      <sz val="10"/>
      <color rgb="FF000000"/>
      <name val="Aptos Narrow"/>
      <scheme val="minor"/>
    </font>
    <font>
      <b/>
      <sz val="10"/>
      <color rgb="FF000000"/>
      <name val="Aptos Narrow"/>
      <scheme val="minor"/>
    </font>
    <font>
      <b/>
      <sz val="10"/>
      <color rgb="FFFFFFFF"/>
      <name val="Arial"/>
      <family val="2"/>
    </font>
    <font>
      <b/>
      <sz val="10"/>
      <color rgb="FF000000"/>
      <name val="Arial"/>
      <family val="2"/>
    </font>
    <font>
      <sz val="10"/>
      <color rgb="FF000000"/>
      <name val="Arial"/>
      <family val="2"/>
    </font>
    <font>
      <i/>
      <sz val="11"/>
      <color theme="1"/>
      <name val="Aptos Narrow"/>
      <family val="2"/>
      <scheme val="minor"/>
    </font>
    <font>
      <b/>
      <sz val="11"/>
      <color theme="1" tint="0.34998626667073579"/>
      <name val="Aptos Narrow"/>
      <scheme val="minor"/>
    </font>
    <font>
      <b/>
      <sz val="11"/>
      <color theme="1" tint="0.34998626667073579"/>
      <name val="Aptos Narrow"/>
      <family val="2"/>
      <scheme val="minor"/>
    </font>
    <font>
      <sz val="11"/>
      <color rgb="FF242424"/>
      <name val="Aptos Narrow"/>
    </font>
    <font>
      <b/>
      <sz val="11"/>
      <color theme="8"/>
      <name val="Aptos Narrow"/>
      <family val="2"/>
      <scheme val="minor"/>
    </font>
    <font>
      <sz val="11"/>
      <color rgb="FF000000"/>
      <name val="Aptos Narrow"/>
      <scheme val="minor"/>
    </font>
    <font>
      <sz val="11"/>
      <color theme="0"/>
      <name val="Aptos Narrow"/>
      <family val="2"/>
      <scheme val="minor"/>
    </font>
    <font>
      <sz val="11"/>
      <color rgb="FF000000"/>
      <name val="Aptos Narrow"/>
    </font>
    <font>
      <sz val="11"/>
      <color theme="1"/>
      <name val="Aptos Narrow"/>
      <scheme val="minor"/>
    </font>
    <font>
      <u/>
      <sz val="11"/>
      <color theme="10"/>
      <name val="Aptos Narrow"/>
      <family val="2"/>
      <scheme val="minor"/>
    </font>
    <font>
      <b/>
      <sz val="8"/>
      <color rgb="FF212529"/>
      <name val="Arial"/>
      <family val="2"/>
    </font>
    <font>
      <sz val="8"/>
      <color rgb="FF212529"/>
      <name val="Arial"/>
      <family val="2"/>
    </font>
    <font>
      <b/>
      <sz val="11"/>
      <color theme="9"/>
      <name val="Aptos Narrow"/>
      <scheme val="minor"/>
    </font>
    <font>
      <b/>
      <sz val="11"/>
      <color rgb="FFFFC000"/>
      <name val="Aptos Narrow"/>
      <family val="2"/>
      <scheme val="minor"/>
    </font>
    <font>
      <b/>
      <i/>
      <sz val="11"/>
      <color theme="1"/>
      <name val="Aptos Narrow"/>
      <family val="2"/>
      <scheme val="minor"/>
    </font>
    <font>
      <sz val="11"/>
      <color rgb="FF000000"/>
      <name val="Aptos Narrow"/>
      <family val="2"/>
    </font>
    <font>
      <sz val="11"/>
      <color rgb="FF242424"/>
      <name val="Aptos Narrow"/>
      <charset val="1"/>
    </font>
    <font>
      <b/>
      <sz val="12"/>
      <color theme="1"/>
      <name val="Aptos Narrow"/>
      <family val="2"/>
      <scheme val="minor"/>
    </font>
    <font>
      <u/>
      <sz val="12"/>
      <color theme="1"/>
      <name val="Aptos Narrow"/>
      <family val="2"/>
      <scheme val="minor"/>
    </font>
    <font>
      <sz val="11"/>
      <name val="Aptos Narrow"/>
      <family val="2"/>
      <scheme val="minor"/>
    </font>
    <font>
      <sz val="11"/>
      <color rgb="FF242424"/>
      <name val="Aptos Narrow"/>
      <family val="2"/>
    </font>
    <font>
      <b/>
      <sz val="14"/>
      <color theme="1"/>
      <name val="Aptos Narrow"/>
      <family val="2"/>
      <scheme val="minor"/>
    </font>
    <font>
      <b/>
      <sz val="10"/>
      <color theme="1"/>
      <name val="Aptos Narrow"/>
      <family val="2"/>
      <scheme val="minor"/>
    </font>
    <font>
      <sz val="8"/>
      <name val="Aptos Narrow"/>
      <family val="2"/>
      <scheme val="minor"/>
    </font>
    <font>
      <b/>
      <sz val="11"/>
      <color rgb="FF424242"/>
      <name val="Aptos Narrow"/>
      <family val="2"/>
      <scheme val="minor"/>
    </font>
    <font>
      <b/>
      <sz val="22"/>
      <color rgb="FFFFFFFF"/>
      <name val="Calibri Light"/>
      <family val="2"/>
    </font>
    <font>
      <sz val="11"/>
      <color rgb="FF000000"/>
      <name val="Calibri"/>
      <family val="2"/>
    </font>
    <font>
      <b/>
      <sz val="12"/>
      <color rgb="FFFFFFFF"/>
      <name val="Calibri"/>
      <family val="2"/>
    </font>
    <font>
      <b/>
      <sz val="16"/>
      <color rgb="FF000000"/>
      <name val="Calibri"/>
      <family val="2"/>
    </font>
    <font>
      <sz val="11"/>
      <color rgb="FF000000"/>
      <name val="Symbol"/>
      <family val="1"/>
      <charset val="2"/>
    </font>
    <font>
      <sz val="7"/>
      <color rgb="FF000000"/>
      <name val="Times New Roman"/>
      <family val="1"/>
    </font>
    <font>
      <i/>
      <sz val="11"/>
      <color rgb="FF000000"/>
      <name val="Calibri"/>
      <family val="2"/>
    </font>
    <font>
      <sz val="10"/>
      <color rgb="FF000000"/>
      <name val="Symbol"/>
      <family val="1"/>
      <charset val="2"/>
    </font>
    <font>
      <sz val="10"/>
      <color rgb="FF000000"/>
      <name val="Calibri"/>
      <family val="2"/>
    </font>
    <font>
      <b/>
      <sz val="11"/>
      <color rgb="FF000000"/>
      <name val="Aptos Narrow"/>
      <family val="2"/>
    </font>
    <font>
      <b/>
      <sz val="11"/>
      <color rgb="FF242424"/>
      <name val="Aptos Narrow"/>
    </font>
    <font>
      <b/>
      <sz val="11"/>
      <color rgb="FF000000"/>
      <name val="Aptos Narrow"/>
      <scheme val="minor"/>
    </font>
    <font>
      <sz val="11"/>
      <color rgb="FF222222"/>
      <name val="Aptos Narrow"/>
      <scheme val="minor"/>
    </font>
    <font>
      <sz val="11"/>
      <color rgb="FF000000"/>
      <name val="Aptos Narrow"/>
      <charset val="1"/>
    </font>
    <font>
      <b/>
      <sz val="11"/>
      <color theme="2" tint="-0.749992370372631"/>
      <name val="Aptos Narrow"/>
      <family val="2"/>
    </font>
    <font>
      <b/>
      <sz val="11"/>
      <color theme="2" tint="-0.749992370372631"/>
      <name val="Aptos Narrow"/>
      <family val="2"/>
      <scheme val="minor"/>
    </font>
    <font>
      <b/>
      <sz val="11"/>
      <color theme="1" tint="0.14999847407452621"/>
      <name val="Aptos Narrow"/>
      <family val="2"/>
      <scheme val="minor"/>
    </font>
    <font>
      <sz val="11"/>
      <color rgb="FF242424"/>
      <name val="Aptos Narrow"/>
      <family val="2"/>
      <charset val="1"/>
    </font>
    <font>
      <sz val="10"/>
      <color rgb="FF000000"/>
      <name val="Arial"/>
    </font>
    <font>
      <sz val="11"/>
      <color rgb="FFFFFFFF"/>
      <name val="Aptos Narrow"/>
      <family val="2"/>
      <scheme val="minor"/>
    </font>
    <font>
      <b/>
      <sz val="11"/>
      <color rgb="FF000000"/>
      <name val="Aptos Narrow"/>
    </font>
    <font>
      <b/>
      <sz val="11"/>
      <color theme="1"/>
      <name val="Aptos Narrow"/>
      <scheme val="minor"/>
    </font>
    <font>
      <b/>
      <sz val="11"/>
      <color rgb="FF000000"/>
      <name val="Aptos Narrow"/>
      <charset val="1"/>
    </font>
    <font>
      <sz val="10"/>
      <color rgb="FF000000"/>
      <name val="Arial"/>
      <charset val="1"/>
    </font>
    <font>
      <b/>
      <sz val="10"/>
      <color theme="0"/>
      <name val="Aptos Narrow"/>
      <scheme val="minor"/>
    </font>
    <font>
      <sz val="10"/>
      <color rgb="FF242424"/>
      <name val="Aptos Narrow"/>
      <scheme val="minor"/>
    </font>
    <font>
      <b/>
      <sz val="10"/>
      <color rgb="FF242424"/>
      <name val="Aptos Narrow"/>
      <scheme val="minor"/>
    </font>
    <font>
      <b/>
      <sz val="10"/>
      <color rgb="FF000000"/>
      <name val="Aptos Narrow"/>
    </font>
    <font>
      <sz val="10"/>
      <color rgb="FF000000"/>
      <name val="Aptos Narrow"/>
    </font>
    <font>
      <i/>
      <sz val="11"/>
      <color rgb="FF000000"/>
      <name val="Aptos Narrow"/>
      <scheme val="minor"/>
    </font>
    <font>
      <sz val="11"/>
      <color theme="1"/>
      <name val="Segoe UI"/>
      <charset val="1"/>
    </font>
    <font>
      <sz val="10"/>
      <color theme="1"/>
      <name val="Aptos Narrow"/>
      <scheme val="minor"/>
    </font>
    <font>
      <sz val="10"/>
      <color theme="0"/>
      <name val="Aptos Narrow"/>
      <family val="2"/>
      <scheme val="minor"/>
    </font>
    <font>
      <b/>
      <sz val="11"/>
      <color rgb="FF1F1F1F"/>
      <name val="Google Sans Text"/>
      <family val="2"/>
      <charset val="1"/>
    </font>
    <font>
      <sz val="11"/>
      <color rgb="FF1F1F1F"/>
      <name val="Google Sans Text"/>
      <family val="2"/>
      <charset val="1"/>
    </font>
    <font>
      <sz val="11"/>
      <color rgb="FF3C4043"/>
      <name val="Aptos Narrow"/>
      <scheme val="minor"/>
    </font>
    <font>
      <b/>
      <sz val="12"/>
      <color theme="0"/>
      <name val="Aptos Narrow"/>
      <family val="2"/>
      <scheme val="minor"/>
    </font>
    <font>
      <i/>
      <sz val="11"/>
      <color theme="1"/>
      <name val="Aptos Narrow"/>
      <scheme val="minor"/>
    </font>
    <font>
      <sz val="11"/>
      <color rgb="FF2C3539"/>
      <name val="Aptos Narrow"/>
      <scheme val="minor"/>
    </font>
  </fonts>
  <fills count="68">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rgb="FFBFBFBF"/>
        <bgColor rgb="FF000000"/>
      </patternFill>
    </fill>
    <fill>
      <patternFill patternType="solid">
        <fgColor rgb="FFF2F2F2"/>
        <bgColor rgb="FF000000"/>
      </patternFill>
    </fill>
    <fill>
      <patternFill patternType="solid">
        <fgColor theme="8" tint="0.79998168889431442"/>
        <bgColor indexed="64"/>
      </patternFill>
    </fill>
    <fill>
      <patternFill patternType="solid">
        <fgColor rgb="FFFFF0F3"/>
        <bgColor indexed="64"/>
      </patternFill>
    </fill>
    <fill>
      <patternFill patternType="solid">
        <fgColor theme="2" tint="-0.249977111117893"/>
        <bgColor indexed="64"/>
      </patternFill>
    </fill>
    <fill>
      <patternFill patternType="solid">
        <fgColor rgb="FFDAF1F3"/>
        <bgColor indexed="64"/>
      </patternFill>
    </fill>
    <fill>
      <patternFill patternType="solid">
        <fgColor theme="9" tint="0.39997558519241921"/>
        <bgColor indexed="64"/>
      </patternFill>
    </fill>
    <fill>
      <patternFill patternType="solid">
        <fgColor rgb="FFF3F6FB"/>
        <bgColor rgb="FF000000"/>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FEF2CD"/>
        <bgColor rgb="FF000000"/>
      </patternFill>
    </fill>
    <fill>
      <patternFill patternType="solid">
        <fgColor rgb="FFFFF2CC"/>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3FCC4"/>
        <bgColor indexed="64"/>
      </patternFill>
    </fill>
    <fill>
      <patternFill patternType="solid">
        <fgColor theme="1"/>
        <bgColor indexed="64"/>
      </patternFill>
    </fill>
    <fill>
      <patternFill patternType="solid">
        <fgColor rgb="FF003399"/>
        <bgColor rgb="FF000000"/>
      </patternFill>
    </fill>
    <fill>
      <patternFill patternType="solid">
        <fgColor rgb="FF3F9F78"/>
        <bgColor rgb="FF000000"/>
      </patternFill>
    </fill>
    <fill>
      <patternFill patternType="solid">
        <fgColor rgb="FFFEF2CD"/>
        <bgColor indexed="64"/>
      </patternFill>
    </fill>
    <fill>
      <patternFill patternType="solid">
        <fgColor rgb="FFFFFFFF"/>
        <bgColor indexed="64"/>
      </patternFill>
    </fill>
    <fill>
      <patternFill patternType="solid">
        <fgColor rgb="FFD0D0D0"/>
        <bgColor indexed="64"/>
      </patternFill>
    </fill>
    <fill>
      <patternFill patternType="solid">
        <fgColor rgb="FFA8A8A8"/>
        <bgColor indexed="64"/>
      </patternFill>
    </fill>
    <fill>
      <patternFill patternType="solid">
        <fgColor rgb="FF747474"/>
        <bgColor indexed="64"/>
      </patternFill>
    </fill>
    <fill>
      <patternFill patternType="solid">
        <fgColor rgb="FF393939"/>
        <bgColor indexed="64"/>
      </patternFill>
    </fill>
    <fill>
      <patternFill patternType="solid">
        <fgColor rgb="FFFDD868"/>
        <bgColor indexed="64"/>
      </patternFill>
    </fill>
    <fill>
      <patternFill patternType="solid">
        <fgColor rgb="FFFDE49B"/>
        <bgColor indexed="64"/>
      </patternFill>
    </fill>
    <fill>
      <patternFill patternType="solid">
        <fgColor rgb="FFDBBC1D"/>
        <bgColor indexed="64"/>
      </patternFill>
    </fill>
    <fill>
      <patternFill patternType="solid">
        <fgColor rgb="FFEDA528"/>
        <bgColor indexed="64"/>
      </patternFill>
    </fill>
    <fill>
      <patternFill patternType="solid">
        <fgColor rgb="FFF59816"/>
        <bgColor indexed="64"/>
      </patternFill>
    </fill>
    <fill>
      <patternFill patternType="solid">
        <fgColor rgb="FFED601A"/>
        <bgColor indexed="64"/>
      </patternFill>
    </fill>
    <fill>
      <patternFill patternType="solid">
        <fgColor rgb="FFFF5100"/>
        <bgColor indexed="64"/>
      </patternFill>
    </fill>
    <fill>
      <patternFill patternType="solid">
        <fgColor rgb="FFFF4000"/>
        <bgColor indexed="64"/>
      </patternFill>
    </fill>
    <fill>
      <patternFill patternType="solid">
        <fgColor rgb="FFFF0004"/>
        <bgColor indexed="64"/>
      </patternFill>
    </fill>
    <fill>
      <patternFill patternType="solid">
        <fgColor rgb="FFFF4D00"/>
        <bgColor indexed="64"/>
      </patternFill>
    </fill>
    <fill>
      <patternFill patternType="solid">
        <fgColor theme="5" tint="0.59999389629810485"/>
        <bgColor indexed="64"/>
      </patternFill>
    </fill>
    <fill>
      <patternFill patternType="solid">
        <fgColor rgb="FFCAEDFB"/>
        <bgColor indexed="64"/>
      </patternFill>
    </fill>
    <fill>
      <patternFill patternType="solid">
        <fgColor rgb="FF94DCF8"/>
        <bgColor indexed="64"/>
      </patternFill>
    </fill>
    <fill>
      <patternFill patternType="solid">
        <fgColor rgb="FF61CBF3"/>
        <bgColor indexed="64"/>
      </patternFill>
    </fill>
    <fill>
      <patternFill patternType="solid">
        <fgColor rgb="FFDAF2D0"/>
        <bgColor indexed="64"/>
      </patternFill>
    </fill>
    <fill>
      <patternFill patternType="solid">
        <fgColor rgb="FFB5E6A2"/>
        <bgColor indexed="64"/>
      </patternFill>
    </fill>
    <fill>
      <patternFill patternType="solid">
        <fgColor rgb="FF8ED973"/>
        <bgColor indexed="64"/>
      </patternFill>
    </fill>
    <fill>
      <patternFill patternType="solid">
        <fgColor rgb="FF3C7D22"/>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rgb="FFFFC000"/>
        <bgColor indexed="64"/>
      </patternFill>
    </fill>
    <fill>
      <patternFill patternType="solid">
        <fgColor theme="5"/>
        <bgColor indexed="64"/>
      </patternFill>
    </fill>
    <fill>
      <patternFill patternType="solid">
        <fgColor theme="5"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F00AA"/>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s>
  <borders count="6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DEE2E6"/>
      </left>
      <right style="medium">
        <color rgb="FFDEE2E6"/>
      </right>
      <top style="medium">
        <color rgb="FFDEE2E6"/>
      </top>
      <bottom/>
      <diagonal/>
    </border>
    <border>
      <left/>
      <right style="medium">
        <color rgb="FFDEE2E6"/>
      </right>
      <top style="medium">
        <color rgb="FFDEE2E6"/>
      </top>
      <bottom/>
      <diagonal/>
    </border>
    <border>
      <left style="medium">
        <color rgb="FFDEE2E6"/>
      </left>
      <right style="medium">
        <color rgb="FFDEE2E6"/>
      </right>
      <top style="medium">
        <color rgb="FFDEE2E6"/>
      </top>
      <bottom style="medium">
        <color rgb="FFDEE2E6"/>
      </bottom>
      <diagonal/>
    </border>
    <border>
      <left/>
      <right style="medium">
        <color rgb="FFDEE2E6"/>
      </right>
      <top style="medium">
        <color rgb="FFDEE2E6"/>
      </top>
      <bottom style="medium">
        <color rgb="FFDEE2E6"/>
      </bottom>
      <diagonal/>
    </border>
    <border>
      <left style="medium">
        <color rgb="FFDEE2E6"/>
      </left>
      <right style="medium">
        <color rgb="FFDEE2E6"/>
      </right>
      <top/>
      <bottom style="medium">
        <color rgb="FFDEE2E6"/>
      </bottom>
      <diagonal/>
    </border>
    <border>
      <left/>
      <right style="medium">
        <color rgb="FFDEE2E6"/>
      </right>
      <top/>
      <bottom style="medium">
        <color rgb="FFDEE2E6"/>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rgb="FF000000"/>
      </right>
      <top/>
      <bottom/>
      <diagonal/>
    </border>
    <border>
      <left style="thin">
        <color rgb="FF000000"/>
      </left>
      <right style="thick">
        <color rgb="FF000000"/>
      </right>
      <top style="thin">
        <color rgb="FF000000"/>
      </top>
      <bottom style="thin">
        <color rgb="FF000000"/>
      </bottom>
      <diagonal/>
    </border>
    <border>
      <left/>
      <right style="thick">
        <color rgb="FFC00000"/>
      </right>
      <top/>
      <bottom/>
      <diagonal/>
    </border>
    <border>
      <left style="thin">
        <color rgb="FF000000"/>
      </left>
      <right style="thick">
        <color rgb="FFC00000"/>
      </right>
      <top style="thin">
        <color rgb="FF000000"/>
      </top>
      <bottom style="thin">
        <color rgb="FF000000"/>
      </bottom>
      <diagonal/>
    </border>
    <border>
      <left style="thin">
        <color rgb="FF000000"/>
      </left>
      <right style="thick">
        <color rgb="FFC00000"/>
      </right>
      <top/>
      <bottom/>
      <diagonal/>
    </border>
    <border>
      <left/>
      <right/>
      <top/>
      <bottom style="thick">
        <color indexed="64"/>
      </bottom>
      <diagonal/>
    </border>
    <border>
      <left/>
      <right style="thick">
        <color indexed="64"/>
      </right>
      <top/>
      <bottom/>
      <diagonal/>
    </border>
    <border>
      <left style="thin">
        <color rgb="FF000000"/>
      </left>
      <right style="thick">
        <color indexed="64"/>
      </right>
      <top style="thin">
        <color rgb="FF000000"/>
      </top>
      <bottom style="thin">
        <color rgb="FF000000"/>
      </bottom>
      <diagonal/>
    </border>
    <border>
      <left style="thin">
        <color rgb="FF000000"/>
      </left>
      <right style="thick">
        <color indexed="64"/>
      </right>
      <top/>
      <bottom/>
      <diagonal/>
    </border>
    <border>
      <left style="thin">
        <color indexed="64"/>
      </left>
      <right style="thick">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style="thick">
        <color rgb="FF000000"/>
      </left>
      <right style="thin">
        <color indexed="64"/>
      </right>
      <top style="thin">
        <color theme="1"/>
      </top>
      <bottom style="thin">
        <color theme="1"/>
      </bottom>
      <diagonal/>
    </border>
    <border>
      <left style="thin">
        <color rgb="FF000000"/>
      </left>
      <right style="thin">
        <color rgb="FF000000"/>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000000"/>
      </right>
      <top style="thin">
        <color theme="1"/>
      </top>
      <bottom style="thin">
        <color theme="1"/>
      </bottom>
      <diagonal/>
    </border>
    <border>
      <left style="thin">
        <color rgb="FF000000"/>
      </left>
      <right style="thin">
        <color rgb="FF000000"/>
      </right>
      <top style="thin">
        <color indexed="64"/>
      </top>
      <bottom style="thin">
        <color indexed="64"/>
      </bottom>
      <diagonal/>
    </border>
    <border>
      <left style="thin">
        <color rgb="FF000000"/>
      </left>
      <right style="thick">
        <color rgb="FFC00000"/>
      </right>
      <top style="thin">
        <color rgb="FF000000"/>
      </top>
      <bottom/>
      <diagonal/>
    </border>
    <border>
      <left style="thin">
        <color indexed="64"/>
      </left>
      <right/>
      <top style="thin">
        <color indexed="64"/>
      </top>
      <bottom style="thin">
        <color indexed="64"/>
      </bottom>
      <diagonal/>
    </border>
    <border>
      <left style="thin">
        <color rgb="FF000000"/>
      </left>
      <right style="thin">
        <color indexed="64"/>
      </right>
      <top style="thin">
        <color theme="1"/>
      </top>
      <bottom style="thin">
        <color theme="1"/>
      </bottom>
      <diagonal/>
    </border>
    <border>
      <left style="thick">
        <color rgb="FF000000"/>
      </left>
      <right/>
      <top style="thin">
        <color theme="1"/>
      </top>
      <bottom style="thin">
        <color theme="1"/>
      </bottom>
      <diagonal/>
    </border>
    <border>
      <left style="thin">
        <color rgb="FF000000"/>
      </left>
      <right/>
      <top style="thin">
        <color theme="1"/>
      </top>
      <bottom style="thin">
        <color theme="1"/>
      </bottom>
      <diagonal/>
    </border>
    <border>
      <left/>
      <right style="thin">
        <color indexed="64"/>
      </right>
      <top style="thin">
        <color rgb="FF00000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ck">
        <color indexed="64"/>
      </bottom>
      <diagonal/>
    </border>
    <border>
      <left/>
      <right/>
      <top style="thin">
        <color theme="4" tint="0.39997558519241921"/>
      </top>
      <bottom style="thick">
        <color indexed="64"/>
      </bottom>
      <diagonal/>
    </border>
  </borders>
  <cellStyleXfs count="3">
    <xf numFmtId="0" fontId="0" fillId="0" borderId="0"/>
    <xf numFmtId="0" fontId="1" fillId="0" borderId="0"/>
    <xf numFmtId="0" fontId="25" fillId="0" borderId="0" applyNumberFormat="0" applyFill="0" applyBorder="0" applyAlignment="0" applyProtection="0"/>
  </cellStyleXfs>
  <cellXfs count="812">
    <xf numFmtId="0" fontId="0" fillId="0" borderId="0" xfId="0"/>
    <xf numFmtId="0" fontId="0" fillId="0" borderId="0" xfId="0" applyAlignment="1">
      <alignment horizontal="center"/>
    </xf>
    <xf numFmtId="0" fontId="3" fillId="0" borderId="0" xfId="0" applyFont="1"/>
    <xf numFmtId="0" fontId="0" fillId="0" borderId="0" xfId="0" applyAlignment="1">
      <alignment wrapText="1"/>
    </xf>
    <xf numFmtId="0" fontId="4" fillId="0" borderId="0" xfId="0" applyFont="1" applyAlignment="1">
      <alignment horizontal="center"/>
    </xf>
    <xf numFmtId="0" fontId="5" fillId="0" borderId="0" xfId="0" applyFont="1"/>
    <xf numFmtId="0" fontId="4" fillId="0" borderId="0" xfId="0" applyFont="1"/>
    <xf numFmtId="0" fontId="7" fillId="0" borderId="0" xfId="0" applyFont="1"/>
    <xf numFmtId="0" fontId="0" fillId="0" borderId="8" xfId="0" applyBorder="1"/>
    <xf numFmtId="0" fontId="4" fillId="0" borderId="4" xfId="0" applyFont="1" applyBorder="1" applyAlignment="1">
      <alignment horizontal="center"/>
    </xf>
    <xf numFmtId="0" fontId="13" fillId="10" borderId="9" xfId="0" applyFont="1" applyFill="1" applyBorder="1"/>
    <xf numFmtId="0" fontId="13" fillId="10" borderId="10" xfId="0" applyFont="1" applyFill="1" applyBorder="1"/>
    <xf numFmtId="0" fontId="13" fillId="10" borderId="0" xfId="0" applyFont="1" applyFill="1"/>
    <xf numFmtId="0" fontId="15" fillId="0" borderId="9" xfId="0" applyFont="1" applyBorder="1"/>
    <xf numFmtId="0" fontId="15" fillId="0" borderId="11" xfId="0" applyFont="1" applyBorder="1"/>
    <xf numFmtId="0" fontId="15" fillId="0" borderId="10" xfId="0" applyFont="1" applyBorder="1"/>
    <xf numFmtId="0" fontId="15" fillId="0" borderId="10" xfId="0" applyFont="1" applyBorder="1" applyAlignment="1">
      <alignment wrapText="1"/>
    </xf>
    <xf numFmtId="0" fontId="15" fillId="0" borderId="12" xfId="0" applyFont="1" applyBorder="1"/>
    <xf numFmtId="0" fontId="14" fillId="0" borderId="12" xfId="0" applyFont="1" applyBorder="1"/>
    <xf numFmtId="0" fontId="15" fillId="0" borderId="12" xfId="0" applyFont="1" applyBorder="1" applyAlignment="1">
      <alignment wrapText="1"/>
    </xf>
    <xf numFmtId="0" fontId="14" fillId="0" borderId="13" xfId="0" applyFont="1" applyBorder="1"/>
    <xf numFmtId="0" fontId="15" fillId="0" borderId="14" xfId="0" applyFont="1" applyBorder="1" applyAlignment="1">
      <alignment wrapText="1"/>
    </xf>
    <xf numFmtId="0" fontId="14" fillId="0" borderId="11" xfId="0" applyFont="1" applyBorder="1"/>
    <xf numFmtId="0" fontId="15" fillId="0" borderId="14" xfId="0" applyFont="1" applyBorder="1"/>
    <xf numFmtId="0" fontId="14" fillId="0" borderId="9" xfId="0" applyFont="1" applyBorder="1"/>
    <xf numFmtId="0" fontId="3" fillId="6" borderId="16" xfId="0" applyFont="1" applyFill="1" applyBorder="1" applyAlignment="1">
      <alignment horizontal="center"/>
    </xf>
    <xf numFmtId="0" fontId="3" fillId="6" borderId="6" xfId="0" applyFont="1" applyFill="1" applyBorder="1" applyAlignment="1">
      <alignment horizontal="center"/>
    </xf>
    <xf numFmtId="0" fontId="18" fillId="0" borderId="7" xfId="0" applyFont="1" applyBorder="1" applyAlignment="1">
      <alignment wrapText="1"/>
    </xf>
    <xf numFmtId="0" fontId="3" fillId="12" borderId="6" xfId="0" applyFont="1" applyFill="1" applyBorder="1" applyAlignment="1">
      <alignment horizontal="center"/>
    </xf>
    <xf numFmtId="0" fontId="16" fillId="12" borderId="1" xfId="0" applyFont="1" applyFill="1" applyBorder="1" applyAlignment="1">
      <alignment horizontal="left" wrapText="1"/>
    </xf>
    <xf numFmtId="0" fontId="20" fillId="0" borderId="0" xfId="0" applyFont="1" applyAlignment="1">
      <alignment horizontal="center"/>
    </xf>
    <xf numFmtId="0" fontId="19" fillId="0" borderId="3" xfId="0" quotePrefix="1" applyFont="1" applyBorder="1" applyAlignment="1">
      <alignment wrapText="1"/>
    </xf>
    <xf numFmtId="0" fontId="0" fillId="0" borderId="18" xfId="0" quotePrefix="1" applyBorder="1" applyAlignment="1">
      <alignment horizontal="left" wrapText="1"/>
    </xf>
    <xf numFmtId="0" fontId="0" fillId="0" borderId="18" xfId="0" applyBorder="1" applyAlignment="1">
      <alignment horizontal="left" wrapText="1"/>
    </xf>
    <xf numFmtId="0" fontId="21" fillId="0" borderId="18" xfId="0" applyFont="1" applyBorder="1" applyAlignment="1">
      <alignment horizontal="left" wrapText="1"/>
    </xf>
    <xf numFmtId="0" fontId="19" fillId="0" borderId="18" xfId="0" applyFont="1" applyBorder="1"/>
    <xf numFmtId="0" fontId="0" fillId="0" borderId="20" xfId="0" quotePrefix="1" applyBorder="1" applyAlignment="1">
      <alignment wrapText="1"/>
    </xf>
    <xf numFmtId="0" fontId="3" fillId="12" borderId="22" xfId="0" applyFont="1" applyFill="1" applyBorder="1"/>
    <xf numFmtId="0" fontId="16" fillId="7" borderId="16" xfId="0" applyFont="1" applyFill="1" applyBorder="1" applyAlignment="1">
      <alignment wrapText="1"/>
    </xf>
    <xf numFmtId="0" fontId="0" fillId="0" borderId="16" xfId="0" applyBorder="1"/>
    <xf numFmtId="0" fontId="0" fillId="12" borderId="6" xfId="0" applyFill="1" applyBorder="1"/>
    <xf numFmtId="0" fontId="0" fillId="0" borderId="21" xfId="0" applyBorder="1"/>
    <xf numFmtId="0" fontId="6" fillId="0" borderId="21" xfId="0" applyFont="1" applyBorder="1" applyAlignment="1">
      <alignment wrapText="1"/>
    </xf>
    <xf numFmtId="0" fontId="15" fillId="0" borderId="12" xfId="0" applyFont="1" applyBorder="1" applyAlignment="1">
      <alignment horizontal="left"/>
    </xf>
    <xf numFmtId="0" fontId="15" fillId="0" borderId="11" xfId="0" applyFont="1" applyBorder="1" applyAlignment="1">
      <alignment horizontal="left"/>
    </xf>
    <xf numFmtId="0" fontId="15" fillId="0" borderId="11" xfId="0" applyFont="1" applyBorder="1" applyAlignment="1">
      <alignment horizontal="left" vertical="center"/>
    </xf>
    <xf numFmtId="0" fontId="15" fillId="0" borderId="11" xfId="0" applyFont="1" applyBorder="1" applyAlignment="1">
      <alignment wrapText="1"/>
    </xf>
    <xf numFmtId="0" fontId="0" fillId="0" borderId="20" xfId="0" applyBorder="1"/>
    <xf numFmtId="0" fontId="21" fillId="0" borderId="0" xfId="0" applyFont="1"/>
    <xf numFmtId="0" fontId="9" fillId="0" borderId="0" xfId="0" applyFont="1" applyAlignment="1">
      <alignment horizontal="center" vertical="top"/>
    </xf>
    <xf numFmtId="0" fontId="3" fillId="2" borderId="0" xfId="0" applyFont="1" applyFill="1" applyAlignment="1">
      <alignment horizontal="center" vertical="top"/>
    </xf>
    <xf numFmtId="0" fontId="3" fillId="3" borderId="0" xfId="0" applyFont="1" applyFill="1" applyAlignment="1">
      <alignment horizontal="center" vertical="top"/>
    </xf>
    <xf numFmtId="0" fontId="5" fillId="3" borderId="0" xfId="0" applyFont="1" applyFill="1" applyAlignment="1">
      <alignment vertical="top" wrapText="1"/>
    </xf>
    <xf numFmtId="0" fontId="5" fillId="2" borderId="0" xfId="0" applyFont="1" applyFill="1" applyAlignment="1">
      <alignment vertical="top"/>
    </xf>
    <xf numFmtId="0" fontId="11" fillId="2" borderId="0" xfId="0" applyFont="1" applyFill="1" applyAlignment="1">
      <alignment vertical="top"/>
    </xf>
    <xf numFmtId="0" fontId="5" fillId="3" borderId="0" xfId="0" applyFont="1" applyFill="1" applyAlignment="1">
      <alignment vertical="top"/>
    </xf>
    <xf numFmtId="0" fontId="6" fillId="4" borderId="0" xfId="0" applyFont="1" applyFill="1" applyAlignment="1">
      <alignment vertical="top"/>
    </xf>
    <xf numFmtId="0" fontId="0" fillId="0" borderId="18" xfId="0" applyBorder="1"/>
    <xf numFmtId="0" fontId="15" fillId="0" borderId="0" xfId="0" applyFont="1"/>
    <xf numFmtId="0" fontId="0" fillId="15" borderId="0" xfId="0" applyFill="1"/>
    <xf numFmtId="0" fontId="24" fillId="0" borderId="0" xfId="0" applyFont="1"/>
    <xf numFmtId="0" fontId="21" fillId="15" borderId="0" xfId="0" applyFont="1" applyFill="1"/>
    <xf numFmtId="0" fontId="26" fillId="17" borderId="23" xfId="0" applyFont="1" applyFill="1" applyBorder="1" applyAlignment="1">
      <alignment wrapText="1"/>
    </xf>
    <xf numFmtId="0" fontId="26" fillId="17" borderId="24" xfId="0" applyFont="1" applyFill="1" applyBorder="1" applyAlignment="1">
      <alignment wrapText="1"/>
    </xf>
    <xf numFmtId="0" fontId="25" fillId="17" borderId="25" xfId="2" applyFill="1" applyBorder="1" applyAlignment="1">
      <alignment wrapText="1"/>
    </xf>
    <xf numFmtId="0" fontId="27" fillId="17" borderId="26" xfId="0" applyFont="1" applyFill="1" applyBorder="1" applyAlignment="1">
      <alignment wrapText="1"/>
    </xf>
    <xf numFmtId="16" fontId="27" fillId="17" borderId="26" xfId="0" applyNumberFormat="1" applyFont="1" applyFill="1" applyBorder="1" applyAlignment="1">
      <alignment wrapText="1"/>
    </xf>
    <xf numFmtId="0" fontId="25" fillId="17" borderId="27" xfId="2" applyFill="1" applyBorder="1" applyAlignment="1">
      <alignment wrapText="1"/>
    </xf>
    <xf numFmtId="0" fontId="27" fillId="17" borderId="28" xfId="0" applyFont="1" applyFill="1" applyBorder="1" applyAlignment="1">
      <alignment wrapText="1"/>
    </xf>
    <xf numFmtId="16" fontId="27" fillId="17" borderId="28" xfId="0" applyNumberFormat="1" applyFont="1" applyFill="1" applyBorder="1" applyAlignment="1">
      <alignment wrapText="1"/>
    </xf>
    <xf numFmtId="0" fontId="0" fillId="18" borderId="0" xfId="0" applyFill="1"/>
    <xf numFmtId="0" fontId="0" fillId="19" borderId="0" xfId="0" applyFill="1"/>
    <xf numFmtId="0" fontId="0" fillId="16" borderId="0" xfId="0" applyFill="1"/>
    <xf numFmtId="0" fontId="2" fillId="20" borderId="0" xfId="0" applyFont="1" applyFill="1" applyAlignment="1">
      <alignment horizontal="center" vertical="center"/>
    </xf>
    <xf numFmtId="0" fontId="22" fillId="20" borderId="0" xfId="0" applyFont="1" applyFill="1" applyAlignment="1">
      <alignment horizontal="left" vertical="center" wrapText="1"/>
    </xf>
    <xf numFmtId="0" fontId="22" fillId="20" borderId="0" xfId="0" applyFont="1" applyFill="1" applyAlignment="1">
      <alignment horizontal="left" vertical="center"/>
    </xf>
    <xf numFmtId="0" fontId="22" fillId="20" borderId="0" xfId="0" applyFont="1" applyFill="1"/>
    <xf numFmtId="0" fontId="0" fillId="0" borderId="21" xfId="0" quotePrefix="1" applyBorder="1" applyAlignment="1">
      <alignment wrapText="1"/>
    </xf>
    <xf numFmtId="0" fontId="6" fillId="0" borderId="0" xfId="0" applyFont="1" applyAlignment="1">
      <alignment wrapText="1"/>
    </xf>
    <xf numFmtId="0" fontId="4" fillId="0" borderId="31" xfId="0" applyFont="1" applyBorder="1" applyAlignment="1">
      <alignment horizontal="center"/>
    </xf>
    <xf numFmtId="0" fontId="0" fillId="0" borderId="3" xfId="0" applyBorder="1"/>
    <xf numFmtId="0" fontId="11" fillId="0" borderId="0" xfId="0" applyFont="1" applyAlignment="1">
      <alignment vertical="top"/>
    </xf>
    <xf numFmtId="0" fontId="5" fillId="0" borderId="0" xfId="0" applyFont="1" applyAlignment="1">
      <alignment vertical="top"/>
    </xf>
    <xf numFmtId="0" fontId="5" fillId="0" borderId="0" xfId="0" applyFont="1" applyAlignment="1">
      <alignment vertical="top" wrapText="1"/>
    </xf>
    <xf numFmtId="0" fontId="15" fillId="0" borderId="0" xfId="0" applyFont="1" applyAlignment="1">
      <alignment wrapText="1"/>
    </xf>
    <xf numFmtId="0" fontId="7" fillId="0" borderId="16" xfId="0" applyFont="1" applyBorder="1"/>
    <xf numFmtId="0" fontId="11" fillId="0" borderId="0" xfId="0" applyFont="1" applyAlignment="1">
      <alignment vertical="top" wrapText="1"/>
    </xf>
    <xf numFmtId="0" fontId="5" fillId="0" borderId="0" xfId="0" applyFont="1" applyAlignment="1">
      <alignment horizontal="center" vertical="top" wrapText="1"/>
    </xf>
    <xf numFmtId="0" fontId="7" fillId="0" borderId="0" xfId="0" applyFont="1" applyAlignment="1">
      <alignment wrapText="1"/>
    </xf>
    <xf numFmtId="0" fontId="7" fillId="0" borderId="16" xfId="0" applyFont="1" applyBorder="1" applyAlignment="1">
      <alignment wrapText="1"/>
    </xf>
    <xf numFmtId="0" fontId="15" fillId="0" borderId="12" xfId="0" applyFont="1" applyBorder="1" applyAlignment="1">
      <alignment horizontal="left" vertical="center" wrapText="1"/>
    </xf>
    <xf numFmtId="0" fontId="6" fillId="0" borderId="18" xfId="0" applyFont="1" applyBorder="1" applyAlignment="1">
      <alignment horizontal="left" wrapText="1"/>
    </xf>
    <xf numFmtId="0" fontId="0" fillId="23" borderId="0" xfId="0" applyFill="1"/>
    <xf numFmtId="0" fontId="1" fillId="0" borderId="0" xfId="1"/>
    <xf numFmtId="0" fontId="1" fillId="0" borderId="0" xfId="1" applyAlignment="1">
      <alignment horizontal="center" vertical="center" wrapText="1"/>
    </xf>
    <xf numFmtId="0" fontId="1" fillId="0" borderId="0" xfId="1" applyAlignment="1">
      <alignment horizontal="center"/>
    </xf>
    <xf numFmtId="0" fontId="1" fillId="0" borderId="0" xfId="1" applyAlignment="1">
      <alignment horizontal="center" vertical="center"/>
    </xf>
    <xf numFmtId="0" fontId="15" fillId="15" borderId="0" xfId="0" applyFont="1" applyFill="1"/>
    <xf numFmtId="0" fontId="15" fillId="0" borderId="4" xfId="0" applyFont="1" applyBorder="1" applyAlignment="1">
      <alignment horizontal="left" wrapText="1"/>
    </xf>
    <xf numFmtId="0" fontId="16" fillId="12" borderId="0" xfId="0" applyFont="1" applyFill="1" applyAlignment="1">
      <alignment horizontal="left" wrapText="1"/>
    </xf>
    <xf numFmtId="0" fontId="16" fillId="7" borderId="17" xfId="0" applyFont="1" applyFill="1" applyBorder="1" applyAlignment="1">
      <alignment horizontal="left" wrapText="1"/>
    </xf>
    <xf numFmtId="0" fontId="30" fillId="6" borderId="21" xfId="0" applyFont="1" applyFill="1" applyBorder="1" applyAlignment="1">
      <alignment horizontal="center" wrapText="1"/>
    </xf>
    <xf numFmtId="0" fontId="30" fillId="6" borderId="22" xfId="0" applyFont="1" applyFill="1" applyBorder="1" applyAlignment="1">
      <alignment horizontal="center" wrapText="1"/>
    </xf>
    <xf numFmtId="0" fontId="6" fillId="13" borderId="21" xfId="0" applyFont="1" applyFill="1" applyBorder="1"/>
    <xf numFmtId="0" fontId="6" fillId="0" borderId="21" xfId="0" applyFont="1" applyBorder="1"/>
    <xf numFmtId="0" fontId="6" fillId="24" borderId="21" xfId="0" applyFont="1" applyFill="1" applyBorder="1" applyAlignment="1">
      <alignment wrapText="1"/>
    </xf>
    <xf numFmtId="0" fontId="6" fillId="24" borderId="18" xfId="0" applyFont="1" applyFill="1" applyBorder="1" applyAlignment="1">
      <alignment wrapText="1"/>
    </xf>
    <xf numFmtId="0" fontId="6" fillId="24" borderId="21" xfId="0" applyFont="1" applyFill="1" applyBorder="1" applyAlignment="1">
      <alignment horizontal="left" wrapText="1"/>
    </xf>
    <xf numFmtId="0" fontId="0" fillId="0" borderId="21" xfId="0" applyBorder="1" applyAlignment="1" applyProtection="1">
      <alignment horizontal="center" vertical="center"/>
      <protection locked="0"/>
    </xf>
    <xf numFmtId="0" fontId="3" fillId="2" borderId="18" xfId="0" applyFont="1" applyFill="1" applyBorder="1" applyAlignment="1" applyProtection="1">
      <alignment horizontal="center" vertical="center" wrapText="1"/>
      <protection locked="0"/>
    </xf>
    <xf numFmtId="0" fontId="0" fillId="2" borderId="21" xfId="0" applyFill="1" applyBorder="1" applyAlignment="1" applyProtection="1">
      <alignment horizontal="center" vertical="center"/>
      <protection locked="0"/>
    </xf>
    <xf numFmtId="0" fontId="0" fillId="6" borderId="21" xfId="0" applyFill="1" applyBorder="1" applyAlignment="1" applyProtection="1">
      <alignment horizontal="center" vertical="center"/>
      <protection locked="0"/>
    </xf>
    <xf numFmtId="0" fontId="6" fillId="0" borderId="21" xfId="0" applyFont="1" applyBorder="1" applyAlignment="1" applyProtection="1">
      <alignment horizontal="center" vertical="center" wrapText="1"/>
      <protection locked="0"/>
    </xf>
    <xf numFmtId="0" fontId="6" fillId="0" borderId="21" xfId="0" applyFont="1" applyBorder="1" applyAlignment="1" applyProtection="1">
      <alignment horizontal="center" vertical="center"/>
      <protection locked="0"/>
    </xf>
    <xf numFmtId="0" fontId="0" fillId="0" borderId="21" xfId="0"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0" fillId="7" borderId="21" xfId="0" applyFill="1" applyBorder="1" applyAlignment="1" applyProtection="1">
      <alignment horizontal="center" vertical="center"/>
      <protection locked="0"/>
    </xf>
    <xf numFmtId="0" fontId="0" fillId="14" borderId="21" xfId="0" applyFill="1" applyBorder="1" applyAlignment="1" applyProtection="1">
      <alignment horizontal="center" vertical="center"/>
      <protection locked="0"/>
    </xf>
    <xf numFmtId="0" fontId="22" fillId="8" borderId="21" xfId="0" applyFont="1" applyFill="1" applyBorder="1" applyAlignment="1" applyProtection="1">
      <alignment horizontal="center" vertical="center"/>
      <protection locked="0"/>
    </xf>
    <xf numFmtId="0" fontId="22" fillId="9" borderId="21" xfId="0" applyFont="1" applyFill="1" applyBorder="1" applyAlignment="1" applyProtection="1">
      <alignment horizontal="center" vertical="center"/>
      <protection locked="0"/>
    </xf>
    <xf numFmtId="0" fontId="0" fillId="2" borderId="18" xfId="0" applyFill="1" applyBorder="1" applyAlignment="1" applyProtection="1">
      <alignment horizontal="center" vertical="center"/>
      <protection locked="0"/>
    </xf>
    <xf numFmtId="0" fontId="22" fillId="9" borderId="18" xfId="0" applyFont="1" applyFill="1"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6" fillId="0" borderId="18" xfId="0" applyFont="1" applyBorder="1" applyAlignment="1" applyProtection="1">
      <alignment horizontal="center" vertical="center" wrapText="1"/>
      <protection locked="0"/>
    </xf>
    <xf numFmtId="0" fontId="6" fillId="0" borderId="18" xfId="0" applyFont="1" applyBorder="1" applyAlignment="1" applyProtection="1">
      <alignment horizontal="center" vertical="center"/>
      <protection locked="0"/>
    </xf>
    <xf numFmtId="0" fontId="0" fillId="0" borderId="18"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6" borderId="16" xfId="0" applyFill="1"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6" fillId="0" borderId="16"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protection locked="0"/>
    </xf>
    <xf numFmtId="0" fontId="0" fillId="0" borderId="16" xfId="0" applyBorder="1" applyAlignment="1" applyProtection="1">
      <alignment horizontal="center" vertical="center" wrapText="1"/>
      <protection locked="0"/>
    </xf>
    <xf numFmtId="0" fontId="0" fillId="0" borderId="6" xfId="0" applyBorder="1" applyAlignment="1" applyProtection="1">
      <alignment horizontal="center" vertical="center"/>
      <protection locked="0"/>
    </xf>
    <xf numFmtId="0" fontId="0" fillId="4" borderId="21" xfId="0" applyFill="1" applyBorder="1" applyAlignment="1" applyProtection="1">
      <alignment horizontal="center" vertical="center"/>
      <protection locked="0"/>
    </xf>
    <xf numFmtId="0" fontId="6" fillId="14" borderId="21" xfId="0" applyFont="1" applyFill="1" applyBorder="1" applyAlignment="1" applyProtection="1">
      <alignment horizontal="center" vertical="center"/>
      <protection locked="0"/>
    </xf>
    <xf numFmtId="0" fontId="21" fillId="0" borderId="21" xfId="0" applyFont="1" applyBorder="1" applyAlignment="1" applyProtection="1">
      <alignment horizontal="center" vertical="center" wrapText="1"/>
      <protection locked="0"/>
    </xf>
    <xf numFmtId="0" fontId="6" fillId="13" borderId="0" xfId="0" applyFont="1" applyFill="1"/>
    <xf numFmtId="0" fontId="6" fillId="0" borderId="0" xfId="0" applyFont="1"/>
    <xf numFmtId="0" fontId="2" fillId="0" borderId="5" xfId="0" applyFont="1" applyBorder="1" applyAlignment="1" applyProtection="1">
      <alignment horizontal="center"/>
      <protection locked="0"/>
    </xf>
    <xf numFmtId="0" fontId="2" fillId="0" borderId="17" xfId="0" applyFont="1" applyBorder="1" applyAlignment="1" applyProtection="1">
      <alignment wrapText="1"/>
      <protection locked="0"/>
    </xf>
    <xf numFmtId="0" fontId="2" fillId="0" borderId="17" xfId="0" applyFont="1" applyBorder="1" applyProtection="1">
      <protection locked="0"/>
    </xf>
    <xf numFmtId="0" fontId="2" fillId="0" borderId="4" xfId="0" applyFont="1" applyBorder="1" applyAlignment="1" applyProtection="1">
      <alignment wrapText="1"/>
      <protection locked="0"/>
    </xf>
    <xf numFmtId="0" fontId="2" fillId="0" borderId="0" xfId="0" applyFont="1" applyAlignment="1" applyProtection="1">
      <alignment wrapText="1"/>
      <protection locked="0"/>
    </xf>
    <xf numFmtId="0" fontId="2" fillId="0" borderId="5" xfId="0" applyFont="1" applyBorder="1" applyAlignment="1" applyProtection="1">
      <alignment wrapText="1"/>
      <protection locked="0"/>
    </xf>
    <xf numFmtId="0" fontId="2" fillId="0" borderId="4" xfId="0" applyFont="1" applyBorder="1" applyProtection="1">
      <protection locked="0"/>
    </xf>
    <xf numFmtId="0" fontId="0" fillId="0" borderId="20" xfId="0" applyBorder="1" applyAlignment="1" applyProtection="1">
      <alignment horizontal="center" vertical="center"/>
      <protection locked="0"/>
    </xf>
    <xf numFmtId="0" fontId="0" fillId="0" borderId="0" xfId="0" applyAlignment="1" applyProtection="1">
      <alignment horizontal="center" vertical="center"/>
      <protection locked="0"/>
    </xf>
    <xf numFmtId="0" fontId="32" fillId="0" borderId="0" xfId="0" applyFont="1" applyAlignment="1">
      <alignment wrapText="1"/>
    </xf>
    <xf numFmtId="0" fontId="1" fillId="0" borderId="36" xfId="1" applyBorder="1" applyAlignment="1">
      <alignment horizontal="center"/>
    </xf>
    <xf numFmtId="0" fontId="1" fillId="0" borderId="0" xfId="1" applyAlignment="1">
      <alignment horizontal="center" vertical="top" wrapText="1"/>
    </xf>
    <xf numFmtId="0" fontId="3" fillId="0" borderId="0" xfId="0" applyFont="1" applyAlignment="1">
      <alignment horizontal="center"/>
    </xf>
    <xf numFmtId="0" fontId="0" fillId="25" borderId="0" xfId="0" applyFill="1"/>
    <xf numFmtId="0" fontId="0" fillId="12" borderId="0" xfId="0" applyFill="1"/>
    <xf numFmtId="0" fontId="0" fillId="26" borderId="0" xfId="0" applyFill="1"/>
    <xf numFmtId="0" fontId="14" fillId="0" borderId="0" xfId="0" applyFont="1"/>
    <xf numFmtId="0" fontId="6" fillId="22" borderId="0" xfId="0" applyFont="1" applyFill="1"/>
    <xf numFmtId="0" fontId="0" fillId="27" borderId="0" xfId="0" applyFill="1"/>
    <xf numFmtId="0" fontId="7" fillId="15" borderId="0" xfId="0" applyFont="1" applyFill="1"/>
    <xf numFmtId="0" fontId="3" fillId="15" borderId="0" xfId="0" applyFont="1" applyFill="1"/>
    <xf numFmtId="0" fontId="25" fillId="0" borderId="0" xfId="2"/>
    <xf numFmtId="0" fontId="25" fillId="0" borderId="0" xfId="2" applyAlignment="1"/>
    <xf numFmtId="0" fontId="36" fillId="0" borderId="18" xfId="0" applyFont="1" applyBorder="1"/>
    <xf numFmtId="0" fontId="37" fillId="0" borderId="0" xfId="0" applyFont="1"/>
    <xf numFmtId="0" fontId="16" fillId="12" borderId="4" xfId="0" applyFont="1" applyFill="1" applyBorder="1" applyAlignment="1">
      <alignment horizontal="center" wrapText="1"/>
    </xf>
    <xf numFmtId="0" fontId="16" fillId="6" borderId="17" xfId="0" applyFont="1" applyFill="1" applyBorder="1" applyAlignment="1">
      <alignment horizontal="center" wrapText="1"/>
    </xf>
    <xf numFmtId="0" fontId="36" fillId="0" borderId="3" xfId="0" quotePrefix="1" applyFont="1" applyBorder="1" applyAlignment="1">
      <alignment wrapText="1"/>
    </xf>
    <xf numFmtId="0" fontId="35" fillId="0" borderId="0" xfId="0" applyFont="1"/>
    <xf numFmtId="0" fontId="6" fillId="13" borderId="21" xfId="0" applyFont="1" applyFill="1" applyBorder="1" applyAlignment="1">
      <alignment horizontal="center" vertical="center"/>
    </xf>
    <xf numFmtId="0" fontId="6" fillId="13" borderId="18" xfId="0" applyFont="1" applyFill="1" applyBorder="1" applyAlignment="1">
      <alignment horizontal="center" vertical="center"/>
    </xf>
    <xf numFmtId="0" fontId="2" fillId="28" borderId="17" xfId="0" applyFont="1" applyFill="1" applyBorder="1" applyProtection="1">
      <protection locked="0"/>
    </xf>
    <xf numFmtId="0" fontId="0" fillId="12" borderId="4" xfId="0" applyFill="1" applyBorder="1"/>
    <xf numFmtId="0" fontId="0" fillId="12" borderId="29" xfId="0" applyFill="1" applyBorder="1"/>
    <xf numFmtId="0" fontId="16" fillId="7" borderId="29" xfId="0" applyFont="1" applyFill="1" applyBorder="1" applyAlignment="1">
      <alignment wrapText="1"/>
    </xf>
    <xf numFmtId="0" fontId="0" fillId="0" borderId="29" xfId="0" quotePrefix="1" applyBorder="1" applyAlignment="1">
      <alignment horizontal="left" wrapText="1"/>
    </xf>
    <xf numFmtId="0" fontId="0" fillId="0" borderId="29" xfId="0" applyBorder="1" applyAlignment="1">
      <alignment horizontal="left" wrapText="1"/>
    </xf>
    <xf numFmtId="0" fontId="6" fillId="0" borderId="29" xfId="0" applyFont="1" applyBorder="1" applyAlignment="1">
      <alignment horizontal="left" wrapText="1"/>
    </xf>
    <xf numFmtId="0" fontId="36" fillId="0" borderId="29" xfId="0" applyFont="1" applyBorder="1"/>
    <xf numFmtId="0" fontId="19" fillId="0" borderId="30" xfId="0" quotePrefix="1" applyFont="1" applyBorder="1" applyAlignment="1">
      <alignment wrapText="1"/>
    </xf>
    <xf numFmtId="0" fontId="17" fillId="0" borderId="29" xfId="0" applyFont="1" applyBorder="1"/>
    <xf numFmtId="0" fontId="18" fillId="0" borderId="29" xfId="0" applyFont="1" applyBorder="1" applyAlignment="1">
      <alignment wrapText="1"/>
    </xf>
    <xf numFmtId="0" fontId="0" fillId="0" borderId="30" xfId="0" quotePrefix="1" applyBorder="1" applyAlignment="1">
      <alignment wrapText="1"/>
    </xf>
    <xf numFmtId="0" fontId="0" fillId="0" borderId="29" xfId="0" quotePrefix="1" applyBorder="1" applyAlignment="1">
      <alignment wrapText="1"/>
    </xf>
    <xf numFmtId="0" fontId="0" fillId="0" borderId="29" xfId="0" quotePrefix="1" applyBorder="1" applyAlignment="1">
      <alignment horizontal="center" wrapText="1"/>
    </xf>
    <xf numFmtId="0" fontId="12" fillId="0" borderId="41" xfId="0" applyFont="1" applyBorder="1" applyAlignment="1">
      <alignment vertical="center" wrapText="1"/>
    </xf>
    <xf numFmtId="0" fontId="5" fillId="21" borderId="0" xfId="0" applyFont="1" applyFill="1" applyAlignment="1">
      <alignment vertical="center"/>
    </xf>
    <xf numFmtId="0" fontId="38" fillId="22" borderId="0" xfId="0" applyFont="1" applyFill="1" applyAlignment="1">
      <alignment horizontal="center" vertical="center"/>
    </xf>
    <xf numFmtId="0" fontId="8" fillId="22" borderId="0" xfId="0" applyFont="1" applyFill="1" applyAlignment="1">
      <alignment wrapText="1"/>
    </xf>
    <xf numFmtId="0" fontId="3" fillId="3" borderId="18" xfId="0" applyFont="1" applyFill="1" applyBorder="1" applyAlignment="1" applyProtection="1">
      <alignment horizontal="center" vertical="center"/>
      <protection locked="0"/>
    </xf>
    <xf numFmtId="0" fontId="0" fillId="3" borderId="43" xfId="0" applyFill="1" applyBorder="1" applyAlignment="1" applyProtection="1">
      <alignment horizontal="center" vertical="center"/>
      <protection locked="0"/>
    </xf>
    <xf numFmtId="0" fontId="3" fillId="4" borderId="18" xfId="0" applyFont="1" applyFill="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6" fillId="0" borderId="43" xfId="0" applyFont="1" applyBorder="1" applyAlignment="1" applyProtection="1">
      <alignment horizontal="center" vertical="center" wrapText="1"/>
      <protection locked="0"/>
    </xf>
    <xf numFmtId="0" fontId="6" fillId="0" borderId="43" xfId="0" applyFont="1" applyBorder="1" applyAlignment="1" applyProtection="1">
      <alignment horizontal="center" vertical="center"/>
      <protection locked="0"/>
    </xf>
    <xf numFmtId="0" fontId="3" fillId="4" borderId="21" xfId="0" applyFont="1" applyFill="1" applyBorder="1" applyAlignment="1" applyProtection="1">
      <alignment horizontal="center" vertical="center"/>
      <protection locked="0"/>
    </xf>
    <xf numFmtId="0" fontId="35" fillId="6" borderId="21" xfId="0" applyFont="1" applyFill="1" applyBorder="1" applyAlignment="1" applyProtection="1">
      <alignment horizontal="center" vertical="center"/>
      <protection locked="0"/>
    </xf>
    <xf numFmtId="0" fontId="35" fillId="7" borderId="21" xfId="0" applyFont="1" applyFill="1" applyBorder="1" applyAlignment="1" applyProtection="1">
      <alignment horizontal="center" vertical="center"/>
      <protection locked="0"/>
    </xf>
    <xf numFmtId="0" fontId="35" fillId="14" borderId="21" xfId="0" applyFont="1" applyFill="1" applyBorder="1" applyAlignment="1" applyProtection="1">
      <alignment horizontal="center" vertical="center"/>
      <protection locked="0"/>
    </xf>
    <xf numFmtId="0" fontId="40" fillId="0" borderId="21"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40" fillId="0" borderId="18"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protection locked="0"/>
    </xf>
    <xf numFmtId="0" fontId="3" fillId="0" borderId="21" xfId="0" applyFont="1" applyBorder="1"/>
    <xf numFmtId="0" fontId="41" fillId="29" borderId="0" xfId="0" applyFont="1" applyFill="1" applyAlignment="1">
      <alignment horizontal="left" vertical="top"/>
    </xf>
    <xf numFmtId="0" fontId="42" fillId="0" borderId="0" xfId="0" applyFont="1" applyAlignment="1">
      <alignment horizontal="left" vertical="top"/>
    </xf>
    <xf numFmtId="0" fontId="43" fillId="30" borderId="44" xfId="0" applyFont="1" applyFill="1" applyBorder="1" applyAlignment="1">
      <alignment horizontal="left" vertical="top" wrapText="1"/>
    </xf>
    <xf numFmtId="0" fontId="43" fillId="30" borderId="45" xfId="0" applyFont="1" applyFill="1" applyBorder="1" applyAlignment="1">
      <alignment horizontal="left" vertical="top" wrapText="1"/>
    </xf>
    <xf numFmtId="0" fontId="44" fillId="0" borderId="46" xfId="0" applyFont="1" applyBorder="1" applyAlignment="1">
      <alignment horizontal="left" vertical="top" wrapText="1"/>
    </xf>
    <xf numFmtId="0" fontId="45" fillId="0" borderId="47" xfId="0" applyFont="1" applyBorder="1" applyAlignment="1">
      <alignment horizontal="left" vertical="top" wrapText="1"/>
    </xf>
    <xf numFmtId="0" fontId="42" fillId="0" borderId="47" xfId="0" applyFont="1" applyBorder="1" applyAlignment="1">
      <alignment horizontal="left" vertical="top" wrapText="1"/>
    </xf>
    <xf numFmtId="0" fontId="44" fillId="0" borderId="48" xfId="0" applyFont="1" applyBorder="1" applyAlignment="1">
      <alignment horizontal="left" vertical="top" wrapText="1"/>
    </xf>
    <xf numFmtId="0" fontId="42" fillId="0" borderId="44" xfId="0" applyFont="1" applyBorder="1" applyAlignment="1">
      <alignment horizontal="left" vertical="top" wrapText="1"/>
    </xf>
    <xf numFmtId="0" fontId="42" fillId="0" borderId="45" xfId="0" applyFont="1" applyBorder="1" applyAlignment="1">
      <alignment horizontal="left" vertical="top" wrapText="1"/>
    </xf>
    <xf numFmtId="0" fontId="42" fillId="0" borderId="46" xfId="0" applyFont="1" applyBorder="1" applyAlignment="1">
      <alignment horizontal="left" vertical="top" wrapText="1"/>
    </xf>
    <xf numFmtId="0" fontId="42" fillId="0" borderId="49" xfId="0" applyFont="1" applyBorder="1" applyAlignment="1">
      <alignment horizontal="left" vertical="top" wrapText="1"/>
    </xf>
    <xf numFmtId="0" fontId="48" fillId="0" borderId="0" xfId="0" applyFont="1" applyAlignment="1">
      <alignment horizontal="left" vertical="top"/>
    </xf>
    <xf numFmtId="0" fontId="50" fillId="0" borderId="0" xfId="0" applyFont="1"/>
    <xf numFmtId="0" fontId="23" fillId="0" borderId="0" xfId="0" applyFont="1"/>
    <xf numFmtId="0" fontId="31" fillId="0" borderId="0" xfId="0" applyFont="1"/>
    <xf numFmtId="0" fontId="19" fillId="0" borderId="0" xfId="0" applyFont="1"/>
    <xf numFmtId="0" fontId="21" fillId="0" borderId="0" xfId="2" applyFont="1" applyAlignment="1"/>
    <xf numFmtId="0" fontId="12" fillId="0" borderId="21" xfId="0" applyFont="1" applyBorder="1" applyAlignment="1">
      <alignment wrapText="1"/>
    </xf>
    <xf numFmtId="0" fontId="53" fillId="0" borderId="21" xfId="0" applyFont="1" applyBorder="1" applyAlignment="1">
      <alignment horizontal="center" wrapText="1"/>
    </xf>
    <xf numFmtId="0" fontId="0" fillId="0" borderId="50" xfId="0" applyBorder="1" applyAlignment="1" applyProtection="1">
      <alignment horizontal="center" vertical="center"/>
      <protection locked="0"/>
    </xf>
    <xf numFmtId="0" fontId="0" fillId="24" borderId="16" xfId="0" applyFill="1" applyBorder="1" applyAlignment="1">
      <alignment horizontal="center" vertical="center" wrapText="1"/>
    </xf>
    <xf numFmtId="0" fontId="0" fillId="24" borderId="51" xfId="0" applyFill="1" applyBorder="1" applyAlignment="1">
      <alignment horizontal="center" vertical="center" wrapText="1"/>
    </xf>
    <xf numFmtId="0" fontId="0" fillId="24" borderId="21" xfId="0" applyFill="1" applyBorder="1" applyAlignment="1">
      <alignment horizontal="center" vertical="center" wrapText="1"/>
    </xf>
    <xf numFmtId="0" fontId="54" fillId="0" borderId="0" xfId="0" applyFont="1" applyAlignment="1">
      <alignment horizontal="center" wrapText="1"/>
    </xf>
    <xf numFmtId="0" fontId="55" fillId="0" borderId="43" xfId="0" applyFont="1" applyBorder="1" applyAlignment="1" applyProtection="1">
      <alignment horizontal="center" vertical="center" wrapText="1"/>
      <protection locked="0"/>
    </xf>
    <xf numFmtId="0" fontId="56" fillId="0" borderId="16" xfId="0" applyFont="1" applyBorder="1" applyAlignment="1" applyProtection="1">
      <alignment horizontal="center" vertical="center"/>
      <protection locked="0"/>
    </xf>
    <xf numFmtId="0" fontId="56" fillId="0" borderId="21" xfId="0" applyFont="1" applyBorder="1" applyAlignment="1" applyProtection="1">
      <alignment horizontal="center" vertical="center" wrapText="1"/>
      <protection locked="0"/>
    </xf>
    <xf numFmtId="0" fontId="56" fillId="24" borderId="21" xfId="0" applyFont="1" applyFill="1" applyBorder="1" applyAlignment="1">
      <alignment horizontal="center" vertical="center"/>
    </xf>
    <xf numFmtId="0" fontId="57" fillId="24" borderId="16" xfId="0" applyFont="1" applyFill="1" applyBorder="1" applyAlignment="1">
      <alignment horizontal="center" vertical="center"/>
    </xf>
    <xf numFmtId="0" fontId="57" fillId="24" borderId="21" xfId="0" applyFont="1" applyFill="1" applyBorder="1" applyAlignment="1">
      <alignment horizontal="center" vertical="center"/>
    </xf>
    <xf numFmtId="0" fontId="3" fillId="31" borderId="21" xfId="0" applyFont="1" applyFill="1" applyBorder="1" applyAlignment="1">
      <alignment horizontal="center" vertical="center"/>
    </xf>
    <xf numFmtId="0" fontId="0" fillId="31" borderId="21" xfId="0" applyFill="1" applyBorder="1" applyAlignment="1">
      <alignment horizontal="center" vertical="center"/>
    </xf>
    <xf numFmtId="0" fontId="0" fillId="32" borderId="21" xfId="0" applyFill="1" applyBorder="1" applyAlignment="1">
      <alignment horizontal="center" vertical="center"/>
    </xf>
    <xf numFmtId="0" fontId="0" fillId="24" borderId="21" xfId="0" applyFill="1" applyBorder="1" applyAlignment="1">
      <alignment horizontal="center" vertical="center"/>
    </xf>
    <xf numFmtId="0" fontId="6" fillId="24" borderId="21" xfId="0" applyFont="1" applyFill="1" applyBorder="1" applyAlignment="1">
      <alignment horizontal="center" vertical="center"/>
    </xf>
    <xf numFmtId="0" fontId="0" fillId="24" borderId="5" xfId="0" applyFill="1" applyBorder="1" applyAlignment="1">
      <alignment horizontal="center" vertical="center" wrapText="1"/>
    </xf>
    <xf numFmtId="0" fontId="58" fillId="24" borderId="7" xfId="0" applyFont="1" applyFill="1" applyBorder="1" applyAlignment="1">
      <alignment horizontal="center" vertical="top" wrapText="1"/>
    </xf>
    <xf numFmtId="0" fontId="0" fillId="33" borderId="21" xfId="0" applyFill="1" applyBorder="1" applyAlignment="1">
      <alignment horizontal="center" vertical="center"/>
    </xf>
    <xf numFmtId="0" fontId="6" fillId="24" borderId="21" xfId="0" applyFont="1" applyFill="1" applyBorder="1" applyAlignment="1">
      <alignment horizontal="center" vertical="center" wrapText="1"/>
    </xf>
    <xf numFmtId="0" fontId="58" fillId="24" borderId="0" xfId="0" applyFont="1" applyFill="1" applyAlignment="1">
      <alignment wrapText="1"/>
    </xf>
    <xf numFmtId="0" fontId="0" fillId="24" borderId="0" xfId="0" applyFill="1" applyAlignment="1">
      <alignment horizontal="center" wrapText="1"/>
    </xf>
    <xf numFmtId="0" fontId="0" fillId="24" borderId="19" xfId="0" applyFill="1" applyBorder="1" applyAlignment="1">
      <alignment horizontal="center" vertical="center" wrapText="1"/>
    </xf>
    <xf numFmtId="0" fontId="58" fillId="24" borderId="22" xfId="0" applyFont="1" applyFill="1" applyBorder="1" applyAlignment="1">
      <alignment horizontal="center" vertical="center" wrapText="1"/>
    </xf>
    <xf numFmtId="0" fontId="0" fillId="34" borderId="21" xfId="0" applyFill="1" applyBorder="1" applyAlignment="1">
      <alignment horizontal="center" vertical="center"/>
    </xf>
    <xf numFmtId="0" fontId="3" fillId="24" borderId="21" xfId="0" applyFont="1" applyFill="1" applyBorder="1" applyAlignment="1">
      <alignment horizontal="center" vertical="center" wrapText="1"/>
    </xf>
    <xf numFmtId="0" fontId="0" fillId="24" borderId="7" xfId="0" applyFill="1" applyBorder="1" applyAlignment="1">
      <alignment horizontal="center" vertical="center" wrapText="1"/>
    </xf>
    <xf numFmtId="0" fontId="22" fillId="35" borderId="21" xfId="0" applyFont="1" applyFill="1" applyBorder="1" applyAlignment="1">
      <alignment horizontal="center" vertical="center"/>
    </xf>
    <xf numFmtId="0" fontId="58" fillId="24" borderId="22" xfId="0" applyFont="1" applyFill="1" applyBorder="1" applyAlignment="1">
      <alignment horizontal="center" vertical="top" wrapText="1"/>
    </xf>
    <xf numFmtId="0" fontId="22" fillId="36" borderId="21" xfId="0" applyFont="1" applyFill="1" applyBorder="1" applyAlignment="1">
      <alignment horizontal="center" vertical="center"/>
    </xf>
    <xf numFmtId="0" fontId="0" fillId="24" borderId="8" xfId="0" applyFill="1" applyBorder="1" applyAlignment="1">
      <alignment horizontal="center" wrapText="1"/>
    </xf>
    <xf numFmtId="0" fontId="0" fillId="24" borderId="8" xfId="0" applyFill="1" applyBorder="1" applyAlignment="1">
      <alignment horizontal="center" vertical="center" wrapText="1"/>
    </xf>
    <xf numFmtId="0" fontId="58" fillId="24" borderId="21" xfId="0" applyFont="1" applyFill="1" applyBorder="1" applyAlignment="1">
      <alignment horizontal="center" vertical="center" wrapText="1"/>
    </xf>
    <xf numFmtId="0" fontId="60" fillId="35" borderId="21" xfId="0" applyFont="1" applyFill="1" applyBorder="1" applyAlignment="1">
      <alignment horizontal="center" vertical="center"/>
    </xf>
    <xf numFmtId="0" fontId="60" fillId="36" borderId="21" xfId="0" applyFont="1" applyFill="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pplyProtection="1">
      <alignment horizontal="center" vertical="center"/>
      <protection locked="0"/>
    </xf>
    <xf numFmtId="0" fontId="0" fillId="24" borderId="21" xfId="0" applyFill="1" applyBorder="1" applyAlignment="1" applyProtection="1">
      <alignment horizontal="center" vertical="center" wrapText="1"/>
      <protection locked="0"/>
    </xf>
    <xf numFmtId="0" fontId="58" fillId="24" borderId="21" xfId="0" applyFont="1" applyFill="1" applyBorder="1" applyAlignment="1" applyProtection="1">
      <alignment horizontal="center" vertical="center" wrapText="1"/>
      <protection locked="0"/>
    </xf>
    <xf numFmtId="0" fontId="0" fillId="24" borderId="21" xfId="0" applyFill="1" applyBorder="1" applyAlignment="1" applyProtection="1">
      <alignment horizontal="center" vertical="center"/>
      <protection locked="0"/>
    </xf>
    <xf numFmtId="0" fontId="58" fillId="24" borderId="7" xfId="0" applyFont="1" applyFill="1" applyBorder="1" applyAlignment="1">
      <alignment horizontal="center" vertical="center" wrapText="1"/>
    </xf>
    <xf numFmtId="0" fontId="0" fillId="0" borderId="7" xfId="0" applyBorder="1" applyAlignment="1">
      <alignment horizontal="center" wrapText="1"/>
    </xf>
    <xf numFmtId="0" fontId="3" fillId="38" borderId="21" xfId="0" applyFont="1" applyFill="1" applyBorder="1" applyAlignment="1" applyProtection="1">
      <alignment horizontal="center" vertical="center"/>
      <protection locked="0"/>
    </xf>
    <xf numFmtId="0" fontId="0" fillId="38" borderId="21" xfId="0" applyFill="1" applyBorder="1" applyAlignment="1" applyProtection="1">
      <alignment horizontal="center" vertical="center"/>
      <protection locked="0"/>
    </xf>
    <xf numFmtId="0" fontId="32" fillId="0" borderId="7" xfId="0" applyFont="1" applyBorder="1" applyAlignment="1">
      <alignment horizontal="center" vertical="center" wrapText="1"/>
    </xf>
    <xf numFmtId="0" fontId="58" fillId="24" borderId="21" xfId="0" applyFont="1" applyFill="1" applyBorder="1" applyAlignment="1" applyProtection="1">
      <alignment horizontal="center" vertical="top" wrapText="1"/>
      <protection locked="0"/>
    </xf>
    <xf numFmtId="0" fontId="21" fillId="0" borderId="21" xfId="0" applyFont="1" applyBorder="1" applyAlignment="1">
      <alignment vertical="center" wrapText="1"/>
    </xf>
    <xf numFmtId="0" fontId="38" fillId="38" borderId="0" xfId="0" applyFont="1" applyFill="1" applyAlignment="1">
      <alignment horizontal="center" vertical="center"/>
    </xf>
    <xf numFmtId="0" fontId="6" fillId="38" borderId="0" xfId="0" applyFont="1" applyFill="1"/>
    <xf numFmtId="0" fontId="5" fillId="38" borderId="0" xfId="0" applyFont="1" applyFill="1" applyAlignment="1">
      <alignment wrapText="1"/>
    </xf>
    <xf numFmtId="0" fontId="38" fillId="37" borderId="0" xfId="0" applyFont="1" applyFill="1" applyAlignment="1">
      <alignment horizontal="center" vertical="center"/>
    </xf>
    <xf numFmtId="0" fontId="0" fillId="37" borderId="0" xfId="0" applyFill="1"/>
    <xf numFmtId="0" fontId="5" fillId="37" borderId="0" xfId="0" applyFont="1" applyFill="1" applyAlignment="1">
      <alignment wrapText="1"/>
    </xf>
    <xf numFmtId="0" fontId="38" fillId="39" borderId="0" xfId="0" applyFont="1" applyFill="1" applyAlignment="1">
      <alignment horizontal="center" vertical="center"/>
    </xf>
    <xf numFmtId="0" fontId="0" fillId="39" borderId="0" xfId="0" applyFill="1"/>
    <xf numFmtId="0" fontId="5" fillId="39" borderId="0" xfId="0" applyFont="1" applyFill="1" applyAlignment="1">
      <alignment wrapText="1"/>
    </xf>
    <xf numFmtId="0" fontId="38" fillId="40" borderId="0" xfId="0" applyFont="1" applyFill="1" applyAlignment="1">
      <alignment horizontal="center" vertical="center"/>
    </xf>
    <xf numFmtId="0" fontId="0" fillId="40" borderId="0" xfId="0" applyFill="1"/>
    <xf numFmtId="0" fontId="5" fillId="40" borderId="0" xfId="0" applyFont="1" applyFill="1" applyAlignment="1">
      <alignment wrapText="1"/>
    </xf>
    <xf numFmtId="0" fontId="38" fillId="41" borderId="0" xfId="0" applyFont="1" applyFill="1" applyAlignment="1">
      <alignment horizontal="center" vertical="center"/>
    </xf>
    <xf numFmtId="0" fontId="0" fillId="41" borderId="0" xfId="0" applyFill="1"/>
    <xf numFmtId="0" fontId="5" fillId="41" borderId="0" xfId="0" applyFont="1" applyFill="1" applyAlignment="1">
      <alignment wrapText="1"/>
    </xf>
    <xf numFmtId="0" fontId="38" fillId="42" borderId="0" xfId="0" applyFont="1" applyFill="1" applyAlignment="1">
      <alignment horizontal="center" vertical="center"/>
    </xf>
    <xf numFmtId="0" fontId="0" fillId="42" borderId="0" xfId="0" applyFill="1"/>
    <xf numFmtId="0" fontId="5" fillId="42" borderId="0" xfId="0" applyFont="1" applyFill="1" applyAlignment="1">
      <alignment wrapText="1"/>
    </xf>
    <xf numFmtId="0" fontId="38" fillId="43" borderId="0" xfId="0" applyFont="1" applyFill="1" applyAlignment="1">
      <alignment horizontal="center" vertical="center"/>
    </xf>
    <xf numFmtId="0" fontId="0" fillId="43" borderId="0" xfId="0" applyFill="1"/>
    <xf numFmtId="0" fontId="5" fillId="43" borderId="0" xfId="0" applyFont="1" applyFill="1" applyAlignment="1">
      <alignment wrapText="1"/>
    </xf>
    <xf numFmtId="0" fontId="38" fillId="44" borderId="0" xfId="0" applyFont="1" applyFill="1" applyAlignment="1">
      <alignment horizontal="center" vertical="center"/>
    </xf>
    <xf numFmtId="0" fontId="0" fillId="44" borderId="0" xfId="0" applyFill="1"/>
    <xf numFmtId="0" fontId="5" fillId="44" borderId="0" xfId="0" applyFont="1" applyFill="1" applyAlignment="1">
      <alignment wrapText="1"/>
    </xf>
    <xf numFmtId="0" fontId="38" fillId="45" borderId="0" xfId="0" applyFont="1" applyFill="1" applyAlignment="1">
      <alignment horizontal="center" vertical="center"/>
    </xf>
    <xf numFmtId="0" fontId="0" fillId="45" borderId="0" xfId="0" applyFill="1"/>
    <xf numFmtId="0" fontId="5" fillId="45" borderId="0" xfId="0" applyFont="1" applyFill="1" applyAlignment="1">
      <alignment wrapText="1"/>
    </xf>
    <xf numFmtId="0" fontId="4" fillId="46" borderId="0" xfId="0" applyFont="1" applyFill="1" applyAlignment="1">
      <alignment horizontal="center" vertical="center"/>
    </xf>
    <xf numFmtId="0" fontId="6" fillId="46" borderId="0" xfId="0" applyFont="1" applyFill="1"/>
    <xf numFmtId="0" fontId="5" fillId="46" borderId="0" xfId="0" applyFont="1" applyFill="1" applyAlignment="1">
      <alignment wrapText="1"/>
    </xf>
    <xf numFmtId="0" fontId="3" fillId="39" borderId="21" xfId="0" applyFont="1" applyFill="1" applyBorder="1" applyAlignment="1" applyProtection="1">
      <alignment horizontal="center" vertical="center"/>
      <protection locked="0"/>
    </xf>
    <xf numFmtId="0" fontId="0" fillId="39" borderId="21" xfId="0" applyFill="1" applyBorder="1" applyAlignment="1" applyProtection="1">
      <alignment horizontal="center" vertical="center"/>
      <protection locked="0"/>
    </xf>
    <xf numFmtId="0" fontId="0" fillId="40" borderId="21" xfId="0" applyFill="1" applyBorder="1" applyAlignment="1" applyProtection="1">
      <alignment horizontal="center" vertical="center"/>
      <protection locked="0"/>
    </xf>
    <xf numFmtId="0" fontId="3" fillId="40" borderId="21" xfId="0" applyFont="1" applyFill="1" applyBorder="1" applyAlignment="1" applyProtection="1">
      <alignment horizontal="center" vertical="center"/>
      <protection locked="0"/>
    </xf>
    <xf numFmtId="0" fontId="3" fillId="41" borderId="21" xfId="0" applyFont="1" applyFill="1" applyBorder="1" applyAlignment="1" applyProtection="1">
      <alignment horizontal="center" vertical="center"/>
      <protection locked="0"/>
    </xf>
    <xf numFmtId="0" fontId="0" fillId="41" borderId="21" xfId="0" applyFill="1" applyBorder="1" applyAlignment="1" applyProtection="1">
      <alignment horizontal="center" vertical="center"/>
      <protection locked="0"/>
    </xf>
    <xf numFmtId="0" fontId="21" fillId="0" borderId="0" xfId="0" applyFont="1" applyAlignment="1">
      <alignment vertical="center" wrapText="1"/>
    </xf>
    <xf numFmtId="0" fontId="57" fillId="0" borderId="21" xfId="0" applyFont="1" applyBorder="1" applyAlignment="1" applyProtection="1">
      <alignment horizontal="center" vertical="center" wrapText="1"/>
      <protection locked="0"/>
    </xf>
    <xf numFmtId="0" fontId="56" fillId="24" borderId="21" xfId="0" applyFont="1" applyFill="1" applyBorder="1" applyAlignment="1">
      <alignment horizontal="center" vertical="center" wrapText="1"/>
    </xf>
    <xf numFmtId="0" fontId="0" fillId="0" borderId="20" xfId="0" applyBorder="1" applyAlignment="1" applyProtection="1">
      <alignment horizontal="center" vertical="center" wrapText="1"/>
      <protection locked="0"/>
    </xf>
    <xf numFmtId="0" fontId="32" fillId="0" borderId="0" xfId="0" applyFont="1" applyAlignment="1">
      <alignment horizontal="center" vertical="center"/>
    </xf>
    <xf numFmtId="0" fontId="11" fillId="4" borderId="0" xfId="0" applyFont="1" applyFill="1" applyAlignment="1">
      <alignment vertical="top" wrapText="1"/>
    </xf>
    <xf numFmtId="0" fontId="11" fillId="0" borderId="0" xfId="0" applyFont="1" applyAlignment="1">
      <alignment wrapText="1"/>
    </xf>
    <xf numFmtId="0" fontId="32" fillId="24" borderId="21" xfId="0" applyFont="1" applyFill="1" applyBorder="1" applyAlignment="1">
      <alignment horizontal="center" vertical="center" wrapText="1"/>
    </xf>
    <xf numFmtId="0" fontId="6" fillId="0" borderId="18" xfId="0" applyFont="1" applyBorder="1" applyAlignment="1">
      <alignment horizontal="center" vertical="center"/>
    </xf>
    <xf numFmtId="0" fontId="6" fillId="0" borderId="1" xfId="0" applyFont="1" applyBorder="1" applyAlignment="1" applyProtection="1">
      <alignment horizontal="center" vertical="center"/>
      <protection locked="0"/>
    </xf>
    <xf numFmtId="0" fontId="3" fillId="0" borderId="18" xfId="0" applyFont="1" applyBorder="1" applyAlignment="1" applyProtection="1">
      <alignment horizontal="center" vertical="center" wrapText="1"/>
      <protection locked="0"/>
    </xf>
    <xf numFmtId="0" fontId="0" fillId="42" borderId="18" xfId="0" applyFill="1" applyBorder="1" applyAlignment="1" applyProtection="1">
      <alignment horizontal="center" vertical="center"/>
      <protection locked="0"/>
    </xf>
    <xf numFmtId="0" fontId="3" fillId="42" borderId="18" xfId="0" applyFont="1" applyFill="1" applyBorder="1" applyAlignment="1" applyProtection="1">
      <alignment horizontal="center" vertical="center"/>
      <protection locked="0"/>
    </xf>
    <xf numFmtId="0" fontId="0" fillId="32" borderId="18" xfId="0" applyFill="1" applyBorder="1" applyAlignment="1" applyProtection="1">
      <alignment horizontal="center" vertical="center"/>
      <protection locked="0"/>
    </xf>
    <xf numFmtId="0" fontId="0" fillId="34" borderId="21" xfId="0" applyFill="1" applyBorder="1" applyAlignment="1" applyProtection="1">
      <alignment horizontal="center" vertical="center"/>
      <protection locked="0"/>
    </xf>
    <xf numFmtId="0" fontId="22" fillId="35" borderId="21" xfId="0" applyFont="1" applyFill="1" applyBorder="1" applyAlignment="1" applyProtection="1">
      <alignment horizontal="center" vertical="center"/>
      <protection locked="0"/>
    </xf>
    <xf numFmtId="0" fontId="22" fillId="36" borderId="21" xfId="0" applyFont="1" applyFill="1" applyBorder="1" applyAlignment="1" applyProtection="1">
      <alignment horizontal="center" vertical="center"/>
      <protection locked="0"/>
    </xf>
    <xf numFmtId="0" fontId="57" fillId="24" borderId="21" xfId="0" applyFont="1" applyFill="1" applyBorder="1" applyAlignment="1">
      <alignment horizontal="center" vertical="center" wrapText="1"/>
    </xf>
    <xf numFmtId="0" fontId="54" fillId="0" borderId="21" xfId="0" applyFont="1" applyBorder="1" applyAlignment="1">
      <alignment horizontal="center" wrapText="1"/>
    </xf>
    <xf numFmtId="0" fontId="12" fillId="0" borderId="18" xfId="0" applyFont="1" applyBorder="1" applyAlignment="1">
      <alignment wrapText="1"/>
    </xf>
    <xf numFmtId="0" fontId="12" fillId="0" borderId="2" xfId="0" applyFont="1" applyBorder="1" applyAlignment="1">
      <alignment wrapText="1"/>
    </xf>
    <xf numFmtId="0" fontId="12" fillId="0" borderId="20" xfId="0" applyFont="1" applyBorder="1" applyAlignment="1">
      <alignment wrapText="1"/>
    </xf>
    <xf numFmtId="0" fontId="24" fillId="0" borderId="21" xfId="0" applyFont="1" applyBorder="1" applyAlignment="1">
      <alignment horizontal="center" wrapText="1"/>
    </xf>
    <xf numFmtId="0" fontId="21" fillId="0" borderId="0" xfId="0" applyFont="1" applyAlignment="1">
      <alignment horizontal="center" wrapText="1"/>
    </xf>
    <xf numFmtId="0" fontId="12" fillId="0" borderId="3" xfId="0" applyFont="1" applyBorder="1" applyAlignment="1">
      <alignment wrapText="1"/>
    </xf>
    <xf numFmtId="0" fontId="3" fillId="24" borderId="21" xfId="0" applyFont="1" applyFill="1" applyBorder="1" applyAlignment="1">
      <alignment horizontal="center" vertical="center"/>
    </xf>
    <xf numFmtId="0" fontId="12" fillId="0" borderId="19" xfId="0" applyFont="1" applyBorder="1" applyAlignment="1">
      <alignment horizontal="left" vertical="center" wrapText="1"/>
    </xf>
    <xf numFmtId="0" fontId="0" fillId="0" borderId="0" xfId="0" applyAlignment="1">
      <alignment horizontal="center" vertical="center" wrapText="1"/>
    </xf>
    <xf numFmtId="0" fontId="58" fillId="24" borderId="4" xfId="0" applyFont="1" applyFill="1" applyBorder="1" applyAlignment="1">
      <alignment horizontal="center" vertical="top" wrapText="1"/>
    </xf>
    <xf numFmtId="0" fontId="24" fillId="0" borderId="0" xfId="0" applyFont="1" applyAlignment="1">
      <alignment horizontal="center" wrapText="1"/>
    </xf>
    <xf numFmtId="0" fontId="0" fillId="0" borderId="21" xfId="0" applyBorder="1" applyAlignment="1">
      <alignment horizontal="center" wrapText="1"/>
    </xf>
    <xf numFmtId="0" fontId="11" fillId="0" borderId="21" xfId="0" applyFont="1" applyBorder="1" applyAlignment="1">
      <alignment wrapText="1"/>
    </xf>
    <xf numFmtId="0" fontId="12" fillId="0" borderId="30" xfId="0" applyFont="1" applyBorder="1" applyAlignment="1">
      <alignment vertical="center" wrapText="1"/>
    </xf>
    <xf numFmtId="0" fontId="23" fillId="0" borderId="0" xfId="0" applyFont="1" applyAlignment="1">
      <alignment horizontal="center" wrapText="1"/>
    </xf>
    <xf numFmtId="0" fontId="7" fillId="0" borderId="21" xfId="0" applyFont="1" applyBorder="1" applyAlignment="1" applyProtection="1">
      <alignment horizontal="center" vertical="center" wrapText="1"/>
      <protection locked="0"/>
    </xf>
    <xf numFmtId="0" fontId="0" fillId="24" borderId="18" xfId="0" applyFill="1" applyBorder="1" applyAlignment="1">
      <alignment horizontal="center" vertical="center" wrapText="1"/>
    </xf>
    <xf numFmtId="0" fontId="5" fillId="2" borderId="0" xfId="0" applyFont="1" applyFill="1" applyAlignment="1">
      <alignment vertical="top" wrapText="1"/>
    </xf>
    <xf numFmtId="0" fontId="5" fillId="38" borderId="0" xfId="0" applyFont="1" applyFill="1" applyAlignment="1">
      <alignment vertical="center" wrapText="1"/>
    </xf>
    <xf numFmtId="0" fontId="5" fillId="37" borderId="0" xfId="0" applyFont="1" applyFill="1" applyAlignment="1">
      <alignment vertical="center" wrapText="1"/>
    </xf>
    <xf numFmtId="0" fontId="5" fillId="39" borderId="0" xfId="0" applyFont="1" applyFill="1" applyAlignment="1">
      <alignment vertical="center" wrapText="1"/>
    </xf>
    <xf numFmtId="0" fontId="5" fillId="41" borderId="0" xfId="0" applyFont="1" applyFill="1" applyAlignment="1">
      <alignment vertical="center" wrapText="1"/>
    </xf>
    <xf numFmtId="0" fontId="5" fillId="43" borderId="0" xfId="0" applyFont="1" applyFill="1" applyAlignment="1">
      <alignment vertical="center" wrapText="1"/>
    </xf>
    <xf numFmtId="0" fontId="5" fillId="46" borderId="0" xfId="0" applyFont="1" applyFill="1" applyAlignment="1">
      <alignment vertical="center" wrapText="1"/>
    </xf>
    <xf numFmtId="0" fontId="5" fillId="44" borderId="0" xfId="0" applyFont="1" applyFill="1" applyAlignment="1">
      <alignment vertical="center" wrapText="1"/>
    </xf>
    <xf numFmtId="0" fontId="5" fillId="45" borderId="0" xfId="0" applyFont="1" applyFill="1" applyAlignment="1">
      <alignment vertical="center" wrapText="1"/>
    </xf>
    <xf numFmtId="0" fontId="5" fillId="40" borderId="0" xfId="0" applyFont="1" applyFill="1" applyAlignment="1">
      <alignment horizontal="left" vertical="center" wrapText="1"/>
    </xf>
    <xf numFmtId="0" fontId="5" fillId="42" borderId="0" xfId="0" applyFont="1" applyFill="1" applyAlignment="1">
      <alignment horizontal="left" vertical="center" wrapText="1"/>
    </xf>
    <xf numFmtId="0" fontId="29" fillId="0" borderId="0" xfId="0" applyFont="1" applyAlignment="1">
      <alignment horizontal="center" vertical="center"/>
    </xf>
    <xf numFmtId="0" fontId="5" fillId="22" borderId="0" xfId="0" applyFont="1" applyFill="1" applyAlignment="1">
      <alignment horizontal="left" vertical="center" wrapText="1"/>
    </xf>
    <xf numFmtId="0" fontId="4" fillId="39" borderId="0" xfId="0" applyFont="1" applyFill="1" applyAlignment="1">
      <alignment horizontal="center" vertical="center"/>
    </xf>
    <xf numFmtId="0" fontId="6" fillId="39" borderId="0" xfId="0" applyFont="1" applyFill="1"/>
    <xf numFmtId="0" fontId="8" fillId="4" borderId="0" xfId="0" applyFont="1" applyFill="1" applyAlignment="1">
      <alignment horizontal="left" vertical="top" wrapText="1"/>
    </xf>
    <xf numFmtId="0" fontId="5" fillId="4" borderId="0" xfId="0" applyFont="1" applyFill="1" applyAlignment="1">
      <alignment vertical="top" wrapText="1"/>
    </xf>
    <xf numFmtId="0" fontId="3" fillId="43" borderId="18" xfId="0" applyFont="1" applyFill="1" applyBorder="1" applyAlignment="1" applyProtection="1">
      <alignment horizontal="center" vertical="center"/>
      <protection locked="0"/>
    </xf>
    <xf numFmtId="0" fontId="0" fillId="43" borderId="18" xfId="0" applyFill="1" applyBorder="1" applyAlignment="1" applyProtection="1">
      <alignment horizontal="center" vertical="center"/>
      <protection locked="0"/>
    </xf>
    <xf numFmtId="0" fontId="3" fillId="43" borderId="21" xfId="0" applyFont="1" applyFill="1" applyBorder="1" applyAlignment="1" applyProtection="1">
      <alignment horizontal="center" vertical="center"/>
      <protection locked="0"/>
    </xf>
    <xf numFmtId="0" fontId="3" fillId="44" borderId="18" xfId="0" applyFont="1" applyFill="1" applyBorder="1" applyAlignment="1" applyProtection="1">
      <alignment horizontal="center" vertical="center"/>
      <protection locked="0"/>
    </xf>
    <xf numFmtId="0" fontId="0" fillId="44" borderId="18" xfId="0" applyFill="1" applyBorder="1" applyAlignment="1" applyProtection="1">
      <alignment horizontal="center" vertical="center"/>
      <protection locked="0"/>
    </xf>
    <xf numFmtId="0" fontId="3" fillId="45" borderId="18" xfId="0" applyFont="1" applyFill="1" applyBorder="1" applyAlignment="1" applyProtection="1">
      <alignment horizontal="center" vertical="center"/>
      <protection locked="0"/>
    </xf>
    <xf numFmtId="0" fontId="0" fillId="45" borderId="18" xfId="0" applyFill="1" applyBorder="1" applyAlignment="1" applyProtection="1">
      <alignment horizontal="center" vertical="center"/>
      <protection locked="0"/>
    </xf>
    <xf numFmtId="0" fontId="3" fillId="39" borderId="18" xfId="0" applyFont="1" applyFill="1" applyBorder="1" applyAlignment="1" applyProtection="1">
      <alignment horizontal="center" vertical="center"/>
      <protection locked="0"/>
    </xf>
    <xf numFmtId="0" fontId="0" fillId="39" borderId="18" xfId="0" applyFill="1" applyBorder="1" applyAlignment="1" applyProtection="1">
      <alignment horizontal="center" vertical="center"/>
      <protection locked="0"/>
    </xf>
    <xf numFmtId="0" fontId="21" fillId="0" borderId="0" xfId="0" applyFont="1" applyAlignment="1">
      <alignment horizontal="center" vertical="top" wrapText="1"/>
    </xf>
    <xf numFmtId="0" fontId="58" fillId="24" borderId="3" xfId="0" applyFont="1" applyFill="1" applyBorder="1" applyAlignment="1">
      <alignment horizontal="center" vertical="center" wrapText="1"/>
    </xf>
    <xf numFmtId="0" fontId="62" fillId="0" borderId="21" xfId="0" applyFont="1" applyBorder="1" applyAlignment="1">
      <alignment horizontal="center" vertical="center"/>
    </xf>
    <xf numFmtId="0" fontId="3" fillId="0" borderId="18" xfId="0" applyFont="1" applyBorder="1" applyAlignment="1">
      <alignment horizontal="center" vertical="center"/>
    </xf>
    <xf numFmtId="0" fontId="0" fillId="24" borderId="20" xfId="0" applyFill="1" applyBorder="1" applyAlignment="1">
      <alignment horizontal="center" vertical="center" wrapText="1"/>
    </xf>
    <xf numFmtId="0" fontId="62" fillId="0" borderId="18" xfId="0" applyFont="1" applyBorder="1" applyAlignment="1">
      <alignment horizontal="center" vertical="center"/>
    </xf>
    <xf numFmtId="0" fontId="21" fillId="0" borderId="21" xfId="0" applyFont="1" applyBorder="1" applyAlignment="1">
      <alignment horizontal="center" wrapText="1"/>
    </xf>
    <xf numFmtId="0" fontId="62" fillId="0" borderId="21" xfId="0" applyFont="1" applyBorder="1" applyAlignment="1">
      <alignment horizontal="center" vertical="center" wrapText="1"/>
    </xf>
    <xf numFmtId="0" fontId="24" fillId="0" borderId="21" xfId="0" applyFont="1" applyBorder="1" applyAlignment="1" applyProtection="1">
      <alignment horizontal="center" vertical="center" wrapText="1"/>
      <protection locked="0"/>
    </xf>
    <xf numFmtId="0" fontId="21" fillId="0" borderId="21" xfId="0" applyFont="1" applyBorder="1" applyAlignment="1">
      <alignment horizontal="center" vertical="center" wrapText="1"/>
    </xf>
    <xf numFmtId="0" fontId="21" fillId="0" borderId="18" xfId="0" applyFont="1" applyBorder="1" applyAlignment="1">
      <alignment horizontal="center" wrapText="1"/>
    </xf>
    <xf numFmtId="0" fontId="62" fillId="0" borderId="21" xfId="0" applyFont="1" applyBorder="1" applyAlignment="1">
      <alignment horizontal="center" wrapText="1"/>
    </xf>
    <xf numFmtId="0" fontId="62" fillId="0" borderId="18" xfId="0" applyFont="1" applyBorder="1" applyAlignment="1">
      <alignment horizontal="center" vertical="center" wrapText="1"/>
    </xf>
    <xf numFmtId="0" fontId="3" fillId="0" borderId="17" xfId="0" applyFont="1" applyBorder="1" applyAlignment="1" applyProtection="1">
      <alignment horizontal="center" vertical="center" wrapText="1"/>
      <protection locked="0"/>
    </xf>
    <xf numFmtId="0" fontId="63" fillId="0" borderId="21" xfId="0" applyFont="1" applyBorder="1" applyAlignment="1">
      <alignment horizontal="center" vertical="center" wrapText="1"/>
    </xf>
    <xf numFmtId="0" fontId="3" fillId="0" borderId="16" xfId="0" applyFont="1" applyBorder="1" applyAlignment="1" applyProtection="1">
      <alignment horizontal="center" vertical="center" wrapText="1"/>
      <protection locked="0"/>
    </xf>
    <xf numFmtId="0" fontId="21" fillId="0" borderId="0" xfId="0" applyFont="1" applyAlignment="1">
      <alignment horizontal="center" vertical="center" wrapText="1"/>
    </xf>
    <xf numFmtId="0" fontId="58" fillId="24" borderId="20" xfId="0" applyFont="1" applyFill="1" applyBorder="1" applyAlignment="1">
      <alignment horizontal="center" vertical="center" wrapText="1"/>
    </xf>
    <xf numFmtId="0" fontId="32" fillId="24" borderId="20" xfId="0" applyFont="1" applyFill="1" applyBorder="1" applyAlignment="1">
      <alignment horizontal="center" vertical="center" wrapText="1"/>
    </xf>
    <xf numFmtId="0" fontId="0" fillId="0" borderId="3"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63" fillId="0" borderId="21" xfId="0" applyFont="1" applyBorder="1" applyAlignment="1">
      <alignment horizontal="center" wrapText="1"/>
    </xf>
    <xf numFmtId="0" fontId="24" fillId="0" borderId="0" xfId="0" applyFont="1" applyAlignment="1">
      <alignment horizontal="center" vertical="center" wrapText="1"/>
    </xf>
    <xf numFmtId="0" fontId="64" fillId="0" borderId="18" xfId="0" applyFont="1" applyBorder="1" applyAlignment="1">
      <alignment horizontal="center" wrapText="1"/>
    </xf>
    <xf numFmtId="0" fontId="52" fillId="0" borderId="21" xfId="0" applyFont="1" applyBorder="1" applyAlignment="1">
      <alignment wrapText="1"/>
    </xf>
    <xf numFmtId="0" fontId="52" fillId="0" borderId="21" xfId="0" applyFont="1" applyBorder="1" applyAlignment="1">
      <alignment horizontal="center" wrapText="1"/>
    </xf>
    <xf numFmtId="0" fontId="11" fillId="0" borderId="0" xfId="0" applyFont="1"/>
    <xf numFmtId="0" fontId="12" fillId="0" borderId="4" xfId="0" applyFont="1" applyBorder="1" applyAlignment="1">
      <alignment horizontal="center"/>
    </xf>
    <xf numFmtId="0" fontId="12" fillId="0" borderId="0" xfId="0" applyFont="1" applyAlignment="1">
      <alignment horizontal="center"/>
    </xf>
    <xf numFmtId="0" fontId="12" fillId="0" borderId="37" xfId="0" applyFont="1" applyBorder="1" applyAlignment="1">
      <alignment horizontal="center"/>
    </xf>
    <xf numFmtId="0" fontId="12" fillId="0" borderId="33" xfId="0" applyFont="1" applyBorder="1" applyAlignment="1">
      <alignment horizontal="center"/>
    </xf>
    <xf numFmtId="0" fontId="12" fillId="0" borderId="5" xfId="0" applyFont="1" applyBorder="1" applyAlignment="1">
      <alignment horizontal="center"/>
    </xf>
    <xf numFmtId="0" fontId="12" fillId="0" borderId="0" xfId="0" applyFont="1"/>
    <xf numFmtId="0" fontId="12" fillId="0" borderId="21" xfId="0" applyFont="1" applyBorder="1" applyAlignment="1">
      <alignment horizontal="center" wrapText="1"/>
    </xf>
    <xf numFmtId="0" fontId="12" fillId="0" borderId="20" xfId="0" applyFont="1" applyBorder="1" applyAlignment="1">
      <alignment horizontal="center" wrapText="1"/>
    </xf>
    <xf numFmtId="0" fontId="12" fillId="0" borderId="38" xfId="0" applyFont="1" applyBorder="1" applyAlignment="1">
      <alignment horizontal="center" wrapText="1"/>
    </xf>
    <xf numFmtId="0" fontId="12" fillId="0" borderId="34" xfId="0" applyFont="1" applyBorder="1" applyAlignment="1">
      <alignment horizontal="center" wrapText="1"/>
    </xf>
    <xf numFmtId="0" fontId="11" fillId="0" borderId="16" xfId="0" applyFont="1" applyBorder="1" applyAlignment="1">
      <alignment wrapText="1"/>
    </xf>
    <xf numFmtId="0" fontId="12" fillId="0" borderId="39" xfId="0" applyFont="1" applyBorder="1" applyAlignment="1">
      <alignment wrapText="1"/>
    </xf>
    <xf numFmtId="0" fontId="12" fillId="0" borderId="5" xfId="0" applyFont="1" applyBorder="1" applyAlignment="1">
      <alignment wrapText="1"/>
    </xf>
    <xf numFmtId="0" fontId="66" fillId="0" borderId="35" xfId="0" quotePrefix="1" applyFont="1" applyBorder="1" applyAlignment="1">
      <alignment wrapText="1"/>
    </xf>
    <xf numFmtId="0" fontId="11" fillId="0" borderId="5" xfId="0" applyFont="1" applyBorder="1" applyAlignment="1">
      <alignment wrapText="1"/>
    </xf>
    <xf numFmtId="0" fontId="11" fillId="0" borderId="17" xfId="0" applyFont="1" applyBorder="1" applyAlignment="1">
      <alignment wrapText="1"/>
    </xf>
    <xf numFmtId="0" fontId="11" fillId="0" borderId="32" xfId="0" applyFont="1" applyBorder="1" applyAlignment="1">
      <alignment wrapText="1"/>
    </xf>
    <xf numFmtId="0" fontId="11" fillId="0" borderId="3" xfId="0" applyFont="1" applyBorder="1" applyAlignment="1">
      <alignment wrapText="1"/>
    </xf>
    <xf numFmtId="0" fontId="12" fillId="0" borderId="52" xfId="0" applyFont="1" applyBorder="1" applyAlignment="1">
      <alignment horizontal="left" wrapText="1"/>
    </xf>
    <xf numFmtId="0" fontId="12" fillId="0" borderId="22" xfId="0" applyFont="1" applyBorder="1" applyAlignment="1">
      <alignment wrapText="1"/>
    </xf>
    <xf numFmtId="0" fontId="12" fillId="0" borderId="22" xfId="0" applyFont="1" applyBorder="1" applyAlignment="1">
      <alignment horizontal="center" wrapText="1"/>
    </xf>
    <xf numFmtId="0" fontId="12" fillId="0" borderId="0" xfId="0" applyFont="1" applyAlignment="1">
      <alignment wrapText="1"/>
    </xf>
    <xf numFmtId="0" fontId="11" fillId="0" borderId="19" xfId="0" applyFont="1" applyBorder="1" applyAlignment="1">
      <alignment vertical="center" wrapText="1"/>
    </xf>
    <xf numFmtId="0" fontId="11" fillId="0" borderId="22" xfId="0" applyFont="1" applyBorder="1" applyAlignment="1">
      <alignment vertical="center" wrapText="1"/>
    </xf>
    <xf numFmtId="0" fontId="11" fillId="0" borderId="41" xfId="0" applyFont="1" applyBorder="1" applyAlignment="1">
      <alignment vertical="top" wrapText="1"/>
    </xf>
    <xf numFmtId="0" fontId="11" fillId="0" borderId="19" xfId="0" applyFont="1" applyBorder="1" applyAlignment="1">
      <alignment horizontal="left" vertical="top" wrapText="1"/>
    </xf>
    <xf numFmtId="0" fontId="11" fillId="0" borderId="0" xfId="0" applyFont="1" applyAlignment="1">
      <alignment horizontal="left" vertical="top" wrapText="1"/>
    </xf>
    <xf numFmtId="0" fontId="11" fillId="0" borderId="41" xfId="0" applyFont="1" applyBorder="1" applyAlignment="1">
      <alignment horizontal="left" vertical="center" wrapText="1"/>
    </xf>
    <xf numFmtId="0" fontId="11" fillId="0" borderId="21" xfId="0" applyFont="1" applyBorder="1" applyAlignment="1">
      <alignment horizontal="left" vertical="top" wrapText="1"/>
    </xf>
    <xf numFmtId="0" fontId="11" fillId="0" borderId="30" xfId="0" applyFont="1" applyBorder="1" applyAlignment="1">
      <alignment vertical="center" wrapText="1"/>
    </xf>
    <xf numFmtId="0" fontId="11" fillId="0" borderId="29" xfId="0" applyFont="1" applyBorder="1" applyAlignment="1">
      <alignment horizontal="left" vertical="top" wrapText="1"/>
    </xf>
    <xf numFmtId="0" fontId="11" fillId="0" borderId="30" xfId="0" applyFont="1" applyBorder="1" applyAlignment="1">
      <alignment horizontal="left" vertical="top" wrapText="1"/>
    </xf>
    <xf numFmtId="0" fontId="11" fillId="0" borderId="21" xfId="0" applyFont="1" applyBorder="1" applyAlignment="1">
      <alignment vertical="center" wrapText="1"/>
    </xf>
    <xf numFmtId="0" fontId="11" fillId="0" borderId="42" xfId="0" applyFont="1" applyBorder="1" applyAlignment="1">
      <alignment vertical="top" wrapText="1"/>
    </xf>
    <xf numFmtId="0" fontId="12" fillId="0" borderId="21" xfId="0" applyFont="1" applyBorder="1" applyAlignment="1">
      <alignment vertical="top" wrapText="1"/>
    </xf>
    <xf numFmtId="0" fontId="11" fillId="0" borderId="1" xfId="0" applyFont="1" applyBorder="1" applyAlignment="1">
      <alignment vertical="center" wrapText="1"/>
    </xf>
    <xf numFmtId="0" fontId="12" fillId="0" borderId="2" xfId="0" applyFont="1" applyBorder="1" applyAlignment="1">
      <alignment horizontal="left" vertical="center" wrapText="1"/>
    </xf>
    <xf numFmtId="0" fontId="12" fillId="0" borderId="21" xfId="0" applyFont="1" applyBorder="1" applyAlignment="1">
      <alignment horizontal="left" vertical="center" wrapText="1"/>
    </xf>
    <xf numFmtId="0" fontId="12" fillId="0" borderId="0" xfId="0" applyFont="1" applyAlignment="1">
      <alignment vertical="top" wrapText="1"/>
    </xf>
    <xf numFmtId="0" fontId="11" fillId="0" borderId="53" xfId="0" applyFont="1" applyBorder="1" applyAlignment="1">
      <alignment horizontal="left" vertical="center" wrapText="1"/>
    </xf>
    <xf numFmtId="0" fontId="11" fillId="0" borderId="53" xfId="0" applyFont="1" applyBorder="1" applyAlignment="1">
      <alignment wrapText="1"/>
    </xf>
    <xf numFmtId="0" fontId="21" fillId="0" borderId="21" xfId="0" applyFont="1" applyBorder="1" applyAlignment="1">
      <alignment vertical="top" wrapText="1"/>
    </xf>
    <xf numFmtId="0" fontId="11" fillId="0" borderId="30" xfId="0" applyFont="1" applyBorder="1" applyAlignment="1">
      <alignment vertical="top" wrapText="1"/>
    </xf>
    <xf numFmtId="0" fontId="12" fillId="0" borderId="40" xfId="0" applyFont="1" applyBorder="1" applyAlignment="1">
      <alignment horizontal="center" wrapText="1"/>
    </xf>
    <xf numFmtId="0" fontId="12" fillId="0" borderId="30" xfId="0" applyFont="1" applyBorder="1" applyAlignment="1">
      <alignment horizontal="center" wrapText="1"/>
    </xf>
    <xf numFmtId="0" fontId="12" fillId="0" borderId="41" xfId="0" applyFont="1" applyBorder="1" applyAlignment="1">
      <alignment horizontal="center" wrapText="1"/>
    </xf>
    <xf numFmtId="0" fontId="12" fillId="0" borderId="13" xfId="0" applyFont="1" applyBorder="1" applyAlignment="1">
      <alignment horizontal="center" wrapText="1"/>
    </xf>
    <xf numFmtId="0" fontId="12" fillId="0" borderId="29" xfId="0" applyFont="1" applyBorder="1" applyAlignment="1">
      <alignment horizontal="center" wrapText="1"/>
    </xf>
    <xf numFmtId="0" fontId="12" fillId="0" borderId="18" xfId="0" applyFont="1" applyBorder="1" applyAlignment="1">
      <alignment horizontal="center" wrapText="1"/>
    </xf>
    <xf numFmtId="0" fontId="24" fillId="0" borderId="37" xfId="0" applyFont="1" applyBorder="1"/>
    <xf numFmtId="0" fontId="24" fillId="0" borderId="33" xfId="0" applyFont="1" applyBorder="1"/>
    <xf numFmtId="0" fontId="11" fillId="0" borderId="6" xfId="0" applyFont="1" applyBorder="1" applyAlignment="1">
      <alignment wrapText="1"/>
    </xf>
    <xf numFmtId="0" fontId="12" fillId="0" borderId="22" xfId="0" applyFont="1" applyBorder="1" applyAlignment="1">
      <alignment horizontal="left" vertical="center" wrapText="1"/>
    </xf>
    <xf numFmtId="0" fontId="11" fillId="0" borderId="54" xfId="0" applyFont="1" applyBorder="1" applyAlignment="1">
      <alignment wrapText="1"/>
    </xf>
    <xf numFmtId="0" fontId="11" fillId="0" borderId="54" xfId="0" applyFont="1" applyBorder="1" applyAlignment="1">
      <alignment vertical="top" wrapText="1"/>
    </xf>
    <xf numFmtId="0" fontId="12" fillId="0" borderId="1" xfId="0" applyFont="1" applyBorder="1" applyAlignment="1">
      <alignment horizontal="center" wrapText="1"/>
    </xf>
    <xf numFmtId="0" fontId="24" fillId="0" borderId="4" xfId="0" applyFont="1" applyBorder="1"/>
    <xf numFmtId="0" fontId="12" fillId="0" borderId="6" xfId="0" applyFont="1" applyBorder="1" applyAlignment="1">
      <alignment wrapText="1"/>
    </xf>
    <xf numFmtId="0" fontId="12" fillId="0" borderId="1" xfId="0" applyFont="1" applyBorder="1" applyAlignment="1">
      <alignment wrapText="1"/>
    </xf>
    <xf numFmtId="0" fontId="21" fillId="0" borderId="22" xfId="0" applyFont="1" applyBorder="1" applyAlignment="1">
      <alignment vertical="center" wrapText="1"/>
    </xf>
    <xf numFmtId="0" fontId="11" fillId="0" borderId="55" xfId="0" applyFont="1" applyBorder="1" applyAlignment="1">
      <alignment wrapText="1"/>
    </xf>
    <xf numFmtId="0" fontId="21" fillId="0" borderId="22" xfId="0" applyFont="1" applyBorder="1" applyAlignment="1">
      <alignment vertical="top" wrapText="1"/>
    </xf>
    <xf numFmtId="0" fontId="0" fillId="0" borderId="0" xfId="0" applyAlignment="1">
      <alignment horizontal="center" wrapText="1"/>
    </xf>
    <xf numFmtId="0" fontId="3" fillId="16" borderId="0" xfId="0" applyFont="1" applyFill="1" applyAlignment="1">
      <alignment horizontal="center" vertical="center"/>
    </xf>
    <xf numFmtId="0" fontId="0" fillId="16" borderId="0" xfId="0" applyFill="1" applyAlignment="1">
      <alignment horizontal="left" vertical="center" wrapText="1"/>
    </xf>
    <xf numFmtId="0" fontId="3" fillId="18" borderId="0" xfId="0" applyFont="1" applyFill="1" applyAlignment="1">
      <alignment horizontal="center" vertical="center"/>
    </xf>
    <xf numFmtId="0" fontId="0" fillId="18" borderId="0" xfId="0" applyFill="1" applyAlignment="1">
      <alignment horizontal="left" vertical="center" wrapText="1"/>
    </xf>
    <xf numFmtId="0" fontId="3" fillId="19" borderId="0" xfId="0" applyFont="1" applyFill="1" applyAlignment="1">
      <alignment horizontal="center" vertical="center"/>
    </xf>
    <xf numFmtId="0" fontId="0" fillId="19" borderId="0" xfId="0" applyFill="1" applyAlignment="1">
      <alignment horizontal="left" vertical="center" wrapText="1"/>
    </xf>
    <xf numFmtId="0" fontId="23" fillId="0" borderId="22" xfId="0" applyFont="1" applyBorder="1" applyAlignment="1">
      <alignment wrapText="1"/>
    </xf>
    <xf numFmtId="0" fontId="68" fillId="0" borderId="0" xfId="0" applyFont="1" applyAlignment="1">
      <alignment wrapText="1"/>
    </xf>
    <xf numFmtId="0" fontId="68" fillId="0" borderId="4" xfId="0" applyFont="1" applyBorder="1" applyAlignment="1">
      <alignment horizontal="center" wrapText="1"/>
    </xf>
    <xf numFmtId="0" fontId="69" fillId="0" borderId="1" xfId="0" applyFont="1" applyBorder="1" applyAlignment="1">
      <alignment horizontal="left" wrapText="1"/>
    </xf>
    <xf numFmtId="0" fontId="68" fillId="0" borderId="41" xfId="0" applyFont="1" applyBorder="1" applyAlignment="1">
      <alignment horizontal="center" wrapText="1"/>
    </xf>
    <xf numFmtId="0" fontId="68" fillId="0" borderId="13" xfId="0" applyFont="1" applyBorder="1" applyAlignment="1">
      <alignment horizontal="center" wrapText="1"/>
    </xf>
    <xf numFmtId="0" fontId="21" fillId="0" borderId="22" xfId="0" applyFont="1" applyBorder="1" applyAlignment="1">
      <alignment wrapText="1"/>
    </xf>
    <xf numFmtId="0" fontId="52" fillId="0" borderId="30" xfId="0" applyFont="1" applyBorder="1" applyAlignment="1">
      <alignment vertical="center" wrapText="1"/>
    </xf>
    <xf numFmtId="0" fontId="52" fillId="0" borderId="41" xfId="0" applyFont="1" applyBorder="1" applyAlignment="1">
      <alignment vertical="center" wrapText="1"/>
    </xf>
    <xf numFmtId="0" fontId="52" fillId="0" borderId="29" xfId="0" applyFont="1" applyBorder="1" applyAlignment="1">
      <alignment vertical="center" wrapText="1"/>
    </xf>
    <xf numFmtId="0" fontId="52" fillId="0" borderId="29" xfId="0" quotePrefix="1" applyFont="1" applyBorder="1" applyAlignment="1">
      <alignment vertical="center" wrapText="1"/>
    </xf>
    <xf numFmtId="0" fontId="68" fillId="0" borderId="29" xfId="0" applyFont="1" applyBorder="1" applyAlignment="1">
      <alignment horizontal="center" wrapText="1"/>
    </xf>
    <xf numFmtId="0" fontId="61" fillId="0" borderId="29" xfId="0" applyFont="1" applyBorder="1" applyAlignment="1">
      <alignment vertical="center" wrapText="1"/>
    </xf>
    <xf numFmtId="0" fontId="52" fillId="0" borderId="1" xfId="0" applyFont="1" applyBorder="1" applyAlignment="1">
      <alignment vertical="center" wrapText="1"/>
    </xf>
    <xf numFmtId="0" fontId="52" fillId="0" borderId="40" xfId="0" applyFont="1" applyBorder="1" applyAlignment="1">
      <alignment vertical="center" wrapText="1"/>
    </xf>
    <xf numFmtId="0" fontId="23" fillId="0" borderId="21" xfId="0" applyFont="1" applyBorder="1" applyAlignment="1" applyProtection="1">
      <alignment horizontal="center" vertical="center" wrapText="1"/>
      <protection locked="0"/>
    </xf>
    <xf numFmtId="0" fontId="68" fillId="0" borderId="19" xfId="0" applyFont="1" applyBorder="1" applyAlignment="1">
      <alignment horizontal="left" vertical="center" wrapText="1"/>
    </xf>
    <xf numFmtId="0" fontId="0" fillId="47" borderId="21" xfId="0" applyFill="1" applyBorder="1" applyAlignment="1" applyProtection="1">
      <alignment horizontal="center" vertical="center" wrapText="1"/>
      <protection locked="0"/>
    </xf>
    <xf numFmtId="0" fontId="0" fillId="47" borderId="21" xfId="0" applyFill="1" applyBorder="1" applyAlignment="1">
      <alignment horizontal="center" vertical="center" wrapText="1"/>
    </xf>
    <xf numFmtId="0" fontId="0" fillId="0" borderId="7" xfId="0" applyBorder="1" applyAlignment="1" applyProtection="1">
      <alignment horizontal="center" vertical="center"/>
      <protection locked="0"/>
    </xf>
    <xf numFmtId="0" fontId="3" fillId="18" borderId="7" xfId="0" applyFont="1" applyFill="1" applyBorder="1" applyAlignment="1">
      <alignment horizontal="center" vertical="center"/>
    </xf>
    <xf numFmtId="0" fontId="0" fillId="18" borderId="7" xfId="0" applyFill="1" applyBorder="1"/>
    <xf numFmtId="0" fontId="0" fillId="0" borderId="7" xfId="0" applyBorder="1"/>
    <xf numFmtId="0" fontId="0" fillId="32" borderId="16" xfId="0" applyFill="1" applyBorder="1" applyAlignment="1">
      <alignment horizontal="center" vertical="center"/>
    </xf>
    <xf numFmtId="0" fontId="6" fillId="0" borderId="16" xfId="0" applyFont="1" applyBorder="1" applyAlignment="1">
      <alignment horizontal="center" vertical="center"/>
    </xf>
    <xf numFmtId="0" fontId="6" fillId="0" borderId="6" xfId="0" applyFont="1" applyBorder="1" applyAlignment="1" applyProtection="1">
      <alignment horizontal="center" vertical="center"/>
      <protection locked="0"/>
    </xf>
    <xf numFmtId="0" fontId="0" fillId="24" borderId="16" xfId="0" applyFill="1" applyBorder="1" applyAlignment="1">
      <alignment horizontal="center" vertical="center"/>
    </xf>
    <xf numFmtId="0" fontId="2" fillId="20" borderId="7" xfId="0" applyFont="1" applyFill="1" applyBorder="1" applyAlignment="1">
      <alignment horizontal="center" vertical="center"/>
    </xf>
    <xf numFmtId="0" fontId="22" fillId="20" borderId="7" xfId="0" applyFont="1" applyFill="1" applyBorder="1" applyAlignment="1">
      <alignment horizontal="left" vertical="center"/>
    </xf>
    <xf numFmtId="0" fontId="6" fillId="13" borderId="16" xfId="0" applyFont="1" applyFill="1" applyBorder="1"/>
    <xf numFmtId="0" fontId="6" fillId="0" borderId="16" xfId="0" applyFont="1" applyBorder="1" applyAlignment="1">
      <alignment wrapText="1"/>
    </xf>
    <xf numFmtId="0" fontId="6" fillId="0" borderId="16" xfId="0" applyFont="1" applyBorder="1"/>
    <xf numFmtId="0" fontId="3" fillId="0" borderId="16" xfId="0" applyFont="1" applyBorder="1"/>
    <xf numFmtId="0" fontId="6" fillId="0" borderId="22" xfId="0" applyFont="1" applyBorder="1" applyAlignment="1" applyProtection="1">
      <alignment horizontal="center" vertical="center" wrapText="1"/>
      <protection locked="0"/>
    </xf>
    <xf numFmtId="0" fontId="6" fillId="0" borderId="56" xfId="0" applyFont="1" applyBorder="1" applyAlignment="1" applyProtection="1">
      <alignment horizontal="center" vertical="center"/>
      <protection locked="0"/>
    </xf>
    <xf numFmtId="0" fontId="6" fillId="24" borderId="22" xfId="0" applyFont="1" applyFill="1" applyBorder="1" applyAlignment="1">
      <alignment horizontal="center" vertical="center"/>
    </xf>
    <xf numFmtId="0" fontId="6" fillId="24" borderId="22" xfId="0" applyFont="1" applyFill="1" applyBorder="1" applyAlignment="1">
      <alignment horizontal="center" vertical="center" wrapText="1"/>
    </xf>
    <xf numFmtId="0" fontId="6" fillId="0" borderId="6" xfId="0" applyFont="1" applyBorder="1"/>
    <xf numFmtId="0" fontId="6" fillId="0" borderId="22" xfId="0" applyFont="1" applyBorder="1"/>
    <xf numFmtId="0" fontId="0" fillId="34" borderId="16" xfId="0" applyFill="1" applyBorder="1" applyAlignment="1">
      <alignment horizontal="center" vertical="center"/>
    </xf>
    <xf numFmtId="0" fontId="60" fillId="35" borderId="16" xfId="0" applyFont="1" applyFill="1" applyBorder="1" applyAlignment="1">
      <alignment horizontal="center" vertical="center"/>
    </xf>
    <xf numFmtId="0" fontId="23" fillId="0" borderId="16" xfId="0" applyFont="1" applyBorder="1" applyAlignment="1" applyProtection="1">
      <alignment horizontal="center" vertical="center" wrapText="1"/>
      <protection locked="0"/>
    </xf>
    <xf numFmtId="0" fontId="61" fillId="0" borderId="21" xfId="0" applyFont="1" applyBorder="1" applyAlignment="1" applyProtection="1">
      <alignment horizontal="center" vertical="center" wrapText="1"/>
      <protection locked="0"/>
    </xf>
    <xf numFmtId="0" fontId="61" fillId="0" borderId="16" xfId="0" applyFont="1" applyBorder="1" applyAlignment="1" applyProtection="1">
      <alignment horizontal="center" vertical="center" wrapText="1"/>
      <protection locked="0"/>
    </xf>
    <xf numFmtId="0" fontId="60" fillId="36" borderId="16" xfId="0" applyFont="1" applyFill="1" applyBorder="1" applyAlignment="1">
      <alignment horizontal="center" vertical="center"/>
    </xf>
    <xf numFmtId="0" fontId="21" fillId="0" borderId="16" xfId="0" applyFont="1" applyBorder="1" applyAlignment="1" applyProtection="1">
      <alignment horizontal="center" vertical="center" wrapText="1"/>
      <protection locked="0"/>
    </xf>
    <xf numFmtId="0" fontId="3" fillId="19" borderId="7" xfId="0" applyFont="1" applyFill="1" applyBorder="1" applyAlignment="1">
      <alignment horizontal="center" vertical="center"/>
    </xf>
    <xf numFmtId="0" fontId="0" fillId="19" borderId="7" xfId="0" applyFill="1" applyBorder="1"/>
    <xf numFmtId="0" fontId="52" fillId="0" borderId="16" xfId="0" applyFont="1" applyBorder="1" applyAlignment="1" applyProtection="1">
      <alignment horizontal="center" vertical="center" wrapText="1"/>
      <protection locked="0"/>
    </xf>
    <xf numFmtId="0" fontId="21" fillId="0" borderId="16" xfId="0" quotePrefix="1" applyFont="1" applyBorder="1" applyAlignment="1" applyProtection="1">
      <alignment horizontal="center" vertical="center" wrapText="1"/>
      <protection locked="0"/>
    </xf>
    <xf numFmtId="0" fontId="3" fillId="16" borderId="7" xfId="0" applyFont="1" applyFill="1" applyBorder="1" applyAlignment="1">
      <alignment horizontal="center" vertical="center"/>
    </xf>
    <xf numFmtId="0" fontId="0" fillId="16" borderId="7" xfId="0" applyFill="1" applyBorder="1"/>
    <xf numFmtId="0" fontId="21" fillId="0" borderId="7" xfId="0" applyFont="1" applyBorder="1" applyAlignment="1">
      <alignment horizontal="center" wrapText="1"/>
    </xf>
    <xf numFmtId="0" fontId="71" fillId="0" borderId="7" xfId="0" applyFont="1" applyBorder="1"/>
    <xf numFmtId="0" fontId="24" fillId="0" borderId="7" xfId="0" applyFont="1" applyBorder="1" applyAlignment="1">
      <alignment horizontal="center" wrapText="1"/>
    </xf>
    <xf numFmtId="0" fontId="3" fillId="0" borderId="21" xfId="0" applyFont="1" applyBorder="1" applyAlignment="1">
      <alignment horizontal="center" vertical="center"/>
    </xf>
    <xf numFmtId="0" fontId="3" fillId="31" borderId="16" xfId="0" applyFont="1" applyFill="1" applyBorder="1" applyAlignment="1">
      <alignment horizontal="center" vertical="center"/>
    </xf>
    <xf numFmtId="0" fontId="0" fillId="31" borderId="16" xfId="0" applyFill="1" applyBorder="1" applyAlignment="1">
      <alignment horizontal="center" vertical="center"/>
    </xf>
    <xf numFmtId="0" fontId="6" fillId="13" borderId="17" xfId="0" applyFont="1" applyFill="1" applyBorder="1" applyAlignment="1">
      <alignment horizontal="center" vertical="center"/>
    </xf>
    <xf numFmtId="0" fontId="6" fillId="24" borderId="16" xfId="0" applyFont="1" applyFill="1" applyBorder="1" applyAlignment="1">
      <alignment horizontal="center" vertical="center" wrapText="1"/>
    </xf>
    <xf numFmtId="0" fontId="6" fillId="24" borderId="16" xfId="0" applyFont="1" applyFill="1" applyBorder="1" applyAlignment="1">
      <alignment horizontal="center" vertical="center"/>
    </xf>
    <xf numFmtId="0" fontId="6" fillId="24" borderId="6" xfId="0" applyFont="1" applyFill="1" applyBorder="1" applyAlignment="1">
      <alignment horizontal="center" vertical="center"/>
    </xf>
    <xf numFmtId="0" fontId="6" fillId="13" borderId="16" xfId="0" applyFont="1" applyFill="1" applyBorder="1" applyAlignment="1">
      <alignment horizontal="center" vertical="center"/>
    </xf>
    <xf numFmtId="0" fontId="3" fillId="0" borderId="18" xfId="0" applyFont="1" applyBorder="1"/>
    <xf numFmtId="0" fontId="3" fillId="24" borderId="16" xfId="0" applyFont="1" applyFill="1" applyBorder="1" applyAlignment="1">
      <alignment horizontal="center" vertical="center"/>
    </xf>
    <xf numFmtId="0" fontId="3" fillId="24" borderId="16" xfId="0" applyFont="1" applyFill="1" applyBorder="1" applyAlignment="1">
      <alignment horizontal="center" vertical="center" wrapText="1"/>
    </xf>
    <xf numFmtId="0" fontId="3" fillId="24" borderId="17" xfId="0" applyFont="1" applyFill="1" applyBorder="1" applyAlignment="1">
      <alignment horizontal="center" vertical="center"/>
    </xf>
    <xf numFmtId="0" fontId="3" fillId="0" borderId="16" xfId="0" applyFont="1" applyBorder="1" applyAlignment="1">
      <alignment horizontal="center" vertical="center"/>
    </xf>
    <xf numFmtId="0" fontId="7" fillId="0" borderId="16" xfId="0" applyFont="1" applyBorder="1" applyAlignment="1">
      <alignment horizontal="center" vertical="center"/>
    </xf>
    <xf numFmtId="0" fontId="3" fillId="0" borderId="17" xfId="0" applyFont="1" applyBorder="1" applyAlignment="1">
      <alignment horizontal="center" vertical="center"/>
    </xf>
    <xf numFmtId="0" fontId="61" fillId="24" borderId="16" xfId="0" applyFont="1" applyFill="1" applyBorder="1" applyAlignment="1">
      <alignment horizontal="center" vertical="center"/>
    </xf>
    <xf numFmtId="0" fontId="62" fillId="0" borderId="16" xfId="0" applyFont="1" applyBorder="1" applyAlignment="1">
      <alignment horizontal="center" vertical="center"/>
    </xf>
    <xf numFmtId="0" fontId="3" fillId="0" borderId="17" xfId="0" applyFont="1" applyBorder="1"/>
    <xf numFmtId="0" fontId="2" fillId="0" borderId="5" xfId="0" applyFont="1" applyBorder="1" applyProtection="1">
      <protection locked="0"/>
    </xf>
    <xf numFmtId="0" fontId="0" fillId="0" borderId="19" xfId="0"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0" fontId="21" fillId="0" borderId="19" xfId="0" applyFont="1" applyBorder="1" applyAlignment="1" applyProtection="1">
      <alignment horizontal="center" vertical="center"/>
      <protection locked="0"/>
    </xf>
    <xf numFmtId="0" fontId="6" fillId="24" borderId="20" xfId="0" applyFont="1" applyFill="1" applyBorder="1" applyAlignment="1">
      <alignment horizontal="center" vertical="center"/>
    </xf>
    <xf numFmtId="0" fontId="6" fillId="24" borderId="4" xfId="0" applyFont="1" applyFill="1" applyBorder="1" applyAlignment="1">
      <alignment horizontal="center" vertical="center"/>
    </xf>
    <xf numFmtId="0" fontId="0" fillId="0" borderId="19" xfId="0" applyBorder="1"/>
    <xf numFmtId="0" fontId="3" fillId="31" borderId="18" xfId="0" applyFont="1" applyFill="1" applyBorder="1" applyAlignment="1">
      <alignment horizontal="center" vertical="center"/>
    </xf>
    <xf numFmtId="0" fontId="0" fillId="31" borderId="18" xfId="0" applyFill="1" applyBorder="1" applyAlignment="1">
      <alignment horizontal="center" vertical="center"/>
    </xf>
    <xf numFmtId="0" fontId="60" fillId="36" borderId="18" xfId="0" applyFont="1" applyFill="1" applyBorder="1" applyAlignment="1">
      <alignment horizontal="center" vertical="center"/>
    </xf>
    <xf numFmtId="0" fontId="0" fillId="24" borderId="18" xfId="0" applyFill="1" applyBorder="1" applyAlignment="1">
      <alignment horizontal="center" vertical="center"/>
    </xf>
    <xf numFmtId="0" fontId="6" fillId="24" borderId="18" xfId="0" applyFont="1" applyFill="1" applyBorder="1" applyAlignment="1">
      <alignment horizontal="center" vertical="center" wrapText="1"/>
    </xf>
    <xf numFmtId="0" fontId="6" fillId="24" borderId="18" xfId="0" applyFont="1" applyFill="1" applyBorder="1" applyAlignment="1">
      <alignment horizontal="center" vertical="center"/>
    </xf>
    <xf numFmtId="0" fontId="6" fillId="24" borderId="1" xfId="0" applyFont="1" applyFill="1" applyBorder="1" applyAlignment="1">
      <alignment horizontal="center" vertical="center"/>
    </xf>
    <xf numFmtId="0" fontId="0" fillId="24" borderId="3" xfId="0" applyFill="1" applyBorder="1" applyAlignment="1">
      <alignment horizontal="center" vertical="center" wrapText="1"/>
    </xf>
    <xf numFmtId="0" fontId="0" fillId="24" borderId="17" xfId="0" applyFill="1" applyBorder="1" applyAlignment="1">
      <alignment horizontal="center" vertical="center" wrapText="1"/>
    </xf>
    <xf numFmtId="0" fontId="58" fillId="24" borderId="18" xfId="0" applyFont="1" applyFill="1" applyBorder="1" applyAlignment="1">
      <alignment horizontal="center" vertical="center" wrapText="1"/>
    </xf>
    <xf numFmtId="0" fontId="3" fillId="38" borderId="16" xfId="0" applyFont="1" applyFill="1" applyBorder="1" applyAlignment="1" applyProtection="1">
      <alignment horizontal="center" vertical="center"/>
      <protection locked="0"/>
    </xf>
    <xf numFmtId="0" fontId="0" fillId="38" borderId="16" xfId="0" applyFill="1" applyBorder="1" applyAlignment="1" applyProtection="1">
      <alignment horizontal="center" vertical="center"/>
      <protection locked="0"/>
    </xf>
    <xf numFmtId="0" fontId="3" fillId="38" borderId="18" xfId="0" applyFont="1" applyFill="1" applyBorder="1" applyAlignment="1" applyProtection="1">
      <alignment horizontal="center" vertical="center"/>
      <protection locked="0"/>
    </xf>
    <xf numFmtId="0" fontId="0" fillId="38" borderId="18" xfId="0" applyFill="1" applyBorder="1" applyAlignment="1" applyProtection="1">
      <alignment horizontal="center" vertical="center"/>
      <protection locked="0"/>
    </xf>
    <xf numFmtId="0" fontId="0" fillId="32" borderId="18" xfId="0" applyFill="1" applyBorder="1" applyAlignment="1">
      <alignment horizontal="center" vertical="center"/>
    </xf>
    <xf numFmtId="0" fontId="0" fillId="0" borderId="2" xfId="0" applyBorder="1"/>
    <xf numFmtId="0" fontId="58" fillId="24" borderId="16" xfId="0" applyFont="1" applyFill="1" applyBorder="1" applyAlignment="1">
      <alignment horizontal="center" vertical="center" wrapText="1"/>
    </xf>
    <xf numFmtId="0" fontId="0" fillId="34" borderId="18" xfId="0" applyFill="1" applyBorder="1" applyAlignment="1">
      <alignment horizontal="center" vertical="center"/>
    </xf>
    <xf numFmtId="0" fontId="3" fillId="37" borderId="16" xfId="0" applyFont="1" applyFill="1" applyBorder="1" applyAlignment="1" applyProtection="1">
      <alignment horizontal="center" vertical="center"/>
      <protection locked="0"/>
    </xf>
    <xf numFmtId="0" fontId="0" fillId="37" borderId="16" xfId="0" applyFill="1" applyBorder="1" applyAlignment="1" applyProtection="1">
      <alignment horizontal="center" vertical="center"/>
      <protection locked="0"/>
    </xf>
    <xf numFmtId="0" fontId="32" fillId="0" borderId="19"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pplyProtection="1">
      <alignment horizontal="center" vertical="center"/>
      <protection locked="0"/>
    </xf>
    <xf numFmtId="0" fontId="58" fillId="24" borderId="18" xfId="0" applyFont="1" applyFill="1" applyBorder="1" applyAlignment="1">
      <alignment horizontal="center" vertical="top" wrapText="1"/>
    </xf>
    <xf numFmtId="0" fontId="0" fillId="0" borderId="19" xfId="0" applyBorder="1" applyAlignment="1">
      <alignment horizontal="center" vertical="center" wrapText="1"/>
    </xf>
    <xf numFmtId="0" fontId="60" fillId="35" borderId="18" xfId="0" applyFont="1" applyFill="1" applyBorder="1" applyAlignment="1">
      <alignment horizontal="center" vertical="center"/>
    </xf>
    <xf numFmtId="0" fontId="0" fillId="24" borderId="18" xfId="0" applyFill="1" applyBorder="1" applyAlignment="1" applyProtection="1">
      <alignment horizontal="center" vertical="center"/>
      <protection locked="0"/>
    </xf>
    <xf numFmtId="0" fontId="0" fillId="24" borderId="18" xfId="0" applyFill="1" applyBorder="1" applyAlignment="1" applyProtection="1">
      <alignment horizontal="center" vertical="center" wrapText="1"/>
      <protection locked="0"/>
    </xf>
    <xf numFmtId="0" fontId="32" fillId="0" borderId="19" xfId="0" applyFont="1" applyBorder="1" applyAlignment="1">
      <alignment horizontal="center" vertical="center"/>
    </xf>
    <xf numFmtId="0" fontId="60" fillId="36" borderId="17" xfId="0" applyFont="1" applyFill="1" applyBorder="1" applyAlignment="1">
      <alignment horizontal="center" vertical="center"/>
    </xf>
    <xf numFmtId="0" fontId="0" fillId="24" borderId="17" xfId="0" applyFill="1" applyBorder="1" applyAlignment="1">
      <alignment horizontal="center" vertical="center"/>
    </xf>
    <xf numFmtId="0" fontId="6" fillId="0" borderId="17" xfId="0" applyFont="1" applyBorder="1" applyAlignment="1" applyProtection="1">
      <alignment horizontal="center" vertical="center" wrapText="1"/>
      <protection locked="0"/>
    </xf>
    <xf numFmtId="0" fontId="6" fillId="24" borderId="17" xfId="0" applyFont="1" applyFill="1" applyBorder="1" applyAlignment="1">
      <alignment horizontal="center" vertical="center"/>
    </xf>
    <xf numFmtId="0" fontId="6" fillId="0" borderId="4" xfId="0" applyFont="1" applyBorder="1" applyAlignment="1" applyProtection="1">
      <alignment horizontal="center" vertical="center"/>
      <protection locked="0"/>
    </xf>
    <xf numFmtId="0" fontId="58" fillId="24" borderId="17"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0" fillId="0" borderId="17" xfId="0" applyBorder="1"/>
    <xf numFmtId="0" fontId="3" fillId="0" borderId="18" xfId="0" applyFont="1" applyBorder="1" applyAlignment="1">
      <alignment horizontal="center" vertical="center" wrapText="1"/>
    </xf>
    <xf numFmtId="0" fontId="32" fillId="0" borderId="2" xfId="0" applyFont="1" applyBorder="1" applyAlignment="1">
      <alignment horizontal="center" vertical="center"/>
    </xf>
    <xf numFmtId="0" fontId="3" fillId="37" borderId="17" xfId="0" applyFont="1" applyFill="1" applyBorder="1" applyAlignment="1" applyProtection="1">
      <alignment horizontal="center" vertical="center"/>
      <protection locked="0"/>
    </xf>
    <xf numFmtId="0" fontId="0" fillId="37" borderId="17" xfId="0" applyFill="1" applyBorder="1" applyAlignment="1" applyProtection="1">
      <alignment horizontal="center" vertical="center"/>
      <protection locked="0"/>
    </xf>
    <xf numFmtId="0" fontId="0" fillId="32" borderId="17" xfId="0" applyFill="1" applyBorder="1" applyAlignment="1">
      <alignment horizontal="center" vertical="center"/>
    </xf>
    <xf numFmtId="0" fontId="6" fillId="0" borderId="17" xfId="0" applyFont="1" applyBorder="1" applyAlignment="1" applyProtection="1">
      <alignment horizontal="center" vertical="center"/>
      <protection locked="0"/>
    </xf>
    <xf numFmtId="0" fontId="3" fillId="37" borderId="18" xfId="0" applyFont="1" applyFill="1" applyBorder="1" applyAlignment="1" applyProtection="1">
      <alignment horizontal="center" vertical="center"/>
      <protection locked="0"/>
    </xf>
    <xf numFmtId="0" fontId="0" fillId="37" borderId="18" xfId="0" applyFill="1" applyBorder="1" applyAlignment="1" applyProtection="1">
      <alignment horizontal="center" vertical="center"/>
      <protection locked="0"/>
    </xf>
    <xf numFmtId="0" fontId="0" fillId="0" borderId="18" xfId="0" applyBorder="1" applyAlignment="1" applyProtection="1">
      <alignment horizontal="center" vertical="top" wrapText="1"/>
      <protection locked="0"/>
    </xf>
    <xf numFmtId="0" fontId="0" fillId="24" borderId="18" xfId="0" applyFill="1" applyBorder="1" applyAlignment="1" applyProtection="1">
      <alignment horizontal="center" vertical="top" wrapText="1"/>
      <protection locked="0"/>
    </xf>
    <xf numFmtId="0" fontId="0" fillId="0" borderId="2" xfId="0" applyBorder="1" applyAlignment="1">
      <alignment horizontal="center" vertical="center"/>
    </xf>
    <xf numFmtId="0" fontId="3" fillId="39" borderId="16" xfId="0" applyFont="1" applyFill="1" applyBorder="1" applyAlignment="1" applyProtection="1">
      <alignment horizontal="center" vertical="center"/>
      <protection locked="0"/>
    </xf>
    <xf numFmtId="0" fontId="0" fillId="39" borderId="16" xfId="0" applyFill="1" applyBorder="1" applyAlignment="1" applyProtection="1">
      <alignment horizontal="center" vertical="center"/>
      <protection locked="0"/>
    </xf>
    <xf numFmtId="0" fontId="3" fillId="39" borderId="17" xfId="0" applyFont="1" applyFill="1" applyBorder="1" applyAlignment="1" applyProtection="1">
      <alignment horizontal="center" vertical="center"/>
      <protection locked="0"/>
    </xf>
    <xf numFmtId="0" fontId="0" fillId="39" borderId="17" xfId="0" applyFill="1" applyBorder="1" applyAlignment="1" applyProtection="1">
      <alignment horizontal="center" vertical="center"/>
      <protection locked="0"/>
    </xf>
    <xf numFmtId="0" fontId="60" fillId="35" borderId="17" xfId="0" applyFont="1" applyFill="1" applyBorder="1" applyAlignment="1">
      <alignment horizontal="center" vertical="center"/>
    </xf>
    <xf numFmtId="0" fontId="0" fillId="24" borderId="17" xfId="0" applyFill="1" applyBorder="1" applyAlignment="1" applyProtection="1">
      <alignment horizontal="center" vertical="center" wrapText="1"/>
      <protection locked="0"/>
    </xf>
    <xf numFmtId="0" fontId="0" fillId="24" borderId="17" xfId="0" applyFill="1" applyBorder="1" applyAlignment="1" applyProtection="1">
      <alignment horizontal="center" vertical="center"/>
      <protection locked="0"/>
    </xf>
    <xf numFmtId="0" fontId="59" fillId="0" borderId="57" xfId="0" applyFont="1" applyBorder="1" applyAlignment="1">
      <alignment horizontal="center" vertical="center" wrapText="1"/>
    </xf>
    <xf numFmtId="0" fontId="3" fillId="40" borderId="18" xfId="0" applyFont="1" applyFill="1" applyBorder="1" applyAlignment="1" applyProtection="1">
      <alignment horizontal="center" vertical="center"/>
      <protection locked="0"/>
    </xf>
    <xf numFmtId="0" fontId="0" fillId="40" borderId="18" xfId="0" applyFill="1" applyBorder="1" applyAlignment="1" applyProtection="1">
      <alignment horizontal="center" vertical="center"/>
      <protection locked="0"/>
    </xf>
    <xf numFmtId="0" fontId="32" fillId="24" borderId="18" xfId="0" applyFont="1" applyFill="1" applyBorder="1" applyAlignment="1">
      <alignment horizontal="center" vertical="center" wrapText="1"/>
    </xf>
    <xf numFmtId="0" fontId="3" fillId="40" borderId="17" xfId="0" applyFont="1" applyFill="1" applyBorder="1" applyAlignment="1" applyProtection="1">
      <alignment horizontal="center" vertical="center"/>
      <protection locked="0"/>
    </xf>
    <xf numFmtId="0" fontId="0" fillId="40" borderId="17" xfId="0" applyFill="1" applyBorder="1" applyAlignment="1" applyProtection="1">
      <alignment horizontal="center" vertical="center"/>
      <protection locked="0"/>
    </xf>
    <xf numFmtId="0" fontId="3" fillId="41" borderId="18" xfId="0" applyFont="1" applyFill="1" applyBorder="1" applyAlignment="1" applyProtection="1">
      <alignment horizontal="center" vertical="center"/>
      <protection locked="0"/>
    </xf>
    <xf numFmtId="0" fontId="0" fillId="41" borderId="18" xfId="0" applyFill="1" applyBorder="1" applyAlignment="1" applyProtection="1">
      <alignment horizontal="center" vertical="center"/>
      <protection locked="0"/>
    </xf>
    <xf numFmtId="0" fontId="3" fillId="42" borderId="17" xfId="0" applyFont="1" applyFill="1" applyBorder="1" applyAlignment="1" applyProtection="1">
      <alignment horizontal="center" vertical="center"/>
      <protection locked="0"/>
    </xf>
    <xf numFmtId="0" fontId="0" fillId="42" borderId="17" xfId="0" applyFill="1" applyBorder="1" applyAlignment="1" applyProtection="1">
      <alignment horizontal="center" vertical="center"/>
      <protection locked="0"/>
    </xf>
    <xf numFmtId="0" fontId="0" fillId="34" borderId="17" xfId="0" applyFill="1" applyBorder="1" applyAlignment="1">
      <alignment horizontal="center" vertical="center"/>
    </xf>
    <xf numFmtId="0" fontId="22" fillId="20" borderId="0" xfId="0" applyFont="1" applyFill="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xf>
    <xf numFmtId="0" fontId="5" fillId="3" borderId="0" xfId="0" applyFont="1" applyFill="1" applyAlignment="1">
      <alignment horizontal="center" vertical="center"/>
    </xf>
    <xf numFmtId="0" fontId="6" fillId="4" borderId="0" xfId="0" applyFont="1" applyFill="1" applyAlignment="1">
      <alignment horizontal="center" vertical="center"/>
    </xf>
    <xf numFmtId="0" fontId="6" fillId="22" borderId="0" xfId="0" applyFont="1" applyFill="1" applyAlignment="1">
      <alignment horizontal="center" vertical="center"/>
    </xf>
    <xf numFmtId="0" fontId="6" fillId="38" borderId="0" xfId="0" applyFont="1" applyFill="1" applyAlignment="1">
      <alignment horizontal="center" vertical="center"/>
    </xf>
    <xf numFmtId="0" fontId="0" fillId="37" borderId="0" xfId="0" applyFill="1" applyAlignment="1">
      <alignment horizontal="center" vertical="center"/>
    </xf>
    <xf numFmtId="0" fontId="0" fillId="39" borderId="0" xfId="0" applyFill="1" applyAlignment="1">
      <alignment horizontal="center" vertical="center"/>
    </xf>
    <xf numFmtId="0" fontId="6" fillId="39" borderId="0" xfId="0" applyFont="1" applyFill="1" applyAlignment="1">
      <alignment horizontal="center" vertical="center"/>
    </xf>
    <xf numFmtId="0" fontId="0" fillId="40" borderId="0" xfId="0" applyFill="1" applyAlignment="1">
      <alignment horizontal="center" vertical="center"/>
    </xf>
    <xf numFmtId="0" fontId="0" fillId="41" borderId="0" xfId="0" applyFill="1" applyAlignment="1">
      <alignment horizontal="center" vertical="center"/>
    </xf>
    <xf numFmtId="0" fontId="0" fillId="42" borderId="0" xfId="0" applyFill="1" applyAlignment="1">
      <alignment horizontal="center" vertical="center"/>
    </xf>
    <xf numFmtId="0" fontId="0" fillId="43" borderId="0" xfId="0" applyFill="1" applyAlignment="1">
      <alignment horizontal="center" vertical="center"/>
    </xf>
    <xf numFmtId="0" fontId="6" fillId="46" borderId="0" xfId="0" applyFont="1" applyFill="1" applyAlignment="1">
      <alignment horizontal="center" vertical="center"/>
    </xf>
    <xf numFmtId="0" fontId="0" fillId="44" borderId="0" xfId="0" applyFill="1" applyAlignment="1">
      <alignment horizontal="center" vertical="center"/>
    </xf>
    <xf numFmtId="0" fontId="0" fillId="45" borderId="0" xfId="0" applyFill="1" applyAlignment="1">
      <alignment horizontal="center" vertical="center"/>
    </xf>
    <xf numFmtId="0" fontId="0" fillId="18" borderId="0" xfId="0" applyFill="1" applyAlignment="1">
      <alignment horizontal="center" vertical="center"/>
    </xf>
    <xf numFmtId="0" fontId="0" fillId="16" borderId="0" xfId="0" applyFill="1" applyAlignment="1">
      <alignment horizontal="center" vertical="center"/>
    </xf>
    <xf numFmtId="0" fontId="0" fillId="0" borderId="0" xfId="0" applyAlignment="1">
      <alignment horizontal="center" vertical="center"/>
    </xf>
    <xf numFmtId="0" fontId="11" fillId="2" borderId="0" xfId="0" applyFont="1" applyFill="1" applyAlignment="1">
      <alignment vertical="center"/>
    </xf>
    <xf numFmtId="0" fontId="11" fillId="3" borderId="0" xfId="0" applyFont="1" applyFill="1" applyAlignment="1">
      <alignment vertical="center"/>
    </xf>
    <xf numFmtId="0" fontId="11" fillId="4" borderId="0" xfId="0" applyFont="1" applyFill="1" applyAlignment="1">
      <alignment vertical="center" wrapText="1"/>
    </xf>
    <xf numFmtId="0" fontId="72" fillId="22" borderId="0" xfId="0" applyFont="1" applyFill="1" applyAlignment="1">
      <alignment vertical="center" wrapText="1"/>
    </xf>
    <xf numFmtId="0" fontId="11" fillId="38" borderId="0" xfId="0" applyFont="1" applyFill="1" applyAlignment="1">
      <alignment vertical="center" wrapText="1"/>
    </xf>
    <xf numFmtId="0" fontId="11" fillId="37" borderId="0" xfId="0" applyFont="1" applyFill="1" applyAlignment="1">
      <alignment vertical="center" wrapText="1"/>
    </xf>
    <xf numFmtId="0" fontId="11" fillId="39" borderId="0" xfId="0" applyFont="1" applyFill="1" applyAlignment="1">
      <alignment vertical="center" wrapText="1"/>
    </xf>
    <xf numFmtId="0" fontId="11" fillId="40" borderId="0" xfId="0" applyFont="1" applyFill="1" applyAlignment="1">
      <alignment vertical="center" wrapText="1"/>
    </xf>
    <xf numFmtId="0" fontId="11" fillId="41" borderId="0" xfId="0" applyFont="1" applyFill="1" applyAlignment="1">
      <alignment vertical="center" wrapText="1"/>
    </xf>
    <xf numFmtId="0" fontId="11" fillId="42" borderId="0" xfId="0" applyFont="1" applyFill="1" applyAlignment="1">
      <alignment vertical="center" wrapText="1"/>
    </xf>
    <xf numFmtId="0" fontId="11" fillId="43" borderId="0" xfId="0" applyFont="1" applyFill="1" applyAlignment="1">
      <alignment vertical="center" wrapText="1"/>
    </xf>
    <xf numFmtId="0" fontId="11" fillId="46" borderId="0" xfId="0" applyFont="1" applyFill="1" applyAlignment="1">
      <alignment vertical="center" wrapText="1"/>
    </xf>
    <xf numFmtId="0" fontId="11" fillId="44" borderId="0" xfId="0" applyFont="1" applyFill="1" applyAlignment="1">
      <alignment vertical="center" wrapText="1"/>
    </xf>
    <xf numFmtId="0" fontId="11" fillId="45" borderId="0" xfId="0" applyFont="1" applyFill="1" applyAlignment="1">
      <alignment vertical="center" wrapText="1"/>
    </xf>
    <xf numFmtId="0" fontId="72" fillId="18" borderId="0" xfId="0" applyFont="1" applyFill="1" applyAlignment="1">
      <alignment vertical="center"/>
    </xf>
    <xf numFmtId="0" fontId="72" fillId="19" borderId="0" xfId="0" applyFont="1" applyFill="1" applyAlignment="1">
      <alignment vertical="center"/>
    </xf>
    <xf numFmtId="0" fontId="72" fillId="16" borderId="0" xfId="0" applyFont="1" applyFill="1" applyAlignment="1">
      <alignment vertical="center"/>
    </xf>
    <xf numFmtId="0" fontId="73" fillId="20" borderId="0" xfId="0" applyFont="1" applyFill="1" applyAlignment="1">
      <alignment vertical="center"/>
    </xf>
    <xf numFmtId="0" fontId="74" fillId="0" borderId="0" xfId="0" applyFont="1" applyAlignment="1">
      <alignment readingOrder="1"/>
    </xf>
    <xf numFmtId="0" fontId="75" fillId="0" borderId="0" xfId="0" applyFont="1" applyAlignment="1">
      <alignment readingOrder="1"/>
    </xf>
    <xf numFmtId="0" fontId="72" fillId="48" borderId="0" xfId="0" applyFont="1" applyFill="1" applyAlignment="1">
      <alignment horizontal="center" vertical="center" wrapText="1"/>
    </xf>
    <xf numFmtId="0" fontId="72" fillId="49" borderId="0" xfId="0" applyFont="1" applyFill="1" applyAlignment="1">
      <alignment horizontal="center" vertical="center" wrapText="1"/>
    </xf>
    <xf numFmtId="0" fontId="72" fillId="50" borderId="0" xfId="0" applyFont="1" applyFill="1" applyAlignment="1">
      <alignment horizontal="center" vertical="center" wrapText="1"/>
    </xf>
    <xf numFmtId="0" fontId="72" fillId="22" borderId="0" xfId="0" applyFont="1" applyFill="1" applyAlignment="1">
      <alignment horizontal="center" vertical="center" wrapText="1"/>
    </xf>
    <xf numFmtId="0" fontId="72" fillId="38" borderId="0" xfId="0" applyFont="1" applyFill="1" applyAlignment="1">
      <alignment horizontal="center" vertical="center" wrapText="1"/>
    </xf>
    <xf numFmtId="0" fontId="72" fillId="37" borderId="0" xfId="0" applyFont="1" applyFill="1" applyAlignment="1">
      <alignment horizontal="center" vertical="center" wrapText="1"/>
    </xf>
    <xf numFmtId="0" fontId="72" fillId="39" borderId="0" xfId="0" applyFont="1" applyFill="1" applyAlignment="1">
      <alignment horizontal="center" vertical="center" wrapText="1"/>
    </xf>
    <xf numFmtId="0" fontId="72" fillId="40" borderId="0" xfId="0" applyFont="1" applyFill="1" applyAlignment="1">
      <alignment horizontal="center" vertical="center" wrapText="1"/>
    </xf>
    <xf numFmtId="0" fontId="72" fillId="41" borderId="0" xfId="0" applyFont="1" applyFill="1" applyAlignment="1">
      <alignment horizontal="center" vertical="center" wrapText="1"/>
    </xf>
    <xf numFmtId="0" fontId="72" fillId="42" borderId="0" xfId="0" applyFont="1" applyFill="1" applyAlignment="1">
      <alignment horizontal="center" vertical="center" wrapText="1"/>
    </xf>
    <xf numFmtId="0" fontId="72" fillId="43" borderId="0" xfId="0" applyFont="1" applyFill="1" applyAlignment="1">
      <alignment horizontal="center" vertical="center" wrapText="1"/>
    </xf>
    <xf numFmtId="0" fontId="72" fillId="46" borderId="0" xfId="0" applyFont="1" applyFill="1" applyAlignment="1">
      <alignment horizontal="center" vertical="center" wrapText="1"/>
    </xf>
    <xf numFmtId="0" fontId="72" fillId="44" borderId="0" xfId="0" applyFont="1" applyFill="1" applyAlignment="1">
      <alignment horizontal="center" vertical="center" wrapText="1"/>
    </xf>
    <xf numFmtId="0" fontId="72" fillId="45" borderId="0" xfId="0" applyFont="1" applyFill="1" applyAlignment="1">
      <alignment horizontal="center" vertical="center" wrapText="1"/>
    </xf>
    <xf numFmtId="0" fontId="72" fillId="51" borderId="0" xfId="0" applyFont="1" applyFill="1" applyAlignment="1">
      <alignment horizontal="center" vertical="center" wrapText="1"/>
    </xf>
    <xf numFmtId="0" fontId="72" fillId="52" borderId="0" xfId="0" applyFont="1" applyFill="1" applyAlignment="1">
      <alignment horizontal="center" vertical="center" wrapText="1"/>
    </xf>
    <xf numFmtId="0" fontId="72" fillId="53" borderId="0" xfId="0" applyFont="1" applyFill="1" applyAlignment="1">
      <alignment horizontal="center" vertical="center" wrapText="1"/>
    </xf>
    <xf numFmtId="0" fontId="72" fillId="54" borderId="0" xfId="0" applyFont="1" applyFill="1" applyAlignment="1">
      <alignment horizontal="center" vertical="center" wrapText="1"/>
    </xf>
    <xf numFmtId="0" fontId="0" fillId="39" borderId="1" xfId="0" applyFill="1" applyBorder="1" applyAlignment="1">
      <alignment horizontal="center" vertical="center"/>
    </xf>
    <xf numFmtId="0" fontId="0" fillId="39" borderId="22" xfId="0" applyFill="1" applyBorder="1" applyAlignment="1">
      <alignment horizontal="center" vertical="center" wrapText="1"/>
    </xf>
    <xf numFmtId="0" fontId="0" fillId="39" borderId="18" xfId="0" applyFill="1" applyBorder="1" applyAlignment="1">
      <alignment horizontal="center" vertical="center" wrapText="1"/>
    </xf>
    <xf numFmtId="0" fontId="0" fillId="39" borderId="18" xfId="0" applyFill="1" applyBorder="1" applyAlignment="1">
      <alignment horizontal="center" vertical="center"/>
    </xf>
    <xf numFmtId="0" fontId="0" fillId="52" borderId="0" xfId="0" applyFill="1" applyAlignment="1">
      <alignment horizontal="center" vertical="center"/>
    </xf>
    <xf numFmtId="0" fontId="0" fillId="52" borderId="22" xfId="0" applyFill="1" applyBorder="1" applyAlignment="1">
      <alignment horizontal="center" vertical="center"/>
    </xf>
    <xf numFmtId="0" fontId="0" fillId="52" borderId="21" xfId="0" applyFill="1" applyBorder="1" applyAlignment="1">
      <alignment horizontal="center" vertical="center"/>
    </xf>
    <xf numFmtId="0" fontId="0" fillId="52" borderId="22" xfId="0" applyFill="1" applyBorder="1"/>
    <xf numFmtId="0" fontId="76" fillId="0" borderId="0" xfId="0" applyFont="1"/>
    <xf numFmtId="0" fontId="0" fillId="55" borderId="0" xfId="0" applyFill="1"/>
    <xf numFmtId="0" fontId="54" fillId="0" borderId="0" xfId="0" applyFont="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0" fillId="62" borderId="0" xfId="0" applyFill="1"/>
    <xf numFmtId="0" fontId="0" fillId="63" borderId="0" xfId="0" applyFill="1"/>
    <xf numFmtId="0" fontId="3" fillId="4" borderId="0" xfId="0" applyFont="1" applyFill="1" applyAlignment="1">
      <alignment horizontal="center" vertical="top"/>
    </xf>
    <xf numFmtId="0" fontId="0" fillId="64" borderId="18" xfId="0" applyFill="1" applyBorder="1" applyAlignment="1">
      <alignment horizontal="center" vertical="center"/>
    </xf>
    <xf numFmtId="0" fontId="6" fillId="64" borderId="18" xfId="0" applyFont="1" applyFill="1" applyBorder="1" applyAlignment="1">
      <alignment horizontal="center" vertical="center"/>
    </xf>
    <xf numFmtId="0" fontId="6" fillId="64" borderId="18" xfId="0" applyFont="1" applyFill="1" applyBorder="1" applyAlignment="1" applyProtection="1">
      <alignment horizontal="center" vertical="center" wrapText="1"/>
      <protection locked="0"/>
    </xf>
    <xf numFmtId="0" fontId="6" fillId="64" borderId="18" xfId="0" applyFont="1" applyFill="1" applyBorder="1" applyAlignment="1" applyProtection="1">
      <alignment horizontal="center" vertical="center"/>
      <protection locked="0"/>
    </xf>
    <xf numFmtId="0" fontId="6" fillId="64" borderId="1" xfId="0" applyFont="1" applyFill="1" applyBorder="1" applyAlignment="1" applyProtection="1">
      <alignment horizontal="center" vertical="center"/>
      <protection locked="0"/>
    </xf>
    <xf numFmtId="0" fontId="3" fillId="64" borderId="18" xfId="0" applyFont="1" applyFill="1" applyBorder="1" applyAlignment="1">
      <alignment horizontal="center" vertical="center"/>
    </xf>
    <xf numFmtId="0" fontId="0" fillId="64" borderId="3" xfId="0" applyFill="1" applyBorder="1" applyAlignment="1">
      <alignment horizontal="center" vertical="center" wrapText="1"/>
    </xf>
    <xf numFmtId="0" fontId="0" fillId="64" borderId="18" xfId="0" applyFill="1" applyBorder="1" applyAlignment="1" applyProtection="1">
      <alignment horizontal="center" vertical="center" wrapText="1"/>
      <protection locked="0"/>
    </xf>
    <xf numFmtId="0" fontId="0" fillId="64" borderId="18" xfId="0" applyFill="1" applyBorder="1" applyAlignment="1">
      <alignment horizontal="center" vertical="center" wrapText="1"/>
    </xf>
    <xf numFmtId="0" fontId="0" fillId="64" borderId="17" xfId="0" applyFill="1" applyBorder="1" applyAlignment="1" applyProtection="1">
      <alignment horizontal="center" vertical="center"/>
      <protection locked="0"/>
    </xf>
    <xf numFmtId="0" fontId="6" fillId="64" borderId="17" xfId="0" applyFont="1" applyFill="1" applyBorder="1" applyAlignment="1">
      <alignment horizontal="center" vertical="center"/>
    </xf>
    <xf numFmtId="0" fontId="6" fillId="64" borderId="17" xfId="0" applyFont="1" applyFill="1" applyBorder="1" applyAlignment="1" applyProtection="1">
      <alignment horizontal="center" vertical="center" wrapText="1"/>
      <protection locked="0"/>
    </xf>
    <xf numFmtId="0" fontId="6" fillId="64" borderId="17" xfId="0" applyFont="1" applyFill="1" applyBorder="1" applyAlignment="1" applyProtection="1">
      <alignment horizontal="center" vertical="center"/>
      <protection locked="0"/>
    </xf>
    <xf numFmtId="0" fontId="6" fillId="64" borderId="4" xfId="0" applyFont="1" applyFill="1" applyBorder="1" applyAlignment="1" applyProtection="1">
      <alignment horizontal="center" vertical="center"/>
      <protection locked="0"/>
    </xf>
    <xf numFmtId="0" fontId="3" fillId="64" borderId="17" xfId="0" applyFont="1" applyFill="1" applyBorder="1" applyAlignment="1">
      <alignment horizontal="center" vertical="center"/>
    </xf>
    <xf numFmtId="0" fontId="0" fillId="64" borderId="7" xfId="0" applyFill="1" applyBorder="1" applyAlignment="1">
      <alignment horizontal="center" vertical="center" wrapText="1"/>
    </xf>
    <xf numFmtId="0" fontId="0" fillId="64" borderId="17" xfId="0" applyFill="1" applyBorder="1" applyAlignment="1">
      <alignment horizontal="center" vertical="center" wrapText="1"/>
    </xf>
    <xf numFmtId="0" fontId="0" fillId="64" borderId="16" xfId="0" applyFill="1" applyBorder="1" applyAlignment="1">
      <alignment horizontal="center" vertical="center" wrapText="1"/>
    </xf>
    <xf numFmtId="0" fontId="0" fillId="64" borderId="21" xfId="0" applyFill="1" applyBorder="1" applyAlignment="1">
      <alignment horizontal="center" vertical="center"/>
    </xf>
    <xf numFmtId="0" fontId="0" fillId="64" borderId="18" xfId="0" applyFill="1" applyBorder="1" applyAlignment="1" applyProtection="1">
      <alignment horizontal="center" vertical="center"/>
      <protection locked="0"/>
    </xf>
    <xf numFmtId="0" fontId="3" fillId="64" borderId="17" xfId="0" applyFont="1" applyFill="1" applyBorder="1" applyAlignment="1" applyProtection="1">
      <alignment horizontal="center" vertical="center" wrapText="1"/>
      <protection locked="0"/>
    </xf>
    <xf numFmtId="0" fontId="0" fillId="64" borderId="20" xfId="0" applyFill="1" applyBorder="1" applyAlignment="1">
      <alignment horizontal="center" vertical="center" wrapText="1"/>
    </xf>
    <xf numFmtId="0" fontId="0" fillId="64" borderId="5" xfId="0" applyFill="1" applyBorder="1" applyAlignment="1">
      <alignment horizontal="center" vertical="center" wrapText="1"/>
    </xf>
    <xf numFmtId="0" fontId="0" fillId="64" borderId="21" xfId="0" applyFill="1" applyBorder="1" applyAlignment="1">
      <alignment horizontal="center" vertical="center" wrapText="1"/>
    </xf>
    <xf numFmtId="0" fontId="3" fillId="64" borderId="18" xfId="0" applyFont="1" applyFill="1" applyBorder="1" applyAlignment="1" applyProtection="1">
      <alignment horizontal="center" vertical="center" wrapText="1"/>
      <protection locked="0"/>
    </xf>
    <xf numFmtId="0" fontId="24" fillId="64" borderId="0" xfId="0" applyFont="1" applyFill="1" applyAlignment="1">
      <alignment horizontal="center" vertical="center" wrapText="1"/>
    </xf>
    <xf numFmtId="0" fontId="0" fillId="64" borderId="16" xfId="0" applyFill="1" applyBorder="1" applyAlignment="1">
      <alignment horizontal="center" vertical="center"/>
    </xf>
    <xf numFmtId="0" fontId="0" fillId="64" borderId="16" xfId="0" applyFill="1" applyBorder="1" applyAlignment="1" applyProtection="1">
      <alignment horizontal="center" vertical="center"/>
      <protection locked="0"/>
    </xf>
    <xf numFmtId="0" fontId="6" fillId="64" borderId="16" xfId="0" applyFont="1" applyFill="1" applyBorder="1" applyAlignment="1">
      <alignment horizontal="center" vertical="center"/>
    </xf>
    <xf numFmtId="0" fontId="6" fillId="64" borderId="16" xfId="0" applyFont="1" applyFill="1" applyBorder="1" applyAlignment="1" applyProtection="1">
      <alignment horizontal="center" vertical="center" wrapText="1"/>
      <protection locked="0"/>
    </xf>
    <xf numFmtId="0" fontId="6" fillId="64" borderId="16" xfId="0" applyFont="1" applyFill="1" applyBorder="1" applyAlignment="1" applyProtection="1">
      <alignment horizontal="center" vertical="center"/>
      <protection locked="0"/>
    </xf>
    <xf numFmtId="0" fontId="6" fillId="64" borderId="6" xfId="0" applyFont="1" applyFill="1" applyBorder="1" applyAlignment="1" applyProtection="1">
      <alignment horizontal="center" vertical="center"/>
      <protection locked="0"/>
    </xf>
    <xf numFmtId="0" fontId="3" fillId="64" borderId="16" xfId="0" applyFont="1" applyFill="1" applyBorder="1" applyAlignment="1" applyProtection="1">
      <alignment horizontal="center" vertical="center" wrapText="1"/>
      <protection locked="0"/>
    </xf>
    <xf numFmtId="0" fontId="0" fillId="64" borderId="8" xfId="0" applyFill="1" applyBorder="1" applyAlignment="1">
      <alignment horizontal="center" vertical="center" wrapText="1"/>
    </xf>
    <xf numFmtId="0" fontId="23" fillId="64" borderId="16" xfId="0" applyFont="1" applyFill="1" applyBorder="1" applyAlignment="1" applyProtection="1">
      <alignment horizontal="center" vertical="top" wrapText="1"/>
      <protection locked="0"/>
    </xf>
    <xf numFmtId="0" fontId="21" fillId="64" borderId="16" xfId="0" applyFont="1" applyFill="1" applyBorder="1" applyAlignment="1" applyProtection="1">
      <alignment horizontal="center" vertical="center" wrapText="1"/>
      <protection locked="0"/>
    </xf>
    <xf numFmtId="0" fontId="0" fillId="64" borderId="7" xfId="0" applyFill="1" applyBorder="1" applyAlignment="1">
      <alignment horizontal="center" wrapText="1"/>
    </xf>
    <xf numFmtId="0" fontId="1" fillId="0" borderId="58" xfId="1" applyBorder="1" applyAlignment="1">
      <alignment horizontal="center"/>
    </xf>
    <xf numFmtId="0" fontId="1" fillId="0" borderId="59" xfId="1" applyBorder="1" applyAlignment="1">
      <alignment horizontal="center"/>
    </xf>
    <xf numFmtId="0" fontId="1" fillId="47" borderId="58" xfId="1" applyFill="1" applyBorder="1" applyAlignment="1">
      <alignment horizontal="center"/>
    </xf>
    <xf numFmtId="0" fontId="1" fillId="47" borderId="59" xfId="1" applyFill="1" applyBorder="1" applyAlignment="1">
      <alignment horizontal="center"/>
    </xf>
    <xf numFmtId="0" fontId="1" fillId="47" borderId="60" xfId="1" applyFill="1" applyBorder="1" applyAlignment="1">
      <alignment horizontal="center"/>
    </xf>
    <xf numFmtId="0" fontId="1" fillId="47" borderId="61" xfId="1" applyFill="1" applyBorder="1" applyAlignment="1">
      <alignment horizontal="center"/>
    </xf>
    <xf numFmtId="0" fontId="0" fillId="64" borderId="21" xfId="0" applyFill="1" applyBorder="1" applyAlignment="1" applyProtection="1">
      <alignment horizontal="center" vertical="center" wrapText="1"/>
      <protection locked="0"/>
    </xf>
    <xf numFmtId="0" fontId="54" fillId="64" borderId="21" xfId="0" applyFont="1" applyFill="1" applyBorder="1" applyAlignment="1">
      <alignment horizontal="center" wrapText="1"/>
    </xf>
    <xf numFmtId="0" fontId="3" fillId="51" borderId="0" xfId="0" applyFont="1" applyFill="1" applyAlignment="1">
      <alignment horizontal="center"/>
    </xf>
    <xf numFmtId="0" fontId="0" fillId="51" borderId="0" xfId="0" applyFill="1" applyAlignment="1">
      <alignment wrapText="1"/>
    </xf>
    <xf numFmtId="0" fontId="0" fillId="51" borderId="0" xfId="0" applyFill="1"/>
    <xf numFmtId="0" fontId="24" fillId="0" borderId="0" xfId="0" applyFont="1" applyAlignment="1">
      <alignment wrapText="1"/>
    </xf>
    <xf numFmtId="0" fontId="24" fillId="0" borderId="4" xfId="0" applyFont="1" applyBorder="1" applyAlignment="1">
      <alignment wrapText="1"/>
    </xf>
    <xf numFmtId="0" fontId="24" fillId="0" borderId="37" xfId="0" applyFont="1" applyBorder="1" applyAlignment="1">
      <alignment wrapText="1"/>
    </xf>
    <xf numFmtId="0" fontId="24" fillId="0" borderId="33" xfId="0" applyFont="1" applyBorder="1" applyAlignment="1">
      <alignment wrapText="1"/>
    </xf>
    <xf numFmtId="0" fontId="23" fillId="0" borderId="29" xfId="0" applyFont="1" applyBorder="1" applyAlignment="1">
      <alignment vertical="center" wrapText="1"/>
    </xf>
    <xf numFmtId="0" fontId="3" fillId="65" borderId="0" xfId="0" applyFont="1" applyFill="1" applyAlignment="1">
      <alignment horizontal="center"/>
    </xf>
    <xf numFmtId="0" fontId="0" fillId="65" borderId="0" xfId="0" applyFill="1" applyAlignment="1">
      <alignment wrapText="1"/>
    </xf>
    <xf numFmtId="0" fontId="0" fillId="65" borderId="0" xfId="0" applyFill="1"/>
    <xf numFmtId="0" fontId="23" fillId="52" borderId="7" xfId="0" applyFont="1" applyFill="1" applyBorder="1" applyAlignment="1">
      <alignment horizontal="center" vertical="top" wrapText="1"/>
    </xf>
    <xf numFmtId="0" fontId="24" fillId="0" borderId="0" xfId="0" applyFont="1" applyAlignment="1">
      <alignment horizontal="left" wrapText="1"/>
    </xf>
    <xf numFmtId="0" fontId="71" fillId="0" borderId="0" xfId="0" applyFont="1"/>
    <xf numFmtId="0" fontId="21" fillId="0" borderId="0" xfId="0" applyFont="1" applyAlignment="1">
      <alignment wrapText="1"/>
    </xf>
    <xf numFmtId="0" fontId="3" fillId="66" borderId="0" xfId="0" applyFont="1" applyFill="1" applyAlignment="1">
      <alignment horizontal="center"/>
    </xf>
    <xf numFmtId="0" fontId="0" fillId="66" borderId="0" xfId="0" applyFill="1" applyAlignment="1">
      <alignment wrapText="1"/>
    </xf>
    <xf numFmtId="0" fontId="0" fillId="66" borderId="0" xfId="0" applyFill="1"/>
    <xf numFmtId="0" fontId="3" fillId="67" borderId="0" xfId="0" applyFont="1" applyFill="1" applyAlignment="1">
      <alignment horizontal="center"/>
    </xf>
    <xf numFmtId="0" fontId="0" fillId="67" borderId="0" xfId="0" applyFill="1" applyAlignment="1">
      <alignment wrapText="1"/>
    </xf>
    <xf numFmtId="0" fontId="0" fillId="67" borderId="0" xfId="0" applyFill="1"/>
    <xf numFmtId="0" fontId="21" fillId="0" borderId="6" xfId="0" applyFont="1" applyBorder="1" applyAlignment="1">
      <alignment wrapText="1"/>
    </xf>
    <xf numFmtId="0" fontId="21" fillId="0" borderId="41" xfId="0" applyFont="1" applyBorder="1" applyAlignment="1">
      <alignment vertical="center" wrapText="1"/>
    </xf>
    <xf numFmtId="0" fontId="79" fillId="0" borderId="0" xfId="0" applyFont="1" applyAlignment="1">
      <alignment wrapText="1"/>
    </xf>
    <xf numFmtId="0" fontId="21" fillId="0" borderId="7" xfId="0" applyFont="1" applyBorder="1" applyAlignment="1">
      <alignment wrapText="1"/>
    </xf>
    <xf numFmtId="0" fontId="21" fillId="0" borderId="2" xfId="0" applyFont="1" applyBorder="1" applyAlignment="1">
      <alignment wrapText="1"/>
    </xf>
    <xf numFmtId="0" fontId="21" fillId="0" borderId="21" xfId="0" applyFont="1" applyBorder="1" applyAlignment="1">
      <alignment wrapText="1"/>
    </xf>
    <xf numFmtId="0" fontId="0" fillId="0" borderId="0" xfId="0" applyAlignment="1">
      <alignment horizontal="center"/>
    </xf>
    <xf numFmtId="0" fontId="33" fillId="0" borderId="0" xfId="1" applyFont="1" applyAlignment="1">
      <alignment horizontal="center" vertical="center"/>
    </xf>
    <xf numFmtId="0" fontId="1" fillId="0" borderId="0" xfId="1" applyAlignment="1">
      <alignment horizontal="center" vertical="center"/>
    </xf>
    <xf numFmtId="0" fontId="77" fillId="59" borderId="58" xfId="1" applyFont="1" applyFill="1" applyBorder="1" applyAlignment="1">
      <alignment horizontal="center" vertical="center"/>
    </xf>
    <xf numFmtId="0" fontId="77" fillId="59" borderId="59" xfId="1" applyFont="1" applyFill="1" applyBorder="1" applyAlignment="1">
      <alignment horizontal="center" vertical="center"/>
    </xf>
    <xf numFmtId="0" fontId="20" fillId="0" borderId="0" xfId="0" applyFont="1" applyAlignment="1">
      <alignment horizontal="center" vertical="center"/>
    </xf>
    <xf numFmtId="0" fontId="12" fillId="5" borderId="1" xfId="0" applyFont="1" applyFill="1" applyBorder="1" applyAlignment="1">
      <alignment horizontal="center"/>
    </xf>
    <xf numFmtId="0" fontId="12" fillId="5" borderId="3" xfId="0" applyFont="1" applyFill="1" applyBorder="1" applyAlignment="1">
      <alignment horizontal="center"/>
    </xf>
    <xf numFmtId="0" fontId="12" fillId="6" borderId="2" xfId="0" applyFont="1" applyFill="1" applyBorder="1" applyAlignment="1">
      <alignment horizontal="center"/>
    </xf>
    <xf numFmtId="0" fontId="12" fillId="6" borderId="3" xfId="0" applyFont="1" applyFill="1" applyBorder="1" applyAlignment="1">
      <alignment horizontal="center"/>
    </xf>
    <xf numFmtId="0" fontId="28" fillId="0" borderId="0" xfId="0" applyFont="1" applyAlignment="1">
      <alignment horizontal="center" vertical="center"/>
    </xf>
    <xf numFmtId="0" fontId="3" fillId="4" borderId="0" xfId="0" applyFont="1" applyFill="1" applyAlignment="1">
      <alignment horizontal="center" vertical="top"/>
    </xf>
    <xf numFmtId="0" fontId="12" fillId="0" borderId="7" xfId="0" applyFont="1" applyBorder="1" applyAlignment="1">
      <alignment horizontal="center"/>
    </xf>
    <xf numFmtId="0" fontId="65" fillId="8" borderId="2" xfId="0" applyFont="1" applyFill="1" applyBorder="1" applyAlignment="1">
      <alignment horizontal="center"/>
    </xf>
    <xf numFmtId="0" fontId="65" fillId="8" borderId="3" xfId="0" applyFont="1" applyFill="1" applyBorder="1" applyAlignment="1">
      <alignment horizontal="center"/>
    </xf>
    <xf numFmtId="0" fontId="65" fillId="9" borderId="2" xfId="0" applyFont="1" applyFill="1" applyBorder="1" applyAlignment="1">
      <alignment horizontal="center"/>
    </xf>
    <xf numFmtId="0" fontId="65" fillId="9" borderId="3" xfId="0" applyFont="1" applyFill="1" applyBorder="1" applyAlignment="1">
      <alignment horizontal="center"/>
    </xf>
    <xf numFmtId="0" fontId="12" fillId="7" borderId="2" xfId="0" applyFont="1" applyFill="1" applyBorder="1" applyAlignment="1">
      <alignment horizontal="center"/>
    </xf>
    <xf numFmtId="0" fontId="10" fillId="4" borderId="0" xfId="0" applyFont="1" applyFill="1" applyAlignment="1">
      <alignment horizontal="left" vertical="top" wrapText="1"/>
    </xf>
    <xf numFmtId="0" fontId="12" fillId="0" borderId="22" xfId="0" applyFont="1" applyBorder="1" applyAlignment="1">
      <alignment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22" xfId="0" applyFont="1" applyBorder="1" applyAlignment="1">
      <alignment horizontal="center" vertical="center"/>
    </xf>
    <xf numFmtId="0" fontId="3" fillId="0" borderId="21" xfId="0" applyFont="1" applyBorder="1" applyAlignment="1">
      <alignment horizontal="center" vertical="center"/>
    </xf>
    <xf numFmtId="0" fontId="3" fillId="6" borderId="7" xfId="0" applyFont="1" applyFill="1" applyBorder="1" applyAlignment="1">
      <alignment horizontal="center"/>
    </xf>
    <xf numFmtId="0" fontId="3" fillId="6" borderId="8" xfId="0" applyFont="1" applyFill="1" applyBorder="1" applyAlignment="1">
      <alignment horizontal="center"/>
    </xf>
    <xf numFmtId="0" fontId="16" fillId="6" borderId="2" xfId="0" applyFont="1" applyFill="1" applyBorder="1" applyAlignment="1">
      <alignment horizontal="center" wrapText="1"/>
    </xf>
    <xf numFmtId="0" fontId="16" fillId="6" borderId="3" xfId="0" applyFont="1" applyFill="1" applyBorder="1" applyAlignment="1">
      <alignment horizontal="center" wrapText="1"/>
    </xf>
    <xf numFmtId="0" fontId="16" fillId="7" borderId="7" xfId="0" applyFont="1" applyFill="1" applyBorder="1" applyAlignment="1">
      <alignment horizontal="center" wrapText="1"/>
    </xf>
    <xf numFmtId="0" fontId="16" fillId="7" borderId="8" xfId="0" applyFont="1" applyFill="1" applyBorder="1" applyAlignment="1">
      <alignment horizontal="center" wrapText="1"/>
    </xf>
    <xf numFmtId="0" fontId="16" fillId="7" borderId="19" xfId="0" applyFont="1" applyFill="1" applyBorder="1" applyAlignment="1">
      <alignment horizontal="center"/>
    </xf>
    <xf numFmtId="0" fontId="16" fillId="7" borderId="20" xfId="0" applyFont="1" applyFill="1" applyBorder="1" applyAlignment="1">
      <alignment horizontal="center"/>
    </xf>
    <xf numFmtId="0" fontId="3" fillId="6" borderId="6" xfId="0" applyFont="1" applyFill="1" applyBorder="1" applyAlignment="1">
      <alignment horizontal="center"/>
    </xf>
    <xf numFmtId="0" fontId="16" fillId="6" borderId="22" xfId="0" applyFont="1" applyFill="1" applyBorder="1" applyAlignment="1">
      <alignment horizontal="center" wrapText="1"/>
    </xf>
    <xf numFmtId="0" fontId="16" fillId="6" borderId="20" xfId="0" applyFont="1" applyFill="1" applyBorder="1" applyAlignment="1">
      <alignment horizontal="center" wrapText="1"/>
    </xf>
    <xf numFmtId="0" fontId="16" fillId="7" borderId="22" xfId="0" applyFont="1" applyFill="1" applyBorder="1" applyAlignment="1">
      <alignment horizontal="center" wrapText="1"/>
    </xf>
    <xf numFmtId="0" fontId="16" fillId="7" borderId="20" xfId="0" applyFont="1" applyFill="1" applyBorder="1" applyAlignment="1">
      <alignment horizontal="center" wrapText="1"/>
    </xf>
    <xf numFmtId="0" fontId="16" fillId="7" borderId="22" xfId="0" applyFont="1" applyFill="1" applyBorder="1" applyAlignment="1">
      <alignment horizontal="center"/>
    </xf>
    <xf numFmtId="0" fontId="16" fillId="7" borderId="30" xfId="0" applyFont="1" applyFill="1" applyBorder="1" applyAlignment="1">
      <alignment horizontal="center" wrapText="1"/>
    </xf>
    <xf numFmtId="0" fontId="16" fillId="7" borderId="29" xfId="0" applyFont="1" applyFill="1" applyBorder="1" applyAlignment="1">
      <alignment horizontal="center" wrapText="1"/>
    </xf>
    <xf numFmtId="0" fontId="15" fillId="0" borderId="11" xfId="0" applyFont="1" applyBorder="1" applyAlignment="1">
      <alignment horizontal="left" vertical="center"/>
    </xf>
    <xf numFmtId="0" fontId="15" fillId="0" borderId="11" xfId="0" applyFont="1" applyBorder="1" applyAlignment="1">
      <alignment wrapText="1"/>
    </xf>
    <xf numFmtId="0" fontId="15" fillId="0" borderId="9" xfId="0" applyFont="1" applyBorder="1" applyAlignment="1">
      <alignment horizontal="left" vertical="center"/>
    </xf>
    <xf numFmtId="0" fontId="15" fillId="0" borderId="11" xfId="0" applyFont="1" applyBorder="1" applyAlignment="1">
      <alignment horizontal="left" vertical="top"/>
    </xf>
    <xf numFmtId="0" fontId="3" fillId="0" borderId="36" xfId="0" applyFont="1" applyBorder="1" applyAlignment="1">
      <alignment horizontal="center"/>
    </xf>
    <xf numFmtId="0" fontId="14" fillId="11" borderId="9" xfId="0" applyFont="1" applyFill="1" applyBorder="1" applyAlignment="1"/>
    <xf numFmtId="0" fontId="14" fillId="11" borderId="11" xfId="0" applyFont="1" applyFill="1" applyBorder="1" applyAlignment="1"/>
    <xf numFmtId="0" fontId="14" fillId="11" borderId="15" xfId="0" applyFont="1" applyFill="1" applyBorder="1" applyAlignment="1"/>
  </cellXfs>
  <cellStyles count="3">
    <cellStyle name="Hyperlink" xfId="2" xr:uid="{00000000-000B-0000-0000-000008000000}"/>
    <cellStyle name="Normal" xfId="0" builtinId="0"/>
    <cellStyle name="Normal 2" xfId="1" xr:uid="{DA0D7FD7-B1CF-4E4A-9E90-53B2B04AFE20}"/>
  </cellStyles>
  <dxfs count="102">
    <dxf>
      <font>
        <b val="0"/>
        <i val="0"/>
        <strike val="0"/>
        <condense val="0"/>
        <extend val="0"/>
        <outline val="0"/>
        <shadow val="0"/>
        <u val="none"/>
        <vertAlign val="baseline"/>
        <sz val="11"/>
        <color rgb="FF000000"/>
        <name val="Aptos Narrow"/>
        <family val="2"/>
        <scheme val="minor"/>
      </font>
      <fill>
        <patternFill patternType="solid">
          <fgColor theme="0" tint="-0.14999847407452621"/>
          <bgColor theme="0" tint="-0.14999847407452621"/>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Narrow"/>
        <family val="2"/>
        <scheme val="minor"/>
      </font>
      <fill>
        <patternFill patternType="solid">
          <fgColor theme="0" tint="-0.14999847407452621"/>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0"/>
        <color rgb="FF000000"/>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0"/>
        <color rgb="FF000000"/>
        <name val="Aptos Narrow"/>
        <family val="2"/>
        <scheme val="minor"/>
      </font>
      <alignment horizontal="center" vertical="bottom" textRotation="0" wrapText="0" indent="0" justifyLastLine="0" shrinkToFit="0" readingOrder="0"/>
    </dxf>
    <dxf>
      <alignment horizontal="center" vertical="center" textRotation="0" indent="0" justifyLastLine="0" shrinkToFit="0" readingOrder="0"/>
      <border diagonalUp="0" diagonalDown="0">
        <left style="thin">
          <color rgb="FF000000"/>
        </left>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ill>
        <patternFill patternType="none">
          <fgColor indexed="64"/>
          <bgColor auto="1"/>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protection locked="0" hidden="0"/>
    </dxf>
    <dxf>
      <font>
        <b/>
        <family val="2"/>
      </font>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indent="0" justifyLastLine="0" shrinkToFit="0" readingOrder="0"/>
      <border diagonalUp="0" diagonalDown="0" outline="0">
        <left style="thin">
          <color rgb="FF000000"/>
        </left>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numFmt numFmtId="0" formatCode="General"/>
      <fill>
        <patternFill patternType="none">
          <fgColor indexed="64"/>
          <bgColor rgb="FFFFF0F3"/>
        </patternFill>
      </fill>
      <alignment horizontal="center" vertic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protection locked="1" hidden="0"/>
    </dxf>
    <dxf>
      <alignment horizontal="center" vertic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protection locked="0" hidden="0"/>
    </dxf>
    <dxf>
      <border diagonalUp="0" diagonalDown="0">
        <left style="thin">
          <color rgb="FF000000"/>
        </left>
        <right style="thin">
          <color rgb="FF000000"/>
        </right>
        <top style="thin">
          <color rgb="FF000000"/>
        </top>
      </border>
    </dxf>
    <dxf>
      <alignment horizontal="center" vertical="center" textRotation="0" indent="0" justifyLastLine="0" shrinkToFit="0" readingOrder="0"/>
      <protection locked="0" hidden="0"/>
    </dxf>
    <dxf>
      <font>
        <b/>
        <i val="0"/>
        <strike val="0"/>
        <condense val="0"/>
        <extend val="0"/>
        <outline val="0"/>
        <shadow val="0"/>
        <u val="none"/>
        <vertAlign val="baseline"/>
        <sz val="11"/>
        <color theme="0"/>
        <name val="Aptos Narrow"/>
        <family val="2"/>
        <scheme val="minor"/>
      </font>
      <alignment horizontal="general" vertical="bottom" textRotation="0" wrapText="0" indent="0" justifyLastLine="0" shrinkToFit="0" readingOrder="0"/>
      <border diagonalUp="0" diagonalDown="0">
        <left style="thin">
          <color rgb="FF000000"/>
        </left>
        <right style="thin">
          <color rgb="FF000000"/>
        </right>
        <top/>
        <bottom/>
      </border>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ill>
        <patternFill>
          <fgColor theme="7" tint="0.79998168889431442"/>
        </patternFill>
      </fill>
    </dxf>
    <dxf>
      <fill>
        <patternFill>
          <f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ill>
        <patternFill>
          <fgColor theme="7" tint="0.79998168889431442"/>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DAF2D0"/>
      <color rgb="FFFF00AA"/>
      <color rgb="FFFF4000"/>
      <color rgb="FFD9D9D9"/>
      <color rgb="FFFF0004"/>
      <color rgb="FFB5E6A2"/>
      <color rgb="FFDBBC1D"/>
      <color rgb="FF3C7D22"/>
      <color rgb="FF8ED973"/>
      <color rgb="FFFF4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30</xdr:row>
      <xdr:rowOff>12700</xdr:rowOff>
    </xdr:from>
    <xdr:to>
      <xdr:col>6</xdr:col>
      <xdr:colOff>59915</xdr:colOff>
      <xdr:row>44</xdr:row>
      <xdr:rowOff>114439</xdr:rowOff>
    </xdr:to>
    <xdr:pic>
      <xdr:nvPicPr>
        <xdr:cNvPr id="2" name="Grafik 1">
          <a:extLst>
            <a:ext uri="{FF2B5EF4-FFF2-40B4-BE49-F238E27FC236}">
              <a16:creationId xmlns:a16="http://schemas.microsoft.com/office/drawing/2014/main" id="{D90917D0-A0F5-B569-468C-18C3F077FF80}"/>
            </a:ext>
          </a:extLst>
        </xdr:cNvPr>
        <xdr:cNvPicPr>
          <a:picLocks noChangeAspect="1"/>
        </xdr:cNvPicPr>
      </xdr:nvPicPr>
      <xdr:blipFill>
        <a:blip xmlns:r="http://schemas.openxmlformats.org/officeDocument/2006/relationships" r:embed="rId1"/>
        <a:stretch>
          <a:fillRect/>
        </a:stretch>
      </xdr:blipFill>
      <xdr:spPr>
        <a:xfrm>
          <a:off x="629920" y="5133340"/>
          <a:ext cx="4393155" cy="27001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600075</xdr:colOff>
      <xdr:row>0</xdr:row>
      <xdr:rowOff>0</xdr:rowOff>
    </xdr:from>
    <xdr:to>
      <xdr:col>19</xdr:col>
      <xdr:colOff>38100</xdr:colOff>
      <xdr:row>6</xdr:row>
      <xdr:rowOff>644525</xdr:rowOff>
    </xdr:to>
    <xdr:pic>
      <xdr:nvPicPr>
        <xdr:cNvPr id="2" name="Bild 1">
          <a:extLst>
            <a:ext uri="{FF2B5EF4-FFF2-40B4-BE49-F238E27FC236}">
              <a16:creationId xmlns:a16="http://schemas.microsoft.com/office/drawing/2014/main" id="{A11D496E-CAC2-1F99-BD5F-959CF1491CF4}"/>
            </a:ext>
          </a:extLst>
        </xdr:cNvPr>
        <xdr:cNvPicPr>
          <a:picLocks noChangeAspect="1"/>
        </xdr:cNvPicPr>
      </xdr:nvPicPr>
      <xdr:blipFill>
        <a:blip xmlns:r="http://schemas.openxmlformats.org/officeDocument/2006/relationships" r:embed="rId1"/>
        <a:stretch>
          <a:fillRect/>
        </a:stretch>
      </xdr:blipFill>
      <xdr:spPr>
        <a:xfrm>
          <a:off x="12563475" y="0"/>
          <a:ext cx="4314825" cy="3667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ia Lopez" id="{F2378F52-9601-460E-AC8B-F4004E88149D}" userId="S::malo08@dfki.de::ecf6dbb4-6bfa-4e08-909b-201703b18513" providerId="AD"/>
  <person displayName="Aleksandra Davydova" id="{D1967EF0-0279-4114-AA3C-BE46E75EAA57}" userId="S::alekdav_food.dtu.dk#ext#@listlu.onmicrosoft.com::24a38d4a-0944-44ca-a99e-5068d4265020"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2044D8-9D0D-AD4E-9F0E-12B750F4C533}" name="Table5" displayName="Table5" ref="A3:D18" totalsRowShown="0">
  <autoFilter ref="A3:D18" xr:uid="{152044D8-9D0D-AD4E-9F0E-12B750F4C533}"/>
  <tableColumns count="4">
    <tableColumn id="1" xr3:uid="{9BE6EE91-E81E-C241-BBA2-C79B75717AB2}" name="Dimension"/>
    <tableColumn id="2" xr3:uid="{4EE0D58F-71E7-CC46-BA10-4110D3E7AA9F}" name="TargetGroups"/>
    <tableColumn id="4" xr3:uid="{AEE17A3F-7730-FC49-A400-7B5FBB975EAC}" name="Persons in the Group"/>
    <tableColumn id="3" xr3:uid="{E8780FCF-0ED3-4D91-8B1E-3FEFD002CCBC}" name="Institute (Affilia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1B642-B523-6F43-9258-B26E2071B1B7}" name="Table1" displayName="Table1" ref="A2:E10" totalsRowShown="0" headerRowDxfId="101" dataDxfId="100">
  <autoFilter ref="A2:E10" xr:uid="{D7A3BAC9-631B-854E-B44C-47ACE6A13904}">
    <filterColumn colId="0" hiddenButton="1"/>
    <filterColumn colId="1" hiddenButton="1"/>
    <filterColumn colId="2" hiddenButton="1"/>
    <filterColumn colId="3" hiddenButton="1"/>
    <filterColumn colId="4" hiddenButton="1"/>
  </autoFilter>
  <tableColumns count="5">
    <tableColumn id="1" xr3:uid="{49E3F30B-2BB2-D449-85BF-1BC8605690F1}" name="Level" dataDxfId="99">
      <calculatedColumnFormula>"Level "&amp;ROW()-2</calculatedColumnFormula>
    </tableColumn>
    <tableColumn id="5" xr3:uid="{C42E500B-5DD6-8244-B70E-A3CDD3641B99}" name="Sustenance Tasks Previous Level (Relapse Cause)" dataDxfId="98"/>
    <tableColumn id="4" xr3:uid="{505C0B15-367D-8F42-B8F4-ADC8F074A062}" name="Sustenance Tasks Current Level" dataDxfId="97"/>
    <tableColumn id="2" xr3:uid="{60337BEE-3156-9D42-AFC3-19F79268DF65}" name="Transition Tasks" dataDxfId="96"/>
    <tableColumn id="3" xr3:uid="{77053A51-FDB1-4C4B-B3B5-75E4F81111B4}" name="Level Name" dataDxfId="9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F9A4F1-A017-1542-AE89-A7A1FA5AA0E3}" name="Table12" displayName="Table12" ref="A2:Z327" totalsRowShown="0" headerRowDxfId="33" dataDxfId="32" tableBorderDxfId="31">
  <autoFilter ref="A2:Z327" xr:uid="{95F9A4F1-A017-1542-AE89-A7A1FA5AA0E3}"/>
  <sortState xmlns:xlrd2="http://schemas.microsoft.com/office/spreadsheetml/2017/richdata2" ref="A3:Z185">
    <sortCondition ref="Z2:Z185"/>
  </sortState>
  <tableColumns count="26">
    <tableColumn id="1" xr3:uid="{40883C5A-AB0D-BB41-ACF5-55A03E581AB4}" name="Wave" dataDxfId="30"/>
    <tableColumn id="2" xr3:uid="{92B36D25-5A94-E941-AAA8-D1AC8B1CB3B2}" name="Behavioral Change Variable" dataDxfId="29"/>
    <tableColumn id="3" xr3:uid="{405CA2BE-AF6F-B242-B98A-BA4652710AFC}" name="Type of activity" dataDxfId="28"/>
    <tableColumn id="4" xr3:uid="{ECA4AC9C-9BF9-B04A-AA49-D76EE56E8B1B}" name="TTM Stage" dataDxfId="27"/>
    <tableColumn id="5" xr3:uid="{88C11E22-6BB7-004D-8DB0-2A04CE61F335}" name="Task No." dataDxfId="26"/>
    <tableColumn id="6" xr3:uid="{05200F59-6D18-4C47-9161-27BA0DD28408}" name="Task Code" dataDxfId="25">
      <calculatedColumnFormula>""&amp;Table12[[#This Row],[TTM Stage]]&amp;Table12[[#This Row],[Task No.]]&amp;"-"&amp;Table12[[#This Row],[Type of activity]]&amp;"-"&amp;Table12[[#This Row],[TargetGroup]]</calculatedColumnFormula>
    </tableColumn>
    <tableColumn id="7" xr3:uid="{D7D07DF3-6340-D94E-824A-9D934FB71EE0}" name="Task Type" dataDxfId="24"/>
    <tableColumn id="8" xr3:uid="{CA02E432-BAB9-174C-82B9-4AC3BBD24F65}" name="SDT - Competence" dataDxfId="23"/>
    <tableColumn id="9" xr3:uid="{721348AB-4106-9F44-8FE6-748A564E3C63}" name="SDT - Autonomy" dataDxfId="22"/>
    <tableColumn id="10" xr3:uid="{FD880111-053D-9F44-BEAE-8B1FB23C343B}" name="SDT - Relatedness" dataDxfId="21"/>
    <tableColumn id="11" xr3:uid="{5EB87B32-F192-FE44-BCC1-CD738BA78277}" name="Task Title" dataDxfId="20"/>
    <tableColumn id="12" xr3:uid="{782879C3-ACA5-2F4A-8712-5714E2521B85}" name="TargetGroup" dataDxfId="19"/>
    <tableColumn id="13" xr3:uid="{03775D94-2D3C-9942-9B6D-35FA2F18DAA7}" name="Description" dataDxfId="18"/>
    <tableColumn id="14" xr3:uid="{32F8F987-619A-034D-B9AE-591654B24BA3}" name="Notes for configuration" dataDxfId="17"/>
    <tableColumn id="15" xr3:uid="{D6F176D0-1E66-094B-809E-3CAAB8BC521B}" name="Reward count (max_times_fired)" dataDxfId="16"/>
    <tableColumn id="16" xr3:uid="{1EA9A237-E4F6-C446-86F6-D3E700DF5903}" name="Timeframe ( in days) to reset reward count (min_days_to_fire)" dataDxfId="15"/>
    <tableColumn id="17" xr3:uid="{1EE70A57-46D8-6B48-B228-6AF7F04C656E}" name="Requirement - Image" dataDxfId="14"/>
    <tableColumn id="18" xr3:uid="{220BA92D-5C65-5841-A874-EDB871DD4475}" name="Requirement - Text" dataDxfId="13"/>
    <tableColumn id="19" xr3:uid="{18D1403F-CBE1-7141-A6E9-7DCE61F60A52}" name="Requirement - Other" dataDxfId="12"/>
    <tableColumn id="20" xr3:uid="{78AAD5EF-C826-DC42-9B50-37B410C0D505}" name="Allowed Activity Type" dataDxfId="11"/>
    <tableColumn id="21" xr3:uid="{D99B2918-D036-DD46-A537-FC9C8C359148}" name="Conditions - Property " dataDxfId="10"/>
    <tableColumn id="22" xr3:uid="{E8AD0B7F-7293-E64E-9023-FEDD7DD0CA39}" name="Conditions - Operator" dataDxfId="9"/>
    <tableColumn id="23" xr3:uid="{9AF12003-58A0-AE42-86F3-05F24DB761DA}" name="Conditions - Value" dataDxfId="8"/>
    <tableColumn id="24" xr3:uid="{A0460CA2-7709-2E4E-800A-1EDF1FA158B8}" name="Points" dataDxfId="7"/>
    <tableColumn id="25" xr3:uid="{6233C4C0-3CEB-6E4B-BC02-F3502524B4CA}" name="Data providers" dataDxfId="6"/>
    <tableColumn id="26" xr3:uid="{E9166332-0D9E-BB40-944E-297D7CD54921}" name="Current Status" dataDxfId="5"/>
  </tableColumns>
  <tableStyleInfo name="TableStyleDark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B3C97E-F6E5-034C-8996-EB1E8BC30099}" name="Dimensions" displayName="Dimensions" ref="A4:A7" totalsRowShown="0">
  <autoFilter ref="A4:A7" xr:uid="{68B3C97E-F6E5-034C-8996-EB1E8BC30099}"/>
  <tableColumns count="1">
    <tableColumn id="1" xr3:uid="{8A70FDC9-5AE2-8649-BD93-C9EC0E5FEAE1}" name="Dimension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3EA846-F665-BF46-9A34-B43E89E0EEE2}" name="TargetGroups" displayName="TargetGroups" ref="C4:C7" totalsRowShown="0">
  <autoFilter ref="C4:C7" xr:uid="{6C3EA846-F665-BF46-9A34-B43E89E0EEE2}"/>
  <tableColumns count="1">
    <tableColumn id="1" xr3:uid="{098E5195-7ABF-4747-9E87-BB38FF24D96E}" name="TargetGroup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66D026-3D6B-8B4B-8E6B-3CE03DC7D206}" name="TrialCountries" displayName="TrialCountries" ref="E4:E12" totalsRowShown="0">
  <autoFilter ref="E4:E12" xr:uid="{D466D026-3D6B-8B4B-8E6B-3CE03DC7D206}"/>
  <tableColumns count="1">
    <tableColumn id="1" xr3:uid="{314E9928-651C-6E47-87ED-A55B98B37B78}" name="TrialCountry"/>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524F3B-A775-B944-BEFD-E07E0043715D}" name="TTMStage" displayName="TTMStage" ref="G4:G9" totalsRowShown="0" dataDxfId="4">
  <autoFilter ref="G4:G9" xr:uid="{45524F3B-A775-B944-BEFD-E07E0043715D}"/>
  <tableColumns count="1">
    <tableColumn id="1" xr3:uid="{5A9134E8-FB2D-6F4F-B93A-33C09F7A46B9}" name="TTMStage" dataDxfId="3"/>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F70782-D09D-0741-B9A8-410E3D5448FC}" name="TaskTypes" displayName="TaskTypes" ref="I4:I19" totalsRowShown="0" dataDxfId="2" tableBorderDxfId="1">
  <autoFilter ref="I4:I19" xr:uid="{D8F70782-D09D-0741-B9A8-410E3D5448FC}"/>
  <tableColumns count="1">
    <tableColumn id="1" xr3:uid="{B321B174-A065-294B-A5CA-06EE7FE8B8F4}" name="TaskType" dataDxfId="0"/>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41452F3-78BF-A74F-918C-E1B5CD6DD0BB}" name="Waives" displayName="Waives" ref="K4:K11" totalsRowShown="0">
  <autoFilter ref="K4:K11" xr:uid="{741452F3-78BF-A74F-918C-E1B5CD6DD0BB}"/>
  <tableColumns count="1">
    <tableColumn id="1" xr3:uid="{FEA3ED0B-CE5E-0D49-865C-8EEE15581595}" name="Waves"/>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3" dT="2025-11-17T09:08:15.53" personId="{F2378F52-9601-460E-AC8B-F4004E88149D}" id="{8DEAF300-C04A-4E1D-A589-F8F720423D86}">
    <text>Task code</text>
  </threadedComment>
  <threadedComment ref="B5" dT="2025-11-17T09:09:29.05" personId="{F2378F52-9601-460E-AC8B-F4004E88149D}" id="{913F8803-4203-4F7E-B0E6-355442452543}">
    <text>Behavioral Change Category/Variable Code</text>
  </threadedComment>
  <threadedComment ref="D5" dT="2025-11-17T09:09:00.60" personId="{F2378F52-9601-460E-AC8B-F4004E88149D}" id="{8FF62CFC-CFE1-442D-B9C6-B0CA667588C5}">
    <text>Activity (Track) Code</text>
  </threadedComment>
  <threadedComment ref="C7" dT="2025-12-19T10:02:10.98" personId="{D1967EF0-0279-4114-AA3C-BE46E75EAA57}" id="{B9201838-488A-4EA4-9DF9-DCC96230C94F}">
    <text xml:space="preserve">Danish Health Authority recommends to limit sitting time making breaks
</text>
  </threadedComment>
  <threadedComment ref="C9" dT="2025-12-19T10:05:58.05" personId="{D1967EF0-0279-4114-AA3C-BE46E75EAA57}" id="{0E9F3537-434E-4C49-B2E0-6031A569FBBA}">
    <text xml:space="preserve">Danish Health Authority recommends at least 60 minutes per day of moderate PA (when you are slightly out of breath and 3 times per week when you are out of breath)  for children 5-17 y.o. </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5-11-17T09:09:00.60" personId="{F2378F52-9601-460E-AC8B-F4004E88149D}" id="{C98E431F-8C33-45F8-B335-B8F6B9DCC8F8}">
    <text>Activity (Track) Code</text>
  </threadedComment>
</ThreadedComments>
</file>

<file path=xl/threadedComments/threadedComment3.xml><?xml version="1.0" encoding="utf-8"?>
<ThreadedComments xmlns="http://schemas.microsoft.com/office/spreadsheetml/2018/threadedcomments" xmlns:x="http://schemas.openxmlformats.org/spreadsheetml/2006/main">
  <threadedComment ref="P9" dT="2025-12-09T09:50:00.16" personId="{F2378F52-9601-460E-AC8B-F4004E88149D}" id="{A84D2A09-2654-4D2A-9109-90ABD43FE7D5}">
    <text>This is yet to be fined-tuned</text>
  </threadedComment>
  <threadedComment ref="P10" dT="2025-12-09T09:50:00.16" personId="{F2378F52-9601-460E-AC8B-F4004E88149D}" id="{83258CCD-2E12-4604-9AD8-0AF52D96FF61}">
    <text>This is yet to be fined-tuned</text>
  </threadedComment>
  <threadedComment ref="P11" dT="2025-12-09T09:50:00.16" personId="{F2378F52-9601-460E-AC8B-F4004E88149D}" id="{65914534-9511-41C0-8DD7-23FA667E8D4B}">
    <text>This is yet to be fined-tuned</text>
  </threadedComment>
  <threadedComment ref="P12" dT="2025-12-09T09:50:00.16" personId="{F2378F52-9601-460E-AC8B-F4004E88149D}" id="{90E24116-7AFA-4C7E-9F43-9C4A1A75C059}">
    <text>This is yet to be fined-tuned</text>
  </threadedComment>
</ThreadedComments>
</file>

<file path=xl/threadedComments/threadedComment4.xml><?xml version="1.0" encoding="utf-8"?>
<ThreadedComments xmlns="http://schemas.microsoft.com/office/spreadsheetml/2018/threadedcomments" xmlns:x="http://schemas.openxmlformats.org/spreadsheetml/2006/main">
  <threadedComment ref="G5" dT="2025-11-17T09:08:15.53" personId="{F2378F52-9601-460E-AC8B-F4004E88149D}" id="{33FF714F-2376-994B-A706-A2EFAB449BFE}">
    <text>Task code</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loud.lih.lu/f/1936147" TargetMode="External"/><Relationship Id="rId1" Type="http://schemas.openxmlformats.org/officeDocument/2006/relationships/hyperlink" Target="https://cloud.lih.lu/f/1936355"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3" Type="http://schemas.openxmlformats.org/officeDocument/2006/relationships/hyperlink" Target="https://calendar.online/calendar-weeks/2026/13" TargetMode="External"/><Relationship Id="rId18" Type="http://schemas.openxmlformats.org/officeDocument/2006/relationships/hyperlink" Target="https://calendar.online/calendar-weeks/2026/18" TargetMode="External"/><Relationship Id="rId26" Type="http://schemas.openxmlformats.org/officeDocument/2006/relationships/hyperlink" Target="https://calendar.online/calendar-weeks/2026/26" TargetMode="External"/><Relationship Id="rId39" Type="http://schemas.openxmlformats.org/officeDocument/2006/relationships/hyperlink" Target="https://calendar.online/calendar-weeks/2026/39" TargetMode="External"/><Relationship Id="rId21" Type="http://schemas.openxmlformats.org/officeDocument/2006/relationships/hyperlink" Target="https://calendar.online/calendar-weeks/2026/21" TargetMode="External"/><Relationship Id="rId34" Type="http://schemas.openxmlformats.org/officeDocument/2006/relationships/hyperlink" Target="https://calendar.online/calendar-weeks/2026/34" TargetMode="External"/><Relationship Id="rId42" Type="http://schemas.openxmlformats.org/officeDocument/2006/relationships/hyperlink" Target="https://calendar.online/calendar-weeks/2026/42" TargetMode="External"/><Relationship Id="rId47" Type="http://schemas.openxmlformats.org/officeDocument/2006/relationships/hyperlink" Target="https://calendar.online/calendar-weeks/2026/47" TargetMode="External"/><Relationship Id="rId50" Type="http://schemas.openxmlformats.org/officeDocument/2006/relationships/hyperlink" Target="https://calendar.online/calendar-weeks/2026/50" TargetMode="External"/><Relationship Id="rId55" Type="http://schemas.openxmlformats.org/officeDocument/2006/relationships/hyperlink" Target="https://calendar.online/calendar-weeks/2027/2" TargetMode="External"/><Relationship Id="rId7" Type="http://schemas.openxmlformats.org/officeDocument/2006/relationships/hyperlink" Target="https://calendar.online/calendar-weeks/2026/7" TargetMode="External"/><Relationship Id="rId2" Type="http://schemas.openxmlformats.org/officeDocument/2006/relationships/hyperlink" Target="https://calendar.online/calendar-weeks/2026/2" TargetMode="External"/><Relationship Id="rId16" Type="http://schemas.openxmlformats.org/officeDocument/2006/relationships/hyperlink" Target="https://calendar.online/calendar-weeks/2026/16" TargetMode="External"/><Relationship Id="rId29" Type="http://schemas.openxmlformats.org/officeDocument/2006/relationships/hyperlink" Target="https://calendar.online/calendar-weeks/2026/29" TargetMode="External"/><Relationship Id="rId11" Type="http://schemas.openxmlformats.org/officeDocument/2006/relationships/hyperlink" Target="https://calendar.online/calendar-weeks/2026/11" TargetMode="External"/><Relationship Id="rId24" Type="http://schemas.openxmlformats.org/officeDocument/2006/relationships/hyperlink" Target="https://calendar.online/calendar-weeks/2026/24" TargetMode="External"/><Relationship Id="rId32" Type="http://schemas.openxmlformats.org/officeDocument/2006/relationships/hyperlink" Target="https://calendar.online/calendar-weeks/2026/32" TargetMode="External"/><Relationship Id="rId37" Type="http://schemas.openxmlformats.org/officeDocument/2006/relationships/hyperlink" Target="https://calendar.online/calendar-weeks/2026/37" TargetMode="External"/><Relationship Id="rId40" Type="http://schemas.openxmlformats.org/officeDocument/2006/relationships/hyperlink" Target="https://calendar.online/calendar-weeks/2026/40" TargetMode="External"/><Relationship Id="rId45" Type="http://schemas.openxmlformats.org/officeDocument/2006/relationships/hyperlink" Target="https://calendar.online/calendar-weeks/2026/45" TargetMode="External"/><Relationship Id="rId53" Type="http://schemas.openxmlformats.org/officeDocument/2006/relationships/hyperlink" Target="https://calendar.online/calendar-weeks/2026/53" TargetMode="External"/><Relationship Id="rId58" Type="http://schemas.openxmlformats.org/officeDocument/2006/relationships/hyperlink" Target="https://calendar.online/calendar-weeks/2027/5" TargetMode="External"/><Relationship Id="rId5" Type="http://schemas.openxmlformats.org/officeDocument/2006/relationships/hyperlink" Target="https://calendar.online/calendar-weeks/2026/5" TargetMode="External"/><Relationship Id="rId19" Type="http://schemas.openxmlformats.org/officeDocument/2006/relationships/hyperlink" Target="https://calendar.online/calendar-weeks/2026/19" TargetMode="External"/><Relationship Id="rId4" Type="http://schemas.openxmlformats.org/officeDocument/2006/relationships/hyperlink" Target="https://calendar.online/calendar-weeks/2026/4" TargetMode="External"/><Relationship Id="rId9" Type="http://schemas.openxmlformats.org/officeDocument/2006/relationships/hyperlink" Target="https://calendar.online/calendar-weeks/2026/9" TargetMode="External"/><Relationship Id="rId14" Type="http://schemas.openxmlformats.org/officeDocument/2006/relationships/hyperlink" Target="https://calendar.online/calendar-weeks/2026/14" TargetMode="External"/><Relationship Id="rId22" Type="http://schemas.openxmlformats.org/officeDocument/2006/relationships/hyperlink" Target="https://calendar.online/calendar-weeks/2026/22" TargetMode="External"/><Relationship Id="rId27" Type="http://schemas.openxmlformats.org/officeDocument/2006/relationships/hyperlink" Target="https://calendar.online/calendar-weeks/2026/27" TargetMode="External"/><Relationship Id="rId30" Type="http://schemas.openxmlformats.org/officeDocument/2006/relationships/hyperlink" Target="https://calendar.online/calendar-weeks/2026/30" TargetMode="External"/><Relationship Id="rId35" Type="http://schemas.openxmlformats.org/officeDocument/2006/relationships/hyperlink" Target="https://calendar.online/calendar-weeks/2026/35" TargetMode="External"/><Relationship Id="rId43" Type="http://schemas.openxmlformats.org/officeDocument/2006/relationships/hyperlink" Target="https://calendar.online/calendar-weeks/2026/43" TargetMode="External"/><Relationship Id="rId48" Type="http://schemas.openxmlformats.org/officeDocument/2006/relationships/hyperlink" Target="https://calendar.online/calendar-weeks/2026/48" TargetMode="External"/><Relationship Id="rId56" Type="http://schemas.openxmlformats.org/officeDocument/2006/relationships/hyperlink" Target="https://calendar.online/calendar-weeks/2027/3" TargetMode="External"/><Relationship Id="rId8" Type="http://schemas.openxmlformats.org/officeDocument/2006/relationships/hyperlink" Target="https://calendar.online/calendar-weeks/2026/8" TargetMode="External"/><Relationship Id="rId51" Type="http://schemas.openxmlformats.org/officeDocument/2006/relationships/hyperlink" Target="https://calendar.online/calendar-weeks/2026/51" TargetMode="External"/><Relationship Id="rId3" Type="http://schemas.openxmlformats.org/officeDocument/2006/relationships/hyperlink" Target="https://calendar.online/calendar-weeks/2026/3" TargetMode="External"/><Relationship Id="rId12" Type="http://schemas.openxmlformats.org/officeDocument/2006/relationships/hyperlink" Target="https://calendar.online/calendar-weeks/2026/12" TargetMode="External"/><Relationship Id="rId17" Type="http://schemas.openxmlformats.org/officeDocument/2006/relationships/hyperlink" Target="https://calendar.online/calendar-weeks/2026/17" TargetMode="External"/><Relationship Id="rId25" Type="http://schemas.openxmlformats.org/officeDocument/2006/relationships/hyperlink" Target="https://calendar.online/calendar-weeks/2026/25" TargetMode="External"/><Relationship Id="rId33" Type="http://schemas.openxmlformats.org/officeDocument/2006/relationships/hyperlink" Target="https://calendar.online/calendar-weeks/2026/33" TargetMode="External"/><Relationship Id="rId38" Type="http://schemas.openxmlformats.org/officeDocument/2006/relationships/hyperlink" Target="https://calendar.online/calendar-weeks/2026/38" TargetMode="External"/><Relationship Id="rId46" Type="http://schemas.openxmlformats.org/officeDocument/2006/relationships/hyperlink" Target="https://calendar.online/calendar-weeks/2026/46" TargetMode="External"/><Relationship Id="rId59" Type="http://schemas.openxmlformats.org/officeDocument/2006/relationships/hyperlink" Target="https://calendar.online/calendar-weeks/2027/6" TargetMode="External"/><Relationship Id="rId20" Type="http://schemas.openxmlformats.org/officeDocument/2006/relationships/hyperlink" Target="https://calendar.online/calendar-weeks/2026/20" TargetMode="External"/><Relationship Id="rId41" Type="http://schemas.openxmlformats.org/officeDocument/2006/relationships/hyperlink" Target="https://calendar.online/calendar-weeks/2026/41" TargetMode="External"/><Relationship Id="rId54" Type="http://schemas.openxmlformats.org/officeDocument/2006/relationships/hyperlink" Target="https://calendar.online/calendar-weeks/2027/1" TargetMode="External"/><Relationship Id="rId1" Type="http://schemas.openxmlformats.org/officeDocument/2006/relationships/hyperlink" Target="https://calendar.online/calendar-weeks/2026/1" TargetMode="External"/><Relationship Id="rId6" Type="http://schemas.openxmlformats.org/officeDocument/2006/relationships/hyperlink" Target="https://calendar.online/calendar-weeks/2026/6" TargetMode="External"/><Relationship Id="rId15" Type="http://schemas.openxmlformats.org/officeDocument/2006/relationships/hyperlink" Target="https://calendar.online/calendar-weeks/2026/15" TargetMode="External"/><Relationship Id="rId23" Type="http://schemas.openxmlformats.org/officeDocument/2006/relationships/hyperlink" Target="https://calendar.online/calendar-weeks/2026/23" TargetMode="External"/><Relationship Id="rId28" Type="http://schemas.openxmlformats.org/officeDocument/2006/relationships/hyperlink" Target="https://calendar.online/calendar-weeks/2026/28" TargetMode="External"/><Relationship Id="rId36" Type="http://schemas.openxmlformats.org/officeDocument/2006/relationships/hyperlink" Target="https://calendar.online/calendar-weeks/2026/36" TargetMode="External"/><Relationship Id="rId49" Type="http://schemas.openxmlformats.org/officeDocument/2006/relationships/hyperlink" Target="https://calendar.online/calendar-weeks/2026/49" TargetMode="External"/><Relationship Id="rId57" Type="http://schemas.openxmlformats.org/officeDocument/2006/relationships/hyperlink" Target="https://calendar.online/calendar-weeks/2027/4" TargetMode="External"/><Relationship Id="rId10" Type="http://schemas.openxmlformats.org/officeDocument/2006/relationships/hyperlink" Target="https://calendar.online/calendar-weeks/2026/10" TargetMode="External"/><Relationship Id="rId31" Type="http://schemas.openxmlformats.org/officeDocument/2006/relationships/hyperlink" Target="https://calendar.online/calendar-weeks/2026/31" TargetMode="External"/><Relationship Id="rId44" Type="http://schemas.openxmlformats.org/officeDocument/2006/relationships/hyperlink" Target="https://calendar.online/calendar-weeks/2026/44" TargetMode="External"/><Relationship Id="rId52" Type="http://schemas.openxmlformats.org/officeDocument/2006/relationships/hyperlink" Target="https://calendar.online/calendar-weeks/2026/52" TargetMode="External"/><Relationship Id="rId60" Type="http://schemas.openxmlformats.org/officeDocument/2006/relationships/hyperlink" Target="https://calendar.online/calendar-weeks/2027/6" TargetMode="External"/></Relationships>
</file>

<file path=xl/worksheets/_rels/sheet1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vmlDrawing" Target="../drawings/vmlDrawing4.v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CB24-1AAA-4F0B-A580-D308EB33C792}">
  <dimension ref="A1:Z58"/>
  <sheetViews>
    <sheetView workbookViewId="0">
      <selection activeCell="B52" sqref="B52"/>
    </sheetView>
  </sheetViews>
  <sheetFormatPr defaultColWidth="8.85546875" defaultRowHeight="14.45"/>
  <cols>
    <col min="2" max="2" width="26.85546875" customWidth="1"/>
  </cols>
  <sheetData>
    <row r="1" spans="1:7">
      <c r="A1" s="760" t="e" vm="1">
        <v>#VALUE!</v>
      </c>
      <c r="B1" s="760"/>
    </row>
    <row r="2" spans="1:7">
      <c r="A2" s="760"/>
      <c r="B2" s="760"/>
    </row>
    <row r="3" spans="1:7">
      <c r="A3" s="760"/>
      <c r="B3" s="760"/>
    </row>
    <row r="4" spans="1:7" s="59" customFormat="1">
      <c r="A4" s="158" t="s">
        <v>0</v>
      </c>
      <c r="B4" s="61" t="s">
        <v>1</v>
      </c>
      <c r="C4" s="61" t="s">
        <v>1</v>
      </c>
      <c r="D4" s="97" t="s">
        <v>1</v>
      </c>
      <c r="E4" s="97" t="s">
        <v>1</v>
      </c>
      <c r="F4" s="97" t="s">
        <v>1</v>
      </c>
      <c r="G4" s="97" t="s">
        <v>1</v>
      </c>
    </row>
    <row r="5" spans="1:7">
      <c r="A5" s="48"/>
      <c r="B5" s="138" t="s">
        <v>2</v>
      </c>
      <c r="C5" s="48"/>
      <c r="D5" s="58"/>
      <c r="E5" s="58"/>
      <c r="F5" s="58"/>
      <c r="G5" s="58"/>
    </row>
    <row r="6" spans="1:7" s="59" customFormat="1">
      <c r="A6" s="158" t="s">
        <v>3</v>
      </c>
      <c r="B6" s="61"/>
      <c r="C6" s="61" t="s">
        <v>1</v>
      </c>
      <c r="D6" s="97" t="s">
        <v>1</v>
      </c>
      <c r="E6" s="97" t="s">
        <v>1</v>
      </c>
      <c r="F6" s="97" t="s">
        <v>1</v>
      </c>
      <c r="G6" s="97" t="s">
        <v>1</v>
      </c>
    </row>
    <row r="7" spans="1:7">
      <c r="A7" s="7" t="s">
        <v>4</v>
      </c>
      <c r="B7" s="7" t="s">
        <v>5</v>
      </c>
      <c r="C7" s="7" t="s">
        <v>6</v>
      </c>
      <c r="D7" s="58"/>
      <c r="E7" s="58"/>
      <c r="F7" s="58"/>
      <c r="G7" s="58"/>
    </row>
    <row r="8" spans="1:7">
      <c r="A8" s="7">
        <v>1</v>
      </c>
      <c r="B8" s="138" t="s">
        <v>7</v>
      </c>
      <c r="C8" s="138" t="s">
        <v>8</v>
      </c>
      <c r="D8" s="58"/>
      <c r="E8" s="58"/>
      <c r="F8" s="58"/>
      <c r="G8" s="58"/>
    </row>
    <row r="9" spans="1:7">
      <c r="A9" s="7">
        <v>2</v>
      </c>
      <c r="B9" s="138" t="s">
        <v>9</v>
      </c>
      <c r="C9" s="138" t="s">
        <v>10</v>
      </c>
      <c r="D9" s="58"/>
      <c r="E9" s="58"/>
      <c r="F9" s="58"/>
      <c r="G9" s="58"/>
    </row>
    <row r="10" spans="1:7">
      <c r="A10" s="7">
        <v>3</v>
      </c>
      <c r="B10" s="48" t="s">
        <v>11</v>
      </c>
      <c r="C10" s="138" t="s">
        <v>12</v>
      </c>
      <c r="D10" s="58"/>
      <c r="E10" s="58"/>
      <c r="F10" s="58"/>
      <c r="G10" s="58"/>
    </row>
    <row r="11" spans="1:7">
      <c r="A11" s="7">
        <v>4</v>
      </c>
      <c r="B11" s="48" t="s">
        <v>13</v>
      </c>
      <c r="C11" s="138" t="s">
        <v>14</v>
      </c>
      <c r="D11" s="58"/>
      <c r="E11" s="58"/>
      <c r="F11" s="58"/>
      <c r="G11" s="58"/>
    </row>
    <row r="12" spans="1:7">
      <c r="A12" s="7">
        <v>5</v>
      </c>
      <c r="B12" s="60" t="s">
        <v>15</v>
      </c>
      <c r="C12" t="s">
        <v>16</v>
      </c>
      <c r="D12" s="58"/>
      <c r="E12" s="58"/>
      <c r="F12" s="58"/>
      <c r="G12" s="58"/>
    </row>
    <row r="13" spans="1:7">
      <c r="A13" s="7">
        <v>6</v>
      </c>
      <c r="B13" s="48" t="s">
        <v>17</v>
      </c>
      <c r="C13" s="138" t="s">
        <v>18</v>
      </c>
      <c r="D13" s="58"/>
      <c r="E13" s="58"/>
      <c r="F13" s="58"/>
      <c r="G13" s="58"/>
    </row>
    <row r="14" spans="1:7" ht="15">
      <c r="A14" s="216">
        <v>7</v>
      </c>
      <c r="B14" s="217" t="s">
        <v>19</v>
      </c>
      <c r="C14" s="218" t="s">
        <v>20</v>
      </c>
      <c r="D14" s="58"/>
      <c r="E14" s="58"/>
      <c r="F14" s="58"/>
      <c r="G14" s="58"/>
    </row>
    <row r="15" spans="1:7">
      <c r="A15" s="7">
        <v>8</v>
      </c>
      <c r="B15" s="138" t="s">
        <v>21</v>
      </c>
      <c r="C15" s="138" t="s">
        <v>22</v>
      </c>
      <c r="D15" s="58"/>
      <c r="E15" s="58"/>
      <c r="F15" s="58"/>
      <c r="G15" s="58"/>
    </row>
    <row r="16" spans="1:7">
      <c r="A16" s="7">
        <v>9</v>
      </c>
      <c r="B16" s="48" t="s">
        <v>23</v>
      </c>
      <c r="C16" s="138" t="s">
        <v>24</v>
      </c>
      <c r="D16" s="58"/>
      <c r="E16" s="58"/>
      <c r="F16" s="58"/>
      <c r="G16" s="58"/>
    </row>
    <row r="17" spans="1:26">
      <c r="A17" s="155">
        <v>10</v>
      </c>
      <c r="B17" s="167" t="s">
        <v>25</v>
      </c>
      <c r="C17" s="138" t="s">
        <v>26</v>
      </c>
      <c r="D17" s="58"/>
      <c r="E17" s="58"/>
      <c r="F17" s="58"/>
      <c r="G17" s="58"/>
    </row>
    <row r="19" spans="1:26" s="59" customFormat="1">
      <c r="A19" s="159" t="s">
        <v>27</v>
      </c>
    </row>
    <row r="21" spans="1:26" ht="15">
      <c r="A21" s="2" t="s">
        <v>28</v>
      </c>
      <c r="B21" s="220" t="s">
        <v>29</v>
      </c>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row>
    <row r="22" spans="1:26">
      <c r="A22" s="2" t="s">
        <v>30</v>
      </c>
      <c r="B22" t="s">
        <v>31</v>
      </c>
    </row>
    <row r="23" spans="1:26">
      <c r="A23" s="2" t="s">
        <v>32</v>
      </c>
      <c r="B23" t="s">
        <v>33</v>
      </c>
    </row>
    <row r="24" spans="1:26">
      <c r="B24" t="s">
        <v>34</v>
      </c>
      <c r="H24" s="160" t="s">
        <v>35</v>
      </c>
    </row>
    <row r="25" spans="1:26">
      <c r="B25" s="2" t="s">
        <v>36</v>
      </c>
      <c r="K25" s="160" t="s">
        <v>37</v>
      </c>
    </row>
    <row r="26" spans="1:26">
      <c r="B26" t="s">
        <v>38</v>
      </c>
    </row>
    <row r="27" spans="1:26">
      <c r="A27" s="2" t="s">
        <v>39</v>
      </c>
      <c r="B27" t="s">
        <v>40</v>
      </c>
    </row>
    <row r="28" spans="1:26" ht="15">
      <c r="A28" s="2" t="s">
        <v>41</v>
      </c>
      <c r="B28" s="219" t="s">
        <v>42</v>
      </c>
    </row>
    <row r="29" spans="1:26">
      <c r="A29" s="2" t="s">
        <v>43</v>
      </c>
      <c r="B29" t="s">
        <v>44</v>
      </c>
    </row>
    <row r="30" spans="1:26" ht="15">
      <c r="A30" s="2" t="s">
        <v>45</v>
      </c>
      <c r="B30" s="48" t="s">
        <v>46</v>
      </c>
    </row>
    <row r="31" spans="1:26" ht="15"/>
    <row r="32" spans="1:26" ht="15"/>
    <row r="33" spans="1:2" ht="15"/>
    <row r="34" spans="1:2" ht="15"/>
    <row r="46" spans="1:2" ht="15">
      <c r="A46" s="2" t="s">
        <v>47</v>
      </c>
      <c r="B46" s="48" t="s">
        <v>48</v>
      </c>
    </row>
    <row r="47" spans="1:2" ht="15">
      <c r="A47" s="2" t="s">
        <v>49</v>
      </c>
      <c r="B47" s="48" t="s">
        <v>50</v>
      </c>
    </row>
    <row r="48" spans="1:2" ht="15">
      <c r="A48" s="2" t="s">
        <v>51</v>
      </c>
      <c r="B48" s="48" t="s">
        <v>52</v>
      </c>
    </row>
    <row r="49" spans="1:2" ht="15">
      <c r="A49" s="2" t="s">
        <v>53</v>
      </c>
      <c r="B49" t="s">
        <v>54</v>
      </c>
    </row>
    <row r="50" spans="1:2" ht="15">
      <c r="B50" s="48" t="s">
        <v>55</v>
      </c>
    </row>
    <row r="51" spans="1:2" ht="15">
      <c r="B51" s="48" t="s">
        <v>56</v>
      </c>
    </row>
    <row r="52" spans="1:2" ht="15">
      <c r="B52" s="48" t="s">
        <v>57</v>
      </c>
    </row>
    <row r="53" spans="1:2">
      <c r="B53" t="s">
        <v>58</v>
      </c>
    </row>
    <row r="54" spans="1:2">
      <c r="B54" s="2" t="s">
        <v>59</v>
      </c>
    </row>
    <row r="55" spans="1:2">
      <c r="B55" t="s">
        <v>60</v>
      </c>
    </row>
    <row r="56" spans="1:2">
      <c r="B56" s="2" t="s">
        <v>61</v>
      </c>
    </row>
    <row r="57" spans="1:2">
      <c r="B57" s="2" t="s">
        <v>62</v>
      </c>
    </row>
    <row r="58" spans="1:2">
      <c r="B58" s="2" t="s">
        <v>63</v>
      </c>
    </row>
  </sheetData>
  <mergeCells count="1">
    <mergeCell ref="A1:B3"/>
  </mergeCells>
  <hyperlinks>
    <hyperlink ref="H24" r:id="rId1" xr:uid="{F03D9F20-9B69-433B-B0AF-5044DAE83277}"/>
    <hyperlink ref="K25" r:id="rId2" xr:uid="{14EA3FC8-A174-49FB-9F2C-7A739F03898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39A1-A20E-074D-B665-AC90F11DE225}">
  <dimension ref="A3:D10"/>
  <sheetViews>
    <sheetView workbookViewId="0">
      <selection activeCell="A10" sqref="A10"/>
    </sheetView>
  </sheetViews>
  <sheetFormatPr defaultColWidth="11.42578125" defaultRowHeight="14.45"/>
  <cols>
    <col min="1" max="1" width="25.85546875" customWidth="1"/>
    <col min="2" max="2" width="25" customWidth="1"/>
    <col min="3" max="3" width="20.85546875" customWidth="1"/>
    <col min="4" max="4" width="30.85546875" customWidth="1"/>
  </cols>
  <sheetData>
    <row r="3" spans="1:4">
      <c r="A3" t="s">
        <v>64</v>
      </c>
      <c r="B3" t="s">
        <v>65</v>
      </c>
      <c r="C3" t="s">
        <v>66</v>
      </c>
      <c r="D3" t="s">
        <v>67</v>
      </c>
    </row>
    <row r="4" spans="1:4">
      <c r="A4" t="s">
        <v>68</v>
      </c>
      <c r="B4" t="s">
        <v>69</v>
      </c>
      <c r="C4" t="s">
        <v>70</v>
      </c>
      <c r="D4" t="s">
        <v>71</v>
      </c>
    </row>
    <row r="5" spans="1:4">
      <c r="A5" t="s">
        <v>68</v>
      </c>
      <c r="B5" t="s">
        <v>72</v>
      </c>
      <c r="C5" t="s">
        <v>73</v>
      </c>
      <c r="D5" t="s">
        <v>74</v>
      </c>
    </row>
    <row r="6" spans="1:4">
      <c r="A6" t="s">
        <v>68</v>
      </c>
      <c r="B6" t="s">
        <v>75</v>
      </c>
      <c r="C6" t="s">
        <v>76</v>
      </c>
      <c r="D6" t="s">
        <v>77</v>
      </c>
    </row>
    <row r="7" spans="1:4">
      <c r="A7" t="s">
        <v>78</v>
      </c>
      <c r="B7" t="s">
        <v>72</v>
      </c>
      <c r="C7" t="s">
        <v>79</v>
      </c>
      <c r="D7" t="s">
        <v>74</v>
      </c>
    </row>
    <row r="8" spans="1:4">
      <c r="A8" t="s">
        <v>78</v>
      </c>
      <c r="B8" t="s">
        <v>75</v>
      </c>
      <c r="C8" t="s">
        <v>80</v>
      </c>
      <c r="D8" t="s">
        <v>81</v>
      </c>
    </row>
    <row r="9" spans="1:4">
      <c r="A9" t="s">
        <v>82</v>
      </c>
      <c r="B9" t="s">
        <v>72</v>
      </c>
      <c r="C9" t="s">
        <v>83</v>
      </c>
      <c r="D9" t="s">
        <v>74</v>
      </c>
    </row>
    <row r="10" spans="1:4">
      <c r="A10" t="s">
        <v>82</v>
      </c>
      <c r="B10" t="s">
        <v>75</v>
      </c>
      <c r="C10" t="s">
        <v>84</v>
      </c>
      <c r="D10" t="s">
        <v>85</v>
      </c>
    </row>
  </sheetData>
  <dataValidations count="2">
    <dataValidation type="list" allowBlank="1" showInputMessage="1" showErrorMessage="1" sqref="A4:A18" xr:uid="{718F6547-0C57-7B4F-8917-4E673612CB37}">
      <formula1>INDIRECT("Dimensions[Dimensions]")</formula1>
    </dataValidation>
    <dataValidation type="list" allowBlank="1" showInputMessage="1" showErrorMessage="1" sqref="B4:B18" xr:uid="{912BF659-6DE9-AA41-975C-37B71E688F53}">
      <formula1>INDIRECT("TargetGroups[TargetGroups]")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0F90-531D-A346-8506-D174CFB5C412}">
  <dimension ref="A1:I12"/>
  <sheetViews>
    <sheetView zoomScale="120" zoomScaleNormal="120" workbookViewId="0">
      <selection activeCell="G2" sqref="G2:I2"/>
    </sheetView>
  </sheetViews>
  <sheetFormatPr defaultColWidth="10.85546875" defaultRowHeight="15.75" customHeight="1"/>
  <cols>
    <col min="1" max="1" width="10.85546875" style="93"/>
    <col min="2" max="2" width="17.140625" style="93" customWidth="1"/>
    <col min="3" max="3" width="13.42578125" style="93" customWidth="1"/>
    <col min="4" max="4" width="11.85546875" style="93" customWidth="1"/>
    <col min="5" max="5" width="12.85546875" style="93" customWidth="1"/>
    <col min="6" max="6" width="19.140625" style="93" customWidth="1"/>
    <col min="7" max="16384" width="10.85546875" style="93"/>
  </cols>
  <sheetData>
    <row r="1" spans="1:9"/>
    <row r="2" spans="1:9" ht="60" customHeight="1">
      <c r="A2" s="96" t="s">
        <v>86</v>
      </c>
      <c r="B2" s="94" t="s">
        <v>87</v>
      </c>
      <c r="C2" s="94" t="s">
        <v>88</v>
      </c>
      <c r="D2" s="94" t="s">
        <v>89</v>
      </c>
      <c r="E2" s="96" t="s">
        <v>90</v>
      </c>
      <c r="G2" s="763" t="s">
        <v>91</v>
      </c>
      <c r="H2" s="764"/>
      <c r="I2" s="764"/>
    </row>
    <row r="3" spans="1:9">
      <c r="A3" s="95" t="str">
        <f t="shared" ref="A3:A10" si="0">"Level "&amp;ROW()-2</f>
        <v>Level 1</v>
      </c>
      <c r="B3" s="95" t="s">
        <v>92</v>
      </c>
      <c r="C3" s="95" t="s">
        <v>93</v>
      </c>
      <c r="D3" s="95" t="s">
        <v>94</v>
      </c>
      <c r="E3" s="95" t="s">
        <v>95</v>
      </c>
      <c r="G3" s="727" t="str">
        <f t="shared" ref="G3:G9" si="1">"Level "&amp;ROW()-2</f>
        <v>Level 1</v>
      </c>
      <c r="H3" s="728" t="s">
        <v>93</v>
      </c>
      <c r="I3" s="728" t="s">
        <v>94</v>
      </c>
    </row>
    <row r="4" spans="1:9">
      <c r="A4" s="95" t="str">
        <f t="shared" si="0"/>
        <v>Level 2</v>
      </c>
      <c r="B4" s="95" t="s">
        <v>93</v>
      </c>
      <c r="C4" s="95" t="s">
        <v>96</v>
      </c>
      <c r="D4" s="95" t="s">
        <v>97</v>
      </c>
      <c r="E4" s="95" t="s">
        <v>98</v>
      </c>
      <c r="G4" s="725" t="str">
        <f t="shared" si="1"/>
        <v>Level 2</v>
      </c>
      <c r="H4" s="726" t="s">
        <v>96</v>
      </c>
      <c r="I4" s="726" t="s">
        <v>97</v>
      </c>
    </row>
    <row r="5" spans="1:9">
      <c r="A5" s="149" t="str">
        <f>"Level "&amp;ROW()-2</f>
        <v>Level 3</v>
      </c>
      <c r="B5" s="149" t="s">
        <v>96</v>
      </c>
      <c r="C5" s="149" t="s">
        <v>99</v>
      </c>
      <c r="D5" s="149" t="s">
        <v>100</v>
      </c>
      <c r="E5" s="149" t="s">
        <v>101</v>
      </c>
      <c r="F5" s="761" t="s">
        <v>102</v>
      </c>
      <c r="G5" s="729" t="str">
        <f>"Level "&amp;ROW()-2</f>
        <v>Level 3</v>
      </c>
      <c r="H5" s="730" t="s">
        <v>99</v>
      </c>
      <c r="I5" s="730" t="s">
        <v>100</v>
      </c>
    </row>
    <row r="6" spans="1:9">
      <c r="A6" s="95" t="str">
        <f t="shared" si="0"/>
        <v>Level 4</v>
      </c>
      <c r="B6" s="95" t="s">
        <v>99</v>
      </c>
      <c r="C6" s="95" t="s">
        <v>100</v>
      </c>
      <c r="D6" s="95" t="s">
        <v>103</v>
      </c>
      <c r="E6" s="95" t="s">
        <v>104</v>
      </c>
      <c r="F6" s="762"/>
      <c r="G6" s="725" t="str">
        <f t="shared" si="1"/>
        <v>Level 4</v>
      </c>
      <c r="H6" s="726" t="s">
        <v>103</v>
      </c>
      <c r="I6" s="726" t="s">
        <v>105</v>
      </c>
    </row>
    <row r="7" spans="1:9">
      <c r="A7" s="95" t="str">
        <f t="shared" si="0"/>
        <v>Level 5</v>
      </c>
      <c r="B7" s="95" t="s">
        <v>92</v>
      </c>
      <c r="C7" s="95" t="s">
        <v>105</v>
      </c>
      <c r="D7" s="95" t="s">
        <v>106</v>
      </c>
      <c r="E7" s="95" t="s">
        <v>107</v>
      </c>
      <c r="G7" s="727" t="str">
        <f t="shared" si="1"/>
        <v>Level 5</v>
      </c>
      <c r="H7" s="728" t="s">
        <v>106</v>
      </c>
      <c r="I7" s="728" t="s">
        <v>108</v>
      </c>
    </row>
    <row r="8" spans="1:9">
      <c r="A8" s="95" t="str">
        <f t="shared" si="0"/>
        <v>Level 6</v>
      </c>
      <c r="B8" s="95" t="s">
        <v>105</v>
      </c>
      <c r="C8" s="95" t="s">
        <v>108</v>
      </c>
      <c r="D8" s="95" t="s">
        <v>109</v>
      </c>
      <c r="E8" s="95" t="s">
        <v>110</v>
      </c>
      <c r="G8" s="725" t="str">
        <f t="shared" si="1"/>
        <v>Level 6</v>
      </c>
      <c r="H8" s="726" t="s">
        <v>109</v>
      </c>
      <c r="I8" s="726" t="s">
        <v>111</v>
      </c>
    </row>
    <row r="9" spans="1:9">
      <c r="A9" s="95" t="str">
        <f t="shared" si="0"/>
        <v>Level 7</v>
      </c>
      <c r="B9" s="95" t="s">
        <v>108</v>
      </c>
      <c r="C9" s="95" t="s">
        <v>111</v>
      </c>
      <c r="D9" s="95" t="s">
        <v>112</v>
      </c>
      <c r="E9" s="95" t="s">
        <v>113</v>
      </c>
      <c r="G9" s="727" t="str">
        <f t="shared" si="1"/>
        <v>Level 7</v>
      </c>
      <c r="H9" s="728" t="s">
        <v>112</v>
      </c>
      <c r="I9" s="728" t="s">
        <v>114</v>
      </c>
    </row>
    <row r="10" spans="1:9">
      <c r="A10" s="95" t="str">
        <f t="shared" si="0"/>
        <v>Level 8</v>
      </c>
      <c r="B10" s="95" t="s">
        <v>111</v>
      </c>
      <c r="C10" s="95" t="s">
        <v>114</v>
      </c>
      <c r="D10" s="95" t="s">
        <v>92</v>
      </c>
      <c r="E10" s="95" t="s">
        <v>115</v>
      </c>
    </row>
    <row r="12" spans="1:9" ht="227.25" customHeight="1">
      <c r="B12" s="150" t="s">
        <v>116</v>
      </c>
      <c r="C12" s="150" t="s">
        <v>117</v>
      </c>
      <c r="D12" s="150" t="s">
        <v>118</v>
      </c>
    </row>
  </sheetData>
  <mergeCells count="2">
    <mergeCell ref="F5:F6"/>
    <mergeCell ref="G2:I2"/>
  </mergeCell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3342-C2CD-42AE-BA5C-5C71C2A07385}">
  <dimension ref="A1:Z56"/>
  <sheetViews>
    <sheetView topLeftCell="B1" zoomScale="110" zoomScaleNormal="110" workbookViewId="0">
      <pane xSplit="4" ySplit="3" topLeftCell="R34" activePane="bottomRight" state="frozen"/>
      <selection pane="bottomRight" activeCell="W38" sqref="W38"/>
      <selection pane="bottomLeft" activeCell="B4" sqref="B4"/>
      <selection pane="topRight" activeCell="F1" sqref="F1"/>
    </sheetView>
  </sheetViews>
  <sheetFormatPr defaultColWidth="11.42578125" defaultRowHeight="15" customHeight="1"/>
  <cols>
    <col min="1" max="1" width="17.42578125" customWidth="1"/>
    <col min="2" max="2" width="8" customWidth="1"/>
    <col min="3" max="3" width="35.42578125" style="3" customWidth="1"/>
    <col min="4" max="4" width="11" customWidth="1"/>
    <col min="5" max="5" width="25.85546875" customWidth="1"/>
    <col min="6" max="6" width="25" style="3" customWidth="1"/>
    <col min="7" max="7" width="22" customWidth="1"/>
    <col min="8" max="9" width="25.140625" customWidth="1"/>
    <col min="10" max="10" width="39.7109375" style="60" customWidth="1"/>
    <col min="11" max="11" width="41" style="60" customWidth="1"/>
    <col min="12" max="12" width="34.7109375" style="451" customWidth="1"/>
    <col min="13" max="13" width="43.140625" style="444" customWidth="1"/>
    <col min="14" max="14" width="38" style="60" customWidth="1"/>
    <col min="15" max="15" width="53.85546875" style="445" customWidth="1"/>
    <col min="16" max="16" width="37.28515625" style="60" customWidth="1"/>
    <col min="17" max="17" width="34.5703125" style="60" customWidth="1"/>
    <col min="18" max="19" width="30.7109375" style="60" customWidth="1"/>
    <col min="20" max="20" width="35.5703125" style="60" customWidth="1"/>
    <col min="21" max="21" width="39.42578125" style="60" customWidth="1"/>
    <col min="22" max="23" width="30.7109375" style="60" customWidth="1"/>
    <col min="24" max="24" width="12.42578125" style="60" customWidth="1"/>
    <col min="25" max="25" width="12.85546875" customWidth="1"/>
  </cols>
  <sheetData>
    <row r="1" spans="1:26">
      <c r="J1" s="772" t="s">
        <v>119</v>
      </c>
      <c r="K1" s="772"/>
      <c r="L1" s="772"/>
      <c r="M1" s="772"/>
      <c r="N1" s="772"/>
      <c r="O1" s="772"/>
      <c r="P1" s="772"/>
      <c r="Q1" s="772"/>
      <c r="R1" s="772"/>
      <c r="S1" s="772"/>
      <c r="T1" s="772"/>
      <c r="U1" s="772"/>
      <c r="V1" s="772"/>
      <c r="W1" s="772"/>
    </row>
    <row r="2" spans="1:26">
      <c r="J2" s="766" t="s">
        <v>120</v>
      </c>
      <c r="K2" s="767"/>
      <c r="L2" s="768" t="s">
        <v>121</v>
      </c>
      <c r="M2" s="769"/>
      <c r="N2" s="777" t="s">
        <v>122</v>
      </c>
      <c r="O2" s="777"/>
      <c r="P2" s="773" t="s">
        <v>123</v>
      </c>
      <c r="Q2" s="773"/>
      <c r="R2" s="773"/>
      <c r="S2" s="774"/>
      <c r="T2" s="775" t="s">
        <v>124</v>
      </c>
      <c r="U2" s="775"/>
      <c r="V2" s="775"/>
      <c r="W2" s="776"/>
      <c r="X2" s="394"/>
      <c r="Y2" s="5"/>
      <c r="Z2" s="5"/>
    </row>
    <row r="3" spans="1:26">
      <c r="A3" s="2" t="s">
        <v>64</v>
      </c>
      <c r="B3" s="2"/>
      <c r="C3" s="88" t="s">
        <v>125</v>
      </c>
      <c r="D3" s="6"/>
      <c r="E3" s="7" t="s">
        <v>126</v>
      </c>
      <c r="F3" s="89" t="s">
        <v>127</v>
      </c>
      <c r="G3" s="85" t="s">
        <v>128</v>
      </c>
      <c r="H3" s="85" t="s">
        <v>129</v>
      </c>
      <c r="I3" s="85" t="s">
        <v>130</v>
      </c>
      <c r="J3" s="395" t="s">
        <v>93</v>
      </c>
      <c r="K3" s="396" t="s">
        <v>131</v>
      </c>
      <c r="L3" s="395" t="s">
        <v>96</v>
      </c>
      <c r="M3" s="397" t="s">
        <v>132</v>
      </c>
      <c r="N3" s="396" t="s">
        <v>99</v>
      </c>
      <c r="O3" s="398" t="s">
        <v>133</v>
      </c>
      <c r="P3" s="396" t="s">
        <v>134</v>
      </c>
      <c r="Q3" s="396" t="s">
        <v>135</v>
      </c>
      <c r="R3" s="396" t="s">
        <v>136</v>
      </c>
      <c r="S3" s="399" t="s">
        <v>137</v>
      </c>
      <c r="T3" s="396" t="s">
        <v>105</v>
      </c>
      <c r="U3" s="396" t="s">
        <v>108</v>
      </c>
      <c r="V3" s="396" t="s">
        <v>111</v>
      </c>
      <c r="W3" s="399" t="s">
        <v>114</v>
      </c>
      <c r="X3" s="400"/>
    </row>
    <row r="4" spans="1:26" ht="44.25" customHeight="1">
      <c r="A4" s="2"/>
      <c r="B4" s="2"/>
      <c r="C4" s="88"/>
      <c r="D4" s="6"/>
      <c r="E4" s="7"/>
      <c r="J4" s="401" t="s">
        <v>138</v>
      </c>
      <c r="K4" s="415" t="s">
        <v>139</v>
      </c>
      <c r="L4" s="401" t="s">
        <v>140</v>
      </c>
      <c r="M4" s="403" t="s">
        <v>141</v>
      </c>
      <c r="N4" s="402" t="s">
        <v>142</v>
      </c>
      <c r="O4" s="404" t="s">
        <v>143</v>
      </c>
      <c r="P4" s="402" t="s">
        <v>144</v>
      </c>
      <c r="Q4" s="401" t="s">
        <v>145</v>
      </c>
      <c r="R4" s="401" t="s">
        <v>146</v>
      </c>
      <c r="S4" s="401" t="s">
        <v>147</v>
      </c>
      <c r="T4" s="401" t="s">
        <v>148</v>
      </c>
      <c r="U4" s="401" t="s">
        <v>149</v>
      </c>
      <c r="V4" s="401" t="s">
        <v>150</v>
      </c>
      <c r="W4" s="401" t="s">
        <v>151</v>
      </c>
      <c r="X4" s="400"/>
    </row>
    <row r="5" spans="1:26" ht="60" customHeight="1">
      <c r="A5" s="49" t="s">
        <v>68</v>
      </c>
      <c r="B5" s="50" t="s">
        <v>152</v>
      </c>
      <c r="C5" s="342" t="s">
        <v>153</v>
      </c>
      <c r="D5" s="53" t="s">
        <v>154</v>
      </c>
      <c r="E5" s="54" t="s">
        <v>155</v>
      </c>
      <c r="F5" s="86" t="s">
        <v>156</v>
      </c>
      <c r="G5" s="86" t="s">
        <v>157</v>
      </c>
      <c r="H5" s="81" t="s">
        <v>156</v>
      </c>
      <c r="I5" s="81" t="s">
        <v>158</v>
      </c>
      <c r="J5" s="405" t="s">
        <v>159</v>
      </c>
      <c r="K5" s="452" t="s">
        <v>160</v>
      </c>
      <c r="L5" s="405" t="s">
        <v>161</v>
      </c>
      <c r="M5" s="406" t="s">
        <v>162</v>
      </c>
      <c r="N5" s="407" t="s">
        <v>163</v>
      </c>
      <c r="O5" s="408" t="s">
        <v>164</v>
      </c>
      <c r="P5" s="409" t="s">
        <v>165</v>
      </c>
      <c r="Q5" s="410" t="s">
        <v>166</v>
      </c>
      <c r="R5" s="410" t="s">
        <v>167</v>
      </c>
      <c r="S5" s="410" t="s">
        <v>168</v>
      </c>
      <c r="T5" s="410" t="s">
        <v>169</v>
      </c>
      <c r="U5" s="410" t="s">
        <v>170</v>
      </c>
      <c r="V5" s="410" t="s">
        <v>171</v>
      </c>
      <c r="W5" s="410" t="s">
        <v>172</v>
      </c>
      <c r="X5" s="400"/>
    </row>
    <row r="6" spans="1:26" ht="60" customHeight="1">
      <c r="A6" s="49"/>
      <c r="B6" s="51" t="s">
        <v>173</v>
      </c>
      <c r="C6" s="52" t="s">
        <v>174</v>
      </c>
      <c r="D6" s="55" t="s">
        <v>175</v>
      </c>
      <c r="E6" s="55" t="s">
        <v>176</v>
      </c>
      <c r="F6" s="86" t="s">
        <v>156</v>
      </c>
      <c r="G6" s="86" t="s">
        <v>177</v>
      </c>
      <c r="H6" s="86" t="s">
        <v>178</v>
      </c>
      <c r="I6" s="86" t="s">
        <v>179</v>
      </c>
      <c r="J6" s="221" t="s">
        <v>180</v>
      </c>
      <c r="K6" s="453" t="s">
        <v>181</v>
      </c>
      <c r="L6" s="325" t="s">
        <v>182</v>
      </c>
      <c r="M6" s="411" t="s">
        <v>183</v>
      </c>
      <c r="N6" s="412" t="s">
        <v>184</v>
      </c>
      <c r="O6" s="413" t="s">
        <v>185</v>
      </c>
      <c r="P6" s="330" t="s">
        <v>186</v>
      </c>
      <c r="Q6" s="325" t="s">
        <v>187</v>
      </c>
      <c r="R6" s="325" t="s">
        <v>188</v>
      </c>
      <c r="S6" s="325" t="s">
        <v>189</v>
      </c>
      <c r="T6" s="221" t="s">
        <v>190</v>
      </c>
      <c r="U6" s="221" t="s">
        <v>191</v>
      </c>
      <c r="V6" s="221" t="s">
        <v>192</v>
      </c>
      <c r="W6" s="221" t="s">
        <v>193</v>
      </c>
      <c r="X6" s="400"/>
    </row>
    <row r="7" spans="1:26" ht="60" customHeight="1">
      <c r="A7" s="49"/>
      <c r="B7" s="771" t="s">
        <v>194</v>
      </c>
      <c r="C7" s="778" t="s">
        <v>195</v>
      </c>
      <c r="D7" s="56" t="s">
        <v>196</v>
      </c>
      <c r="E7" s="311" t="s">
        <v>197</v>
      </c>
      <c r="F7" s="86" t="s">
        <v>92</v>
      </c>
      <c r="G7" s="81" t="s">
        <v>92</v>
      </c>
      <c r="H7" s="81" t="s">
        <v>198</v>
      </c>
      <c r="I7" s="86" t="s">
        <v>199</v>
      </c>
      <c r="J7" s="312" t="s">
        <v>200</v>
      </c>
      <c r="K7" s="779" t="s">
        <v>201</v>
      </c>
      <c r="L7" s="325" t="s">
        <v>202</v>
      </c>
      <c r="M7" s="326" t="s">
        <v>203</v>
      </c>
      <c r="N7" s="414" t="s">
        <v>204</v>
      </c>
      <c r="O7" s="414" t="s">
        <v>205</v>
      </c>
      <c r="P7" s="221" t="s">
        <v>206</v>
      </c>
      <c r="Q7" s="221" t="s">
        <v>207</v>
      </c>
      <c r="R7" s="221" t="s">
        <v>208</v>
      </c>
      <c r="S7" s="221" t="s">
        <v>209</v>
      </c>
      <c r="T7" s="327" t="s">
        <v>210</v>
      </c>
      <c r="U7" s="221" t="s">
        <v>211</v>
      </c>
      <c r="V7" s="221" t="s">
        <v>212</v>
      </c>
      <c r="W7" s="221" t="s">
        <v>213</v>
      </c>
      <c r="X7" s="400"/>
    </row>
    <row r="8" spans="1:26" ht="60" customHeight="1">
      <c r="A8" s="49"/>
      <c r="B8" s="771"/>
      <c r="C8" s="778"/>
      <c r="D8" s="56" t="s">
        <v>214</v>
      </c>
      <c r="E8" s="311" t="s">
        <v>215</v>
      </c>
      <c r="F8" s="86" t="s">
        <v>92</v>
      </c>
      <c r="G8" s="81" t="s">
        <v>92</v>
      </c>
      <c r="H8" s="81" t="s">
        <v>198</v>
      </c>
      <c r="I8" s="83" t="s">
        <v>216</v>
      </c>
      <c r="J8" s="415" t="s">
        <v>217</v>
      </c>
      <c r="K8" s="779"/>
      <c r="L8" s="221" t="s">
        <v>218</v>
      </c>
      <c r="M8" s="332" t="s">
        <v>219</v>
      </c>
      <c r="N8" s="412" t="s">
        <v>220</v>
      </c>
      <c r="O8" s="414" t="s">
        <v>221</v>
      </c>
      <c r="P8" s="416" t="s">
        <v>222</v>
      </c>
      <c r="Q8" s="416" t="s">
        <v>223</v>
      </c>
      <c r="R8" s="416" t="s">
        <v>224</v>
      </c>
      <c r="S8" s="416" t="s">
        <v>225</v>
      </c>
      <c r="T8" s="416" t="s">
        <v>226</v>
      </c>
      <c r="U8" s="416" t="s">
        <v>227</v>
      </c>
      <c r="V8" s="416" t="s">
        <v>228</v>
      </c>
      <c r="W8" s="416" t="s">
        <v>229</v>
      </c>
      <c r="X8" s="400"/>
    </row>
    <row r="9" spans="1:26" ht="60" customHeight="1">
      <c r="A9" s="49"/>
      <c r="B9" s="771"/>
      <c r="C9" s="357"/>
      <c r="D9" s="56" t="s">
        <v>230</v>
      </c>
      <c r="E9" s="358" t="s">
        <v>231</v>
      </c>
      <c r="F9" s="83" t="s">
        <v>156</v>
      </c>
      <c r="G9" s="82"/>
      <c r="H9" s="82" t="s">
        <v>232</v>
      </c>
      <c r="I9" s="87" t="s">
        <v>233</v>
      </c>
      <c r="J9" s="337" t="s">
        <v>234</v>
      </c>
      <c r="K9" s="446" t="s">
        <v>235</v>
      </c>
      <c r="L9" s="446" t="s">
        <v>236</v>
      </c>
      <c r="M9" s="326" t="s">
        <v>237</v>
      </c>
      <c r="N9" s="338" t="s">
        <v>238</v>
      </c>
      <c r="O9" s="184" t="s">
        <v>239</v>
      </c>
      <c r="P9" s="416" t="s">
        <v>240</v>
      </c>
      <c r="Q9" s="416" t="s">
        <v>241</v>
      </c>
      <c r="R9" s="416" t="s">
        <v>242</v>
      </c>
      <c r="S9" s="416" t="s">
        <v>243</v>
      </c>
      <c r="T9" s="416" t="s">
        <v>244</v>
      </c>
      <c r="U9" s="416" t="s">
        <v>245</v>
      </c>
      <c r="V9" s="416" t="s">
        <v>246</v>
      </c>
      <c r="W9" s="416" t="s">
        <v>247</v>
      </c>
      <c r="X9" s="400"/>
    </row>
    <row r="10" spans="1:26" ht="110.25" customHeight="1">
      <c r="A10" s="49"/>
      <c r="B10" s="687" t="s">
        <v>248</v>
      </c>
      <c r="C10" s="357" t="s">
        <v>249</v>
      </c>
      <c r="D10" s="56"/>
      <c r="E10" s="358"/>
      <c r="F10" s="83"/>
      <c r="G10" s="82"/>
      <c r="H10" s="82"/>
      <c r="I10" s="87"/>
      <c r="J10" s="736" t="s">
        <v>250</v>
      </c>
      <c r="K10" s="736" t="s">
        <v>251</v>
      </c>
      <c r="L10" s="754" t="s">
        <v>252</v>
      </c>
      <c r="M10" s="747" t="s">
        <v>253</v>
      </c>
      <c r="N10" s="747" t="s">
        <v>254</v>
      </c>
      <c r="O10" s="755" t="s">
        <v>255</v>
      </c>
      <c r="P10" s="747" t="s">
        <v>256</v>
      </c>
      <c r="Q10" s="747" t="s">
        <v>257</v>
      </c>
      <c r="R10" s="747" t="s">
        <v>258</v>
      </c>
      <c r="S10" s="747" t="s">
        <v>259</v>
      </c>
      <c r="T10" s="747" t="s">
        <v>260</v>
      </c>
      <c r="U10" s="747" t="s">
        <v>261</v>
      </c>
      <c r="V10" s="747" t="s">
        <v>262</v>
      </c>
      <c r="W10" s="747" t="s">
        <v>263</v>
      </c>
      <c r="X10" s="400"/>
    </row>
    <row r="11" spans="1:26" ht="150" customHeight="1">
      <c r="A11" s="49"/>
      <c r="B11" s="687" t="s">
        <v>264</v>
      </c>
      <c r="C11" s="357" t="s">
        <v>265</v>
      </c>
      <c r="D11" s="56"/>
      <c r="E11" s="358"/>
      <c r="F11" s="83"/>
      <c r="G11" s="82"/>
      <c r="H11" s="82"/>
      <c r="I11" s="87"/>
      <c r="J11" s="736" t="s">
        <v>266</v>
      </c>
      <c r="K11" s="736" t="s">
        <v>267</v>
      </c>
      <c r="L11" s="736" t="s">
        <v>268</v>
      </c>
      <c r="M11" s="736" t="s">
        <v>269</v>
      </c>
      <c r="N11" s="736" t="s">
        <v>270</v>
      </c>
      <c r="O11" s="736" t="s">
        <v>271</v>
      </c>
      <c r="P11" s="747" t="s">
        <v>272</v>
      </c>
      <c r="Q11" s="747" t="s">
        <v>273</v>
      </c>
      <c r="R11" s="747" t="s">
        <v>274</v>
      </c>
      <c r="S11" s="747" t="s">
        <v>275</v>
      </c>
      <c r="T11" s="736" t="s">
        <v>276</v>
      </c>
      <c r="U11" s="736" t="s">
        <v>277</v>
      </c>
      <c r="V11" s="747" t="s">
        <v>278</v>
      </c>
      <c r="W11" s="747" t="s">
        <v>279</v>
      </c>
      <c r="X11" s="400"/>
    </row>
    <row r="12" spans="1:26" ht="147" customHeight="1">
      <c r="A12" s="49"/>
      <c r="B12" s="687" t="s">
        <v>280</v>
      </c>
      <c r="C12" s="357" t="s">
        <v>281</v>
      </c>
      <c r="D12" s="56" t="s">
        <v>282</v>
      </c>
      <c r="E12" s="358" t="s">
        <v>283</v>
      </c>
      <c r="F12" s="83"/>
      <c r="G12" s="82"/>
      <c r="H12" s="82"/>
      <c r="I12" s="87"/>
      <c r="J12" s="756" t="s">
        <v>284</v>
      </c>
      <c r="K12" s="756" t="s">
        <v>285</v>
      </c>
      <c r="L12" s="756" t="s">
        <v>286</v>
      </c>
      <c r="M12" s="736" t="s">
        <v>287</v>
      </c>
      <c r="N12" s="756" t="s">
        <v>288</v>
      </c>
      <c r="O12" s="755" t="s">
        <v>289</v>
      </c>
      <c r="P12" s="736" t="s">
        <v>290</v>
      </c>
      <c r="Q12" s="736" t="s">
        <v>291</v>
      </c>
      <c r="R12" s="736" t="s">
        <v>292</v>
      </c>
      <c r="S12" s="747" t="s">
        <v>293</v>
      </c>
      <c r="T12" s="747" t="s">
        <v>294</v>
      </c>
      <c r="U12" s="747" t="s">
        <v>295</v>
      </c>
      <c r="V12" s="736" t="s">
        <v>296</v>
      </c>
      <c r="W12" s="747" t="s">
        <v>297</v>
      </c>
      <c r="X12" s="400"/>
    </row>
    <row r="13" spans="1:26" ht="96.75" customHeight="1">
      <c r="A13" s="49"/>
      <c r="B13" s="687"/>
      <c r="C13" s="357"/>
      <c r="D13" s="56" t="s">
        <v>298</v>
      </c>
      <c r="E13" s="358" t="s">
        <v>299</v>
      </c>
      <c r="F13" s="83"/>
      <c r="G13" s="82"/>
      <c r="H13" s="82"/>
      <c r="I13" s="87"/>
      <c r="J13" s="747" t="s">
        <v>300</v>
      </c>
      <c r="K13" s="757" t="s">
        <v>301</v>
      </c>
      <c r="L13" s="754" t="s">
        <v>302</v>
      </c>
      <c r="M13" s="758" t="s">
        <v>303</v>
      </c>
      <c r="N13" s="306" t="s">
        <v>304</v>
      </c>
      <c r="O13" s="736" t="s">
        <v>305</v>
      </c>
      <c r="P13" s="736" t="s">
        <v>306</v>
      </c>
      <c r="Q13" s="736" t="s">
        <v>307</v>
      </c>
      <c r="R13" s="747" t="s">
        <v>308</v>
      </c>
      <c r="S13" s="747" t="s">
        <v>309</v>
      </c>
      <c r="T13" s="747" t="s">
        <v>310</v>
      </c>
      <c r="U13" s="747" t="s">
        <v>311</v>
      </c>
      <c r="V13" s="747" t="s">
        <v>312</v>
      </c>
      <c r="W13" s="747" t="s">
        <v>313</v>
      </c>
      <c r="X13" s="400"/>
    </row>
    <row r="14" spans="1:26" ht="60" customHeight="1">
      <c r="A14" s="49"/>
      <c r="B14" s="687" t="s">
        <v>314</v>
      </c>
      <c r="C14" s="357" t="s">
        <v>315</v>
      </c>
      <c r="D14" s="56"/>
      <c r="E14" s="358" t="s">
        <v>316</v>
      </c>
      <c r="F14" s="83"/>
      <c r="G14" s="82"/>
      <c r="H14" s="82"/>
      <c r="I14" s="87"/>
      <c r="J14" s="759" t="s">
        <v>317</v>
      </c>
      <c r="K14" s="757" t="s">
        <v>318</v>
      </c>
      <c r="L14" s="754" t="s">
        <v>319</v>
      </c>
      <c r="M14" s="758" t="s">
        <v>320</v>
      </c>
      <c r="N14" s="306" t="s">
        <v>321</v>
      </c>
      <c r="O14" s="736" t="s">
        <v>322</v>
      </c>
      <c r="P14" s="747" t="s">
        <v>323</v>
      </c>
      <c r="Q14" s="747" t="s">
        <v>324</v>
      </c>
      <c r="R14" s="747" t="s">
        <v>325</v>
      </c>
      <c r="S14" s="747" t="s">
        <v>326</v>
      </c>
      <c r="T14" s="747" t="s">
        <v>327</v>
      </c>
      <c r="U14" s="747" t="s">
        <v>328</v>
      </c>
      <c r="V14" s="747" t="s">
        <v>329</v>
      </c>
      <c r="W14" s="747" t="s">
        <v>330</v>
      </c>
      <c r="X14" s="400"/>
    </row>
    <row r="15" spans="1:26" ht="60" customHeight="1">
      <c r="A15" s="353" t="s">
        <v>82</v>
      </c>
      <c r="B15" s="186" t="s">
        <v>331</v>
      </c>
      <c r="C15" s="354" t="s">
        <v>332</v>
      </c>
      <c r="D15" s="156" t="s">
        <v>333</v>
      </c>
      <c r="E15" s="187" t="s">
        <v>334</v>
      </c>
      <c r="F15" s="84" t="s">
        <v>335</v>
      </c>
      <c r="H15" t="s">
        <v>336</v>
      </c>
      <c r="I15" s="58" t="s">
        <v>337</v>
      </c>
      <c r="J15" s="269" t="s">
        <v>338</v>
      </c>
      <c r="K15" s="417" t="s">
        <v>339</v>
      </c>
      <c r="L15" s="418" t="s">
        <v>340</v>
      </c>
      <c r="M15" s="418" t="s">
        <v>340</v>
      </c>
      <c r="N15" s="306" t="s">
        <v>341</v>
      </c>
      <c r="O15" s="419" t="s">
        <v>342</v>
      </c>
      <c r="P15" s="420" t="s">
        <v>343</v>
      </c>
      <c r="Q15" s="420" t="s">
        <v>344</v>
      </c>
      <c r="R15" s="420" t="s">
        <v>345</v>
      </c>
      <c r="S15" s="420" t="s">
        <v>346</v>
      </c>
      <c r="T15" s="421" t="s">
        <v>347</v>
      </c>
      <c r="U15" s="421" t="s">
        <v>348</v>
      </c>
      <c r="V15" s="421" t="s">
        <v>349</v>
      </c>
      <c r="W15" s="421" t="s">
        <v>350</v>
      </c>
    </row>
    <row r="16" spans="1:26" ht="60" customHeight="1">
      <c r="A16" s="353"/>
      <c r="B16" s="185"/>
      <c r="C16" s="354"/>
      <c r="D16" s="156" t="s">
        <v>351</v>
      </c>
      <c r="E16" s="187" t="s">
        <v>352</v>
      </c>
      <c r="F16" s="84" t="s">
        <v>335</v>
      </c>
      <c r="H16" t="s">
        <v>336</v>
      </c>
      <c r="I16" s="58" t="s">
        <v>353</v>
      </c>
      <c r="J16" s="269" t="s">
        <v>354</v>
      </c>
      <c r="K16" s="417" t="s">
        <v>355</v>
      </c>
      <c r="L16" s="418" t="s">
        <v>356</v>
      </c>
      <c r="M16" s="332" t="s">
        <v>357</v>
      </c>
      <c r="N16" s="418" t="s">
        <v>358</v>
      </c>
      <c r="O16" s="422" t="s">
        <v>359</v>
      </c>
      <c r="P16" s="423" t="s">
        <v>360</v>
      </c>
      <c r="Q16" s="423" t="s">
        <v>361</v>
      </c>
      <c r="R16" s="423" t="s">
        <v>362</v>
      </c>
      <c r="S16" s="423" t="s">
        <v>363</v>
      </c>
      <c r="T16" s="423" t="s">
        <v>364</v>
      </c>
      <c r="U16" s="423" t="s">
        <v>365</v>
      </c>
      <c r="V16" s="423" t="s">
        <v>366</v>
      </c>
      <c r="W16" s="423" t="s">
        <v>367</v>
      </c>
    </row>
    <row r="17" spans="1:23" ht="60" customHeight="1">
      <c r="A17" s="353"/>
      <c r="B17" s="270" t="s">
        <v>368</v>
      </c>
      <c r="C17" s="343" t="s">
        <v>369</v>
      </c>
      <c r="D17" s="271" t="s">
        <v>370</v>
      </c>
      <c r="E17" s="272" t="s">
        <v>371</v>
      </c>
      <c r="F17" s="84" t="s">
        <v>335</v>
      </c>
      <c r="H17" t="s">
        <v>336</v>
      </c>
      <c r="I17" s="58" t="s">
        <v>372</v>
      </c>
      <c r="J17" s="269" t="s">
        <v>373</v>
      </c>
      <c r="K17" s="417" t="s">
        <v>374</v>
      </c>
      <c r="L17" s="447" t="s">
        <v>219</v>
      </c>
      <c r="M17" s="418" t="s">
        <v>375</v>
      </c>
      <c r="N17" s="424" t="s">
        <v>376</v>
      </c>
      <c r="O17" s="422" t="s">
        <v>359</v>
      </c>
      <c r="P17" s="425" t="s">
        <v>377</v>
      </c>
      <c r="Q17" s="425" t="s">
        <v>378</v>
      </c>
      <c r="R17" s="425" t="s">
        <v>379</v>
      </c>
      <c r="S17" s="425" t="s">
        <v>380</v>
      </c>
      <c r="T17" s="426" t="s">
        <v>381</v>
      </c>
      <c r="U17" s="426" t="s">
        <v>382</v>
      </c>
      <c r="V17" s="425" t="s">
        <v>383</v>
      </c>
      <c r="W17" s="425" t="s">
        <v>384</v>
      </c>
    </row>
    <row r="18" spans="1:23" ht="60" customHeight="1">
      <c r="A18" s="353"/>
      <c r="B18" s="273" t="s">
        <v>385</v>
      </c>
      <c r="C18" s="344" t="s">
        <v>386</v>
      </c>
      <c r="D18" s="274" t="s">
        <v>387</v>
      </c>
      <c r="E18" s="275" t="s">
        <v>388</v>
      </c>
      <c r="F18" s="84" t="s">
        <v>335</v>
      </c>
      <c r="H18" t="s">
        <v>336</v>
      </c>
      <c r="I18" s="58" t="s">
        <v>389</v>
      </c>
      <c r="J18" s="269" t="s">
        <v>390</v>
      </c>
      <c r="K18" s="417" t="s">
        <v>391</v>
      </c>
      <c r="L18" s="418" t="s">
        <v>392</v>
      </c>
      <c r="M18" s="332" t="s">
        <v>393</v>
      </c>
      <c r="N18" s="424" t="s">
        <v>394</v>
      </c>
      <c r="O18" s="422" t="s">
        <v>359</v>
      </c>
      <c r="P18" s="425" t="s">
        <v>395</v>
      </c>
      <c r="Q18" s="425" t="s">
        <v>396</v>
      </c>
      <c r="R18" s="425" t="s">
        <v>397</v>
      </c>
      <c r="S18" s="425" t="s">
        <v>398</v>
      </c>
      <c r="T18" s="426" t="s">
        <v>399</v>
      </c>
      <c r="U18" s="426" t="s">
        <v>400</v>
      </c>
      <c r="V18" s="426" t="s">
        <v>401</v>
      </c>
      <c r="W18" s="426" t="s">
        <v>402</v>
      </c>
    </row>
    <row r="19" spans="1:23" ht="60" customHeight="1">
      <c r="A19" s="353"/>
      <c r="B19" s="276" t="s">
        <v>403</v>
      </c>
      <c r="C19" s="345" t="s">
        <v>404</v>
      </c>
      <c r="D19" s="277" t="s">
        <v>405</v>
      </c>
      <c r="E19" s="278" t="s">
        <v>406</v>
      </c>
      <c r="F19" s="84" t="s">
        <v>335</v>
      </c>
      <c r="H19" t="s">
        <v>336</v>
      </c>
      <c r="I19" s="58" t="s">
        <v>407</v>
      </c>
      <c r="J19" s="269" t="s">
        <v>408</v>
      </c>
      <c r="K19" s="417" t="s">
        <v>409</v>
      </c>
      <c r="L19" s="418" t="s">
        <v>410</v>
      </c>
      <c r="M19" s="480" t="s">
        <v>411</v>
      </c>
      <c r="N19" s="332" t="s">
        <v>219</v>
      </c>
      <c r="O19" s="422" t="s">
        <v>359</v>
      </c>
      <c r="P19" s="425" t="s">
        <v>412</v>
      </c>
      <c r="Q19" s="425" t="s">
        <v>413</v>
      </c>
      <c r="R19" s="425" t="s">
        <v>414</v>
      </c>
      <c r="S19" s="425" t="s">
        <v>415</v>
      </c>
      <c r="T19" s="426" t="s">
        <v>416</v>
      </c>
      <c r="U19" s="426" t="s">
        <v>417</v>
      </c>
      <c r="V19" s="426" t="s">
        <v>414</v>
      </c>
      <c r="W19" s="426" t="s">
        <v>415</v>
      </c>
    </row>
    <row r="20" spans="1:23" ht="60" customHeight="1">
      <c r="A20" s="353"/>
      <c r="B20" s="355" t="s">
        <v>418</v>
      </c>
      <c r="C20" s="345" t="s">
        <v>419</v>
      </c>
      <c r="D20" s="356" t="s">
        <v>420</v>
      </c>
      <c r="E20" s="278" t="s">
        <v>421</v>
      </c>
      <c r="F20" s="84" t="s">
        <v>335</v>
      </c>
      <c r="H20" t="s">
        <v>336</v>
      </c>
      <c r="I20" t="s">
        <v>407</v>
      </c>
      <c r="J20" s="269" t="s">
        <v>422</v>
      </c>
      <c r="K20" s="417" t="s">
        <v>423</v>
      </c>
      <c r="L20" s="427" t="s">
        <v>424</v>
      </c>
      <c r="M20" s="428" t="s">
        <v>425</v>
      </c>
      <c r="N20" s="424" t="s">
        <v>426</v>
      </c>
      <c r="O20" s="422" t="s">
        <v>359</v>
      </c>
      <c r="P20" s="429" t="s">
        <v>427</v>
      </c>
      <c r="Q20" s="429" t="s">
        <v>428</v>
      </c>
      <c r="R20" s="429" t="s">
        <v>429</v>
      </c>
      <c r="S20" s="429" t="s">
        <v>430</v>
      </c>
      <c r="T20" s="429" t="s">
        <v>431</v>
      </c>
      <c r="U20" s="429" t="s">
        <v>432</v>
      </c>
      <c r="V20" s="429" t="s">
        <v>433</v>
      </c>
      <c r="W20" s="429" t="s">
        <v>434</v>
      </c>
    </row>
    <row r="21" spans="1:23" ht="60" customHeight="1">
      <c r="A21" s="353"/>
      <c r="B21" s="279" t="s">
        <v>435</v>
      </c>
      <c r="C21" s="351" t="s">
        <v>436</v>
      </c>
      <c r="D21" s="280" t="s">
        <v>437</v>
      </c>
      <c r="E21" s="281" t="s">
        <v>438</v>
      </c>
      <c r="F21" s="84" t="s">
        <v>335</v>
      </c>
      <c r="H21" t="s">
        <v>336</v>
      </c>
      <c r="I21" s="58" t="s">
        <v>439</v>
      </c>
      <c r="J21" s="269" t="s">
        <v>440</v>
      </c>
      <c r="K21" s="454" t="s">
        <v>441</v>
      </c>
      <c r="L21" s="418" t="s">
        <v>442</v>
      </c>
      <c r="M21" s="418" t="s">
        <v>443</v>
      </c>
      <c r="N21" s="332" t="s">
        <v>444</v>
      </c>
      <c r="O21" s="422" t="s">
        <v>359</v>
      </c>
      <c r="P21" s="425" t="s">
        <v>445</v>
      </c>
      <c r="Q21" s="425" t="s">
        <v>446</v>
      </c>
      <c r="R21" s="425" t="s">
        <v>447</v>
      </c>
      <c r="S21" s="425" t="s">
        <v>448</v>
      </c>
      <c r="T21" s="426" t="s">
        <v>449</v>
      </c>
      <c r="U21" s="426" t="s">
        <v>450</v>
      </c>
      <c r="V21" s="426" t="s">
        <v>451</v>
      </c>
      <c r="W21" s="426" t="s">
        <v>452</v>
      </c>
    </row>
    <row r="22" spans="1:23" ht="60" customHeight="1">
      <c r="A22" s="353"/>
      <c r="B22" s="279"/>
      <c r="C22" s="351"/>
      <c r="D22" s="280" t="s">
        <v>453</v>
      </c>
      <c r="E22" s="281" t="s">
        <v>454</v>
      </c>
      <c r="F22" s="84"/>
      <c r="I22" s="58"/>
      <c r="J22" s="269" t="s">
        <v>455</v>
      </c>
      <c r="K22" s="417" t="s">
        <v>456</v>
      </c>
      <c r="L22" s="418" t="s">
        <v>457</v>
      </c>
      <c r="M22" s="430" t="s">
        <v>458</v>
      </c>
      <c r="N22" s="332" t="s">
        <v>459</v>
      </c>
      <c r="O22" s="422" t="s">
        <v>359</v>
      </c>
      <c r="P22" s="425" t="s">
        <v>460</v>
      </c>
      <c r="Q22" s="425" t="s">
        <v>461</v>
      </c>
      <c r="R22" s="425" t="s">
        <v>462</v>
      </c>
      <c r="S22" s="425" t="s">
        <v>463</v>
      </c>
      <c r="T22" s="426" t="s">
        <v>464</v>
      </c>
      <c r="U22" s="426" t="s">
        <v>465</v>
      </c>
      <c r="V22" s="426" t="s">
        <v>466</v>
      </c>
      <c r="W22" s="426" t="s">
        <v>467</v>
      </c>
    </row>
    <row r="23" spans="1:23" ht="60" customHeight="1">
      <c r="A23" s="353"/>
      <c r="B23" s="282" t="s">
        <v>468</v>
      </c>
      <c r="C23" s="346" t="s">
        <v>469</v>
      </c>
      <c r="D23" s="283" t="s">
        <v>470</v>
      </c>
      <c r="E23" s="284" t="s">
        <v>471</v>
      </c>
      <c r="F23" s="84" t="s">
        <v>335</v>
      </c>
      <c r="H23" t="s">
        <v>336</v>
      </c>
      <c r="I23" s="58" t="s">
        <v>472</v>
      </c>
      <c r="J23" s="269" t="s">
        <v>473</v>
      </c>
      <c r="K23" s="417" t="s">
        <v>474</v>
      </c>
      <c r="L23" s="430" t="s">
        <v>475</v>
      </c>
      <c r="M23" s="427" t="s">
        <v>476</v>
      </c>
      <c r="N23" s="431" t="s">
        <v>219</v>
      </c>
      <c r="O23" s="422" t="s">
        <v>359</v>
      </c>
      <c r="P23" s="425" t="s">
        <v>477</v>
      </c>
      <c r="Q23" s="425" t="s">
        <v>478</v>
      </c>
      <c r="R23" s="425" t="s">
        <v>479</v>
      </c>
      <c r="S23" s="425" t="s">
        <v>480</v>
      </c>
      <c r="T23" s="426" t="s">
        <v>481</v>
      </c>
      <c r="U23" s="426" t="s">
        <v>482</v>
      </c>
      <c r="V23" s="426" t="s">
        <v>483</v>
      </c>
      <c r="W23" s="426" t="s">
        <v>484</v>
      </c>
    </row>
    <row r="24" spans="1:23" ht="60" customHeight="1">
      <c r="A24" s="353"/>
      <c r="B24" s="285" t="s">
        <v>485</v>
      </c>
      <c r="C24" s="352" t="s">
        <v>486</v>
      </c>
      <c r="D24" s="286" t="s">
        <v>487</v>
      </c>
      <c r="E24" s="287" t="s">
        <v>488</v>
      </c>
      <c r="F24" s="84" t="s">
        <v>335</v>
      </c>
      <c r="H24" t="s">
        <v>336</v>
      </c>
      <c r="I24" s="58" t="s">
        <v>489</v>
      </c>
      <c r="J24" s="269" t="s">
        <v>490</v>
      </c>
      <c r="K24" s="417" t="s">
        <v>491</v>
      </c>
      <c r="L24" s="427" t="s">
        <v>492</v>
      </c>
      <c r="M24" s="430" t="s">
        <v>493</v>
      </c>
      <c r="N24" s="432" t="s">
        <v>219</v>
      </c>
      <c r="O24" s="422" t="s">
        <v>494</v>
      </c>
      <c r="P24" s="416" t="s">
        <v>495</v>
      </c>
      <c r="Q24" s="312" t="s">
        <v>496</v>
      </c>
      <c r="R24" s="416" t="s">
        <v>497</v>
      </c>
      <c r="S24" s="312" t="s">
        <v>498</v>
      </c>
      <c r="T24" s="425" t="s">
        <v>499</v>
      </c>
      <c r="U24" s="425" t="s">
        <v>500</v>
      </c>
      <c r="V24" s="433" t="s">
        <v>501</v>
      </c>
      <c r="W24" s="425" t="s">
        <v>500</v>
      </c>
    </row>
    <row r="25" spans="1:23" ht="60" customHeight="1">
      <c r="A25" s="353"/>
      <c r="B25" s="288" t="s">
        <v>502</v>
      </c>
      <c r="C25" s="347" t="s">
        <v>503</v>
      </c>
      <c r="D25" s="289" t="s">
        <v>504</v>
      </c>
      <c r="E25" s="290" t="s">
        <v>505</v>
      </c>
      <c r="F25" s="84" t="s">
        <v>506</v>
      </c>
      <c r="H25" s="84" t="s">
        <v>506</v>
      </c>
      <c r="J25" s="269" t="s">
        <v>507</v>
      </c>
      <c r="K25" s="417" t="s">
        <v>508</v>
      </c>
      <c r="L25" s="430" t="s">
        <v>509</v>
      </c>
      <c r="M25" s="430" t="s">
        <v>510</v>
      </c>
      <c r="N25" s="432" t="s">
        <v>219</v>
      </c>
      <c r="O25" s="434" t="s">
        <v>511</v>
      </c>
      <c r="P25" s="221" t="s">
        <v>512</v>
      </c>
      <c r="Q25" s="221" t="s">
        <v>513</v>
      </c>
      <c r="R25" s="221" t="s">
        <v>514</v>
      </c>
      <c r="S25" s="221" t="s">
        <v>515</v>
      </c>
      <c r="T25" s="221" t="s">
        <v>516</v>
      </c>
      <c r="U25" s="221" t="s">
        <v>517</v>
      </c>
      <c r="V25" s="221" t="s">
        <v>518</v>
      </c>
      <c r="W25" s="221" t="s">
        <v>519</v>
      </c>
    </row>
    <row r="26" spans="1:23" ht="60" customHeight="1">
      <c r="A26" s="353"/>
      <c r="B26" s="297" t="s">
        <v>520</v>
      </c>
      <c r="C26" s="348" t="s">
        <v>521</v>
      </c>
      <c r="D26" s="298" t="s">
        <v>522</v>
      </c>
      <c r="E26" s="299" t="s">
        <v>523</v>
      </c>
      <c r="F26" s="84" t="s">
        <v>506</v>
      </c>
      <c r="H26" s="84" t="s">
        <v>506</v>
      </c>
      <c r="J26" s="269" t="s">
        <v>524</v>
      </c>
      <c r="K26" s="417" t="s">
        <v>525</v>
      </c>
      <c r="L26" s="448" t="s">
        <v>526</v>
      </c>
      <c r="M26" s="430" t="s">
        <v>527</v>
      </c>
      <c r="N26" s="432" t="s">
        <v>219</v>
      </c>
      <c r="O26" s="435" t="s">
        <v>528</v>
      </c>
      <c r="P26" s="221" t="s">
        <v>529</v>
      </c>
      <c r="Q26" s="221" t="s">
        <v>530</v>
      </c>
      <c r="R26" s="221" t="s">
        <v>531</v>
      </c>
      <c r="S26" s="221" t="s">
        <v>532</v>
      </c>
      <c r="T26" s="221" t="s">
        <v>533</v>
      </c>
      <c r="U26" s="221" t="s">
        <v>534</v>
      </c>
      <c r="V26" s="221" t="s">
        <v>535</v>
      </c>
      <c r="W26" s="221" t="s">
        <v>536</v>
      </c>
    </row>
    <row r="27" spans="1:23" ht="60" customHeight="1">
      <c r="A27" s="353"/>
      <c r="B27" s="291" t="s">
        <v>537</v>
      </c>
      <c r="C27" s="349" t="s">
        <v>538</v>
      </c>
      <c r="D27" s="292" t="s">
        <v>539</v>
      </c>
      <c r="E27" s="293" t="s">
        <v>540</v>
      </c>
      <c r="F27" s="84" t="s">
        <v>506</v>
      </c>
      <c r="H27" s="84" t="s">
        <v>506</v>
      </c>
      <c r="J27" s="269" t="s">
        <v>541</v>
      </c>
      <c r="K27" s="455" t="s">
        <v>542</v>
      </c>
      <c r="L27" s="448" t="s">
        <v>543</v>
      </c>
      <c r="M27" s="430" t="s">
        <v>544</v>
      </c>
      <c r="N27" s="432" t="s">
        <v>219</v>
      </c>
      <c r="O27" s="435" t="s">
        <v>545</v>
      </c>
      <c r="P27" s="221" t="s">
        <v>546</v>
      </c>
      <c r="Q27" s="221" t="s">
        <v>547</v>
      </c>
      <c r="R27" s="221" t="s">
        <v>548</v>
      </c>
      <c r="S27" s="221" t="s">
        <v>549</v>
      </c>
      <c r="T27" s="221" t="s">
        <v>550</v>
      </c>
      <c r="U27" s="221" t="s">
        <v>551</v>
      </c>
      <c r="V27" s="221" t="s">
        <v>552</v>
      </c>
      <c r="W27" s="221" t="s">
        <v>553</v>
      </c>
    </row>
    <row r="28" spans="1:23" ht="60" customHeight="1">
      <c r="A28" s="353"/>
      <c r="B28" s="294" t="s">
        <v>554</v>
      </c>
      <c r="C28" s="350" t="s">
        <v>555</v>
      </c>
      <c r="D28" s="295" t="s">
        <v>556</v>
      </c>
      <c r="E28" s="296" t="s">
        <v>557</v>
      </c>
      <c r="F28" s="84" t="s">
        <v>506</v>
      </c>
      <c r="H28" s="84" t="s">
        <v>506</v>
      </c>
      <c r="J28" s="436" t="s">
        <v>558</v>
      </c>
      <c r="K28" s="456" t="s">
        <v>559</v>
      </c>
      <c r="L28" s="449" t="s">
        <v>560</v>
      </c>
      <c r="M28" s="428" t="s">
        <v>561</v>
      </c>
      <c r="N28" s="437" t="s">
        <v>562</v>
      </c>
      <c r="O28" s="437" t="s">
        <v>563</v>
      </c>
      <c r="P28" s="429" t="s">
        <v>564</v>
      </c>
      <c r="Q28" s="429" t="s">
        <v>565</v>
      </c>
      <c r="R28" s="429" t="s">
        <v>566</v>
      </c>
      <c r="S28" s="429" t="s">
        <v>567</v>
      </c>
      <c r="T28" s="429" t="s">
        <v>568</v>
      </c>
      <c r="U28" s="429" t="s">
        <v>569</v>
      </c>
      <c r="V28" s="429" t="s">
        <v>570</v>
      </c>
      <c r="W28" s="429" t="s">
        <v>571</v>
      </c>
    </row>
    <row r="29" spans="1:23" ht="70.5" customHeight="1">
      <c r="A29" s="770" t="s">
        <v>572</v>
      </c>
      <c r="B29" s="460" t="s">
        <v>105</v>
      </c>
      <c r="C29" s="461" t="s">
        <v>573</v>
      </c>
      <c r="D29" s="70" t="s">
        <v>574</v>
      </c>
      <c r="E29" s="70" t="s">
        <v>575</v>
      </c>
      <c r="F29" s="84" t="s">
        <v>506</v>
      </c>
      <c r="H29" t="s">
        <v>576</v>
      </c>
      <c r="I29" s="48" t="s">
        <v>577</v>
      </c>
      <c r="J29" s="464" t="s">
        <v>578</v>
      </c>
      <c r="K29" s="467" t="s">
        <v>579</v>
      </c>
      <c r="L29" s="465" t="s">
        <v>580</v>
      </c>
      <c r="M29" s="465" t="s">
        <v>581</v>
      </c>
      <c r="N29" s="466" t="s">
        <v>582</v>
      </c>
      <c r="O29" s="468" t="s">
        <v>583</v>
      </c>
      <c r="P29" s="466" t="s">
        <v>584</v>
      </c>
      <c r="Q29" s="466" t="s">
        <v>585</v>
      </c>
      <c r="R29" s="466" t="s">
        <v>586</v>
      </c>
      <c r="S29" s="466" t="s">
        <v>587</v>
      </c>
      <c r="T29" s="469" t="s">
        <v>588</v>
      </c>
      <c r="U29" s="441" t="s">
        <v>589</v>
      </c>
      <c r="V29" s="469" t="s">
        <v>590</v>
      </c>
      <c r="W29" s="469" t="s">
        <v>591</v>
      </c>
    </row>
    <row r="30" spans="1:23" ht="60" customHeight="1">
      <c r="A30" s="770"/>
      <c r="B30" s="462" t="s">
        <v>108</v>
      </c>
      <c r="C30" s="463" t="s">
        <v>592</v>
      </c>
      <c r="D30" s="71" t="s">
        <v>593</v>
      </c>
      <c r="E30" s="71" t="s">
        <v>594</v>
      </c>
      <c r="F30" s="84" t="s">
        <v>506</v>
      </c>
      <c r="H30" t="s">
        <v>576</v>
      </c>
      <c r="I30" s="48" t="s">
        <v>595</v>
      </c>
      <c r="J30" s="470" t="s">
        <v>596</v>
      </c>
      <c r="K30" s="467" t="s">
        <v>597</v>
      </c>
      <c r="L30" s="465" t="s">
        <v>598</v>
      </c>
      <c r="M30" s="465" t="s">
        <v>599</v>
      </c>
      <c r="N30" s="471" t="s">
        <v>600</v>
      </c>
      <c r="O30" s="472" t="s">
        <v>601</v>
      </c>
      <c r="P30" s="471" t="s">
        <v>602</v>
      </c>
      <c r="Q30" s="473" t="s">
        <v>603</v>
      </c>
      <c r="R30" s="473" t="s">
        <v>604</v>
      </c>
      <c r="S30" s="473" t="s">
        <v>605</v>
      </c>
      <c r="T30" s="469" t="s">
        <v>606</v>
      </c>
      <c r="U30" s="441" t="s">
        <v>607</v>
      </c>
      <c r="V30" s="473" t="s">
        <v>608</v>
      </c>
      <c r="W30" s="474" t="s">
        <v>609</v>
      </c>
    </row>
    <row r="31" spans="1:23" ht="60" customHeight="1">
      <c r="A31" s="770"/>
      <c r="B31" s="458" t="s">
        <v>111</v>
      </c>
      <c r="C31" s="459" t="s">
        <v>610</v>
      </c>
      <c r="D31" s="72" t="s">
        <v>611</v>
      </c>
      <c r="E31" s="72" t="s">
        <v>612</v>
      </c>
      <c r="F31" s="84" t="s">
        <v>506</v>
      </c>
      <c r="H31" t="s">
        <v>576</v>
      </c>
      <c r="I31" s="48" t="s">
        <v>613</v>
      </c>
      <c r="J31" s="443" t="s">
        <v>614</v>
      </c>
      <c r="K31" s="450" t="s">
        <v>615</v>
      </c>
      <c r="L31" s="450" t="s">
        <v>616</v>
      </c>
      <c r="M31" s="438" t="s">
        <v>617</v>
      </c>
      <c r="N31" s="439" t="s">
        <v>618</v>
      </c>
      <c r="O31" s="440" t="s">
        <v>619</v>
      </c>
      <c r="P31" s="442" t="s">
        <v>620</v>
      </c>
      <c r="Q31" s="442" t="s">
        <v>621</v>
      </c>
      <c r="R31" s="442" t="s">
        <v>622</v>
      </c>
      <c r="S31" s="475" t="s">
        <v>623</v>
      </c>
      <c r="T31" s="439" t="s">
        <v>624</v>
      </c>
      <c r="U31" s="442" t="s">
        <v>625</v>
      </c>
      <c r="V31" s="469" t="s">
        <v>626</v>
      </c>
      <c r="W31" s="442" t="s">
        <v>627</v>
      </c>
    </row>
    <row r="32" spans="1:23" ht="60" customHeight="1">
      <c r="A32" s="770"/>
      <c r="B32" s="73" t="s">
        <v>114</v>
      </c>
      <c r="C32" s="74" t="s">
        <v>628</v>
      </c>
      <c r="D32" s="75" t="s">
        <v>629</v>
      </c>
      <c r="E32" s="76" t="s">
        <v>630</v>
      </c>
      <c r="F32" s="84" t="s">
        <v>506</v>
      </c>
      <c r="G32" s="138"/>
      <c r="H32" s="138" t="s">
        <v>576</v>
      </c>
      <c r="I32" s="48" t="s">
        <v>631</v>
      </c>
      <c r="J32" s="477" t="s">
        <v>632</v>
      </c>
      <c r="K32" s="477" t="s">
        <v>633</v>
      </c>
      <c r="L32" s="472" t="s">
        <v>634</v>
      </c>
      <c r="M32" s="478" t="s">
        <v>635</v>
      </c>
      <c r="N32" s="471" t="s">
        <v>636</v>
      </c>
      <c r="O32" s="472" t="s">
        <v>637</v>
      </c>
      <c r="P32" s="471" t="s">
        <v>638</v>
      </c>
      <c r="Q32" s="473" t="s">
        <v>639</v>
      </c>
      <c r="R32" s="473" t="s">
        <v>640</v>
      </c>
      <c r="S32" s="473" t="s">
        <v>641</v>
      </c>
      <c r="T32" s="473" t="s">
        <v>642</v>
      </c>
      <c r="U32" s="476" t="s">
        <v>643</v>
      </c>
      <c r="V32" s="473" t="s">
        <v>644</v>
      </c>
      <c r="W32" s="474" t="s">
        <v>645</v>
      </c>
    </row>
    <row r="33" spans="1:23" ht="90" customHeight="1">
      <c r="B33" s="733" t="s">
        <v>646</v>
      </c>
      <c r="C33" s="734" t="s">
        <v>647</v>
      </c>
      <c r="D33" s="735"/>
      <c r="E33" s="735" t="s">
        <v>648</v>
      </c>
      <c r="J33" s="745" t="s">
        <v>649</v>
      </c>
      <c r="K33" s="736" t="s">
        <v>650</v>
      </c>
      <c r="L33" s="737" t="s">
        <v>651</v>
      </c>
      <c r="M33" s="738" t="s">
        <v>652</v>
      </c>
      <c r="N33" s="736" t="s">
        <v>653</v>
      </c>
      <c r="O33" s="739" t="s">
        <v>654</v>
      </c>
      <c r="P33" s="736" t="s">
        <v>655</v>
      </c>
      <c r="Q33" s="60" t="s">
        <v>656</v>
      </c>
      <c r="R33" s="740" t="s">
        <v>657</v>
      </c>
      <c r="S33" s="60" t="s">
        <v>658</v>
      </c>
      <c r="T33" s="60" t="s">
        <v>659</v>
      </c>
      <c r="U33" s="60" t="s">
        <v>660</v>
      </c>
      <c r="V33" s="60" t="s">
        <v>661</v>
      </c>
      <c r="W33" s="736" t="s">
        <v>662</v>
      </c>
    </row>
    <row r="34" spans="1:23" ht="130.5">
      <c r="B34" s="741" t="s">
        <v>663</v>
      </c>
      <c r="C34" s="742" t="s">
        <v>664</v>
      </c>
      <c r="D34" s="743"/>
      <c r="E34" s="742" t="s">
        <v>665</v>
      </c>
      <c r="J34" s="736" t="s">
        <v>666</v>
      </c>
      <c r="K34" s="736" t="s">
        <v>667</v>
      </c>
      <c r="L34" s="747" t="s">
        <v>668</v>
      </c>
      <c r="M34" s="736" t="s">
        <v>669</v>
      </c>
      <c r="N34" s="736" t="s">
        <v>670</v>
      </c>
      <c r="O34" s="736" t="s">
        <v>671</v>
      </c>
      <c r="P34" s="736" t="s">
        <v>672</v>
      </c>
      <c r="Q34" s="736" t="s">
        <v>673</v>
      </c>
      <c r="R34" s="736" t="s">
        <v>674</v>
      </c>
      <c r="S34" s="736" t="s">
        <v>675</v>
      </c>
      <c r="T34" s="736" t="s">
        <v>676</v>
      </c>
      <c r="U34" s="736" t="s">
        <v>677</v>
      </c>
      <c r="V34" s="736" t="s">
        <v>678</v>
      </c>
      <c r="W34" s="736" t="s">
        <v>679</v>
      </c>
    </row>
    <row r="35" spans="1:23" ht="101.25">
      <c r="B35" s="748" t="s">
        <v>680</v>
      </c>
      <c r="C35" s="749" t="s">
        <v>681</v>
      </c>
      <c r="D35" s="750" t="s">
        <v>682</v>
      </c>
      <c r="E35" s="750" t="s">
        <v>683</v>
      </c>
      <c r="J35" s="736" t="s">
        <v>684</v>
      </c>
      <c r="K35" s="736" t="s">
        <v>685</v>
      </c>
      <c r="L35" s="737" t="s">
        <v>686</v>
      </c>
      <c r="M35" s="747" t="s">
        <v>687</v>
      </c>
      <c r="N35" s="736" t="s">
        <v>688</v>
      </c>
      <c r="O35" s="747" t="s">
        <v>689</v>
      </c>
      <c r="P35" s="60" t="s">
        <v>690</v>
      </c>
      <c r="Q35" s="736" t="s">
        <v>691</v>
      </c>
      <c r="R35" s="736" t="s">
        <v>692</v>
      </c>
      <c r="S35" s="736" t="s">
        <v>693</v>
      </c>
      <c r="T35" s="736" t="s">
        <v>694</v>
      </c>
      <c r="U35" s="736" t="s">
        <v>695</v>
      </c>
      <c r="V35" s="736" t="s">
        <v>696</v>
      </c>
      <c r="W35" s="736" t="s">
        <v>697</v>
      </c>
    </row>
    <row r="36" spans="1:23" ht="72.75">
      <c r="B36" s="748"/>
      <c r="C36" s="749"/>
      <c r="D36" s="750" t="s">
        <v>698</v>
      </c>
      <c r="E36" s="750" t="s">
        <v>699</v>
      </c>
      <c r="J36" s="736" t="s">
        <v>700</v>
      </c>
      <c r="K36" s="736" t="s">
        <v>701</v>
      </c>
      <c r="L36" s="736" t="s">
        <v>702</v>
      </c>
      <c r="M36" s="736" t="s">
        <v>703</v>
      </c>
      <c r="N36" s="736" t="s">
        <v>704</v>
      </c>
      <c r="O36" s="736" t="s">
        <v>705</v>
      </c>
      <c r="P36" s="747" t="s">
        <v>706</v>
      </c>
      <c r="Q36" s="736" t="s">
        <v>707</v>
      </c>
      <c r="R36" s="736" t="s">
        <v>708</v>
      </c>
      <c r="S36" s="736" t="s">
        <v>709</v>
      </c>
      <c r="T36" s="736" t="s">
        <v>710</v>
      </c>
      <c r="U36" s="60" t="s">
        <v>711</v>
      </c>
      <c r="V36" s="736" t="s">
        <v>712</v>
      </c>
      <c r="W36" s="736" t="s">
        <v>713</v>
      </c>
    </row>
    <row r="37" spans="1:23" ht="132">
      <c r="B37" s="748"/>
      <c r="C37" s="749"/>
      <c r="D37" s="750" t="s">
        <v>714</v>
      </c>
      <c r="E37" s="750" t="s">
        <v>715</v>
      </c>
      <c r="J37" s="736" t="s">
        <v>716</v>
      </c>
      <c r="K37" s="736" t="s">
        <v>717</v>
      </c>
      <c r="L37" s="736" t="s">
        <v>718</v>
      </c>
      <c r="M37" s="736" t="s">
        <v>719</v>
      </c>
      <c r="N37" s="747" t="s">
        <v>720</v>
      </c>
      <c r="O37" s="739" t="s">
        <v>721</v>
      </c>
      <c r="P37" s="736" t="s">
        <v>722</v>
      </c>
      <c r="Q37" s="747" t="s">
        <v>723</v>
      </c>
      <c r="R37" s="736" t="s">
        <v>724</v>
      </c>
      <c r="S37" s="736" t="s">
        <v>725</v>
      </c>
      <c r="T37" s="736" t="s">
        <v>726</v>
      </c>
      <c r="U37" s="736" t="s">
        <v>727</v>
      </c>
      <c r="V37" s="736" t="s">
        <v>728</v>
      </c>
      <c r="W37" s="736" t="s">
        <v>729</v>
      </c>
    </row>
    <row r="38" spans="1:23" ht="135.75" customHeight="1">
      <c r="B38" s="751" t="s">
        <v>730</v>
      </c>
      <c r="C38" s="752" t="s">
        <v>731</v>
      </c>
      <c r="D38" s="753"/>
      <c r="E38" s="753"/>
      <c r="J38" s="736" t="s">
        <v>732</v>
      </c>
      <c r="K38" s="736" t="s">
        <v>733</v>
      </c>
      <c r="L38" s="736" t="s">
        <v>734</v>
      </c>
      <c r="M38" s="736" t="s">
        <v>735</v>
      </c>
      <c r="N38" s="736" t="s">
        <v>736</v>
      </c>
      <c r="O38" s="736" t="s">
        <v>737</v>
      </c>
      <c r="P38" s="60" t="s">
        <v>738</v>
      </c>
      <c r="Q38" s="736" t="s">
        <v>739</v>
      </c>
      <c r="R38" s="736" t="s">
        <v>740</v>
      </c>
      <c r="S38" s="736" t="s">
        <v>741</v>
      </c>
      <c r="T38" s="60" t="s">
        <v>742</v>
      </c>
      <c r="U38" s="736" t="s">
        <v>743</v>
      </c>
      <c r="V38" s="736" t="s">
        <v>744</v>
      </c>
      <c r="W38" s="736" t="s">
        <v>745</v>
      </c>
    </row>
    <row r="39" spans="1:23" ht="16.5">
      <c r="A39" s="765" t="s">
        <v>746</v>
      </c>
      <c r="B39" s="138"/>
      <c r="C39" s="78"/>
      <c r="P39" s="746"/>
      <c r="S39" s="746"/>
    </row>
    <row r="40" spans="1:23" ht="16.5">
      <c r="A40" s="765"/>
      <c r="B40" s="138"/>
      <c r="C40" s="78"/>
      <c r="S40" s="746"/>
    </row>
    <row r="41" spans="1:23" ht="16.5">
      <c r="A41" s="765"/>
      <c r="B41" s="138"/>
      <c r="C41" s="78"/>
      <c r="M41" s="746"/>
      <c r="S41" s="746"/>
    </row>
    <row r="42" spans="1:23" ht="16.5">
      <c r="A42" s="765"/>
      <c r="B42" s="138"/>
      <c r="C42" s="78"/>
      <c r="M42" s="746"/>
    </row>
    <row r="43" spans="1:23" ht="16.5">
      <c r="A43" s="765"/>
      <c r="B43" s="138"/>
      <c r="C43" s="78"/>
      <c r="M43" s="746"/>
    </row>
    <row r="44" spans="1:23" ht="16.5">
      <c r="A44" s="765"/>
      <c r="B44" s="138"/>
      <c r="C44" s="78"/>
      <c r="M44" s="746"/>
    </row>
    <row r="45" spans="1:23" ht="16.5">
      <c r="A45" s="765"/>
      <c r="M45" s="746"/>
    </row>
    <row r="46" spans="1:23">
      <c r="A46" s="765"/>
    </row>
    <row r="47" spans="1:23">
      <c r="A47" s="765"/>
    </row>
    <row r="48" spans="1:23">
      <c r="A48" s="765"/>
      <c r="B48" s="1"/>
    </row>
    <row r="49" spans="1:2">
      <c r="A49" s="765"/>
      <c r="B49" s="1"/>
    </row>
    <row r="50" spans="1:2">
      <c r="A50" s="765"/>
      <c r="B50" s="1"/>
    </row>
    <row r="51" spans="1:2">
      <c r="A51" s="765"/>
      <c r="B51" s="1"/>
    </row>
    <row r="52" spans="1:2">
      <c r="A52" s="765"/>
      <c r="B52" s="1"/>
    </row>
    <row r="53" spans="1:2">
      <c r="A53" s="765"/>
      <c r="B53" s="1"/>
    </row>
    <row r="54" spans="1:2">
      <c r="A54" s="765"/>
      <c r="B54" s="1"/>
    </row>
    <row r="55" spans="1:2"/>
    <row r="56" spans="1:2"/>
  </sheetData>
  <mergeCells count="11">
    <mergeCell ref="J1:W1"/>
    <mergeCell ref="P2:S2"/>
    <mergeCell ref="T2:W2"/>
    <mergeCell ref="N2:O2"/>
    <mergeCell ref="C7:C8"/>
    <mergeCell ref="K7:K8"/>
    <mergeCell ref="A39:A54"/>
    <mergeCell ref="J2:K2"/>
    <mergeCell ref="L2:M2"/>
    <mergeCell ref="A29:A32"/>
    <mergeCell ref="B7:B9"/>
  </mergeCells>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7796-5360-4E8D-BB10-D57241E8FD1C}">
  <dimension ref="A1:S24"/>
  <sheetViews>
    <sheetView topLeftCell="B1" workbookViewId="0">
      <selection activeCell="C15" sqref="C15"/>
    </sheetView>
  </sheetViews>
  <sheetFormatPr defaultRowHeight="15"/>
  <cols>
    <col min="1" max="1" width="9.140625" style="629"/>
    <col min="2" max="2" width="43.7109375" bestFit="1" customWidth="1"/>
    <col min="3" max="3" width="21.7109375" bestFit="1" customWidth="1"/>
    <col min="4" max="4" width="15.85546875" bestFit="1" customWidth="1"/>
    <col min="5" max="5" width="14.5703125" bestFit="1" customWidth="1"/>
    <col min="6" max="6" width="14.140625" customWidth="1"/>
    <col min="7" max="7" width="20.140625" bestFit="1" customWidth="1"/>
  </cols>
  <sheetData>
    <row r="1" spans="1:19" s="2" customFormat="1">
      <c r="A1" s="611" t="s">
        <v>747</v>
      </c>
      <c r="B1" s="2" t="s">
        <v>748</v>
      </c>
      <c r="C1" s="2" t="s">
        <v>104</v>
      </c>
      <c r="D1" s="2" t="s">
        <v>107</v>
      </c>
      <c r="E1" s="2" t="s">
        <v>110</v>
      </c>
      <c r="F1" s="2" t="s">
        <v>113</v>
      </c>
      <c r="G1" s="2" t="s">
        <v>115</v>
      </c>
    </row>
    <row r="2" spans="1:19">
      <c r="A2" s="612" t="s">
        <v>154</v>
      </c>
      <c r="B2" s="630" t="s">
        <v>155</v>
      </c>
      <c r="C2" s="650" t="s">
        <v>749</v>
      </c>
      <c r="D2" s="650" t="s">
        <v>750</v>
      </c>
      <c r="E2" s="650" t="s">
        <v>751</v>
      </c>
      <c r="F2" s="650" t="s">
        <v>752</v>
      </c>
      <c r="G2" s="650" t="s">
        <v>753</v>
      </c>
    </row>
    <row r="3" spans="1:19" ht="39" customHeight="1">
      <c r="A3" s="613" t="s">
        <v>175</v>
      </c>
      <c r="B3" s="631" t="s">
        <v>176</v>
      </c>
      <c r="C3" s="651" t="s">
        <v>754</v>
      </c>
      <c r="D3" s="651" t="s">
        <v>755</v>
      </c>
      <c r="E3" s="651" t="s">
        <v>756</v>
      </c>
      <c r="F3" s="651" t="s">
        <v>757</v>
      </c>
      <c r="G3" s="651" t="s">
        <v>758</v>
      </c>
    </row>
    <row r="4" spans="1:19">
      <c r="A4" s="614" t="s">
        <v>196</v>
      </c>
      <c r="B4" s="632" t="s">
        <v>197</v>
      </c>
      <c r="C4" s="652" t="s">
        <v>759</v>
      </c>
      <c r="D4" s="652" t="s">
        <v>760</v>
      </c>
      <c r="E4" s="652" t="s">
        <v>761</v>
      </c>
      <c r="F4" s="652" t="s">
        <v>762</v>
      </c>
      <c r="G4" s="652" t="s">
        <v>763</v>
      </c>
      <c r="J4" s="648"/>
      <c r="K4" s="648"/>
      <c r="L4" s="648"/>
      <c r="M4" s="648"/>
      <c r="N4" s="648"/>
      <c r="O4" s="648"/>
      <c r="P4" s="648"/>
    </row>
    <row r="5" spans="1:19">
      <c r="A5" s="614" t="s">
        <v>214</v>
      </c>
      <c r="B5" s="632" t="s">
        <v>215</v>
      </c>
      <c r="C5" s="652" t="s">
        <v>764</v>
      </c>
      <c r="D5" s="652" t="s">
        <v>765</v>
      </c>
      <c r="E5" s="652" t="s">
        <v>766</v>
      </c>
      <c r="F5" s="652" t="s">
        <v>767</v>
      </c>
      <c r="G5" s="652" t="s">
        <v>768</v>
      </c>
      <c r="J5" s="648"/>
      <c r="K5" s="649"/>
      <c r="L5" s="649"/>
      <c r="M5" s="648"/>
      <c r="N5" s="648"/>
      <c r="O5" s="648"/>
      <c r="P5" s="648"/>
      <c r="Q5" s="648"/>
      <c r="R5" s="648"/>
      <c r="S5" s="648"/>
    </row>
    <row r="6" spans="1:19" ht="25.5">
      <c r="A6" s="614" t="s">
        <v>230</v>
      </c>
      <c r="B6" s="632" t="s">
        <v>231</v>
      </c>
      <c r="C6" s="652" t="s">
        <v>769</v>
      </c>
      <c r="D6" s="652" t="s">
        <v>770</v>
      </c>
      <c r="E6" s="652" t="s">
        <v>771</v>
      </c>
      <c r="F6" s="652" t="s">
        <v>772</v>
      </c>
      <c r="G6" s="652" t="s">
        <v>773</v>
      </c>
      <c r="J6" s="648"/>
      <c r="K6" s="649"/>
      <c r="L6" s="649"/>
      <c r="M6" s="648"/>
      <c r="N6" s="649"/>
      <c r="O6" s="649"/>
      <c r="P6" s="649"/>
      <c r="Q6" s="649"/>
      <c r="R6" s="649"/>
      <c r="S6" s="649"/>
    </row>
    <row r="7" spans="1:19">
      <c r="A7" s="615" t="s">
        <v>333</v>
      </c>
      <c r="B7" s="633" t="s">
        <v>334</v>
      </c>
      <c r="C7" s="653" t="s">
        <v>774</v>
      </c>
      <c r="D7" s="653" t="s">
        <v>775</v>
      </c>
      <c r="E7" s="653" t="s">
        <v>776</v>
      </c>
      <c r="F7" s="653" t="s">
        <v>777</v>
      </c>
      <c r="G7" s="653" t="s">
        <v>778</v>
      </c>
      <c r="J7" s="648"/>
      <c r="K7" s="649"/>
      <c r="L7" s="649"/>
      <c r="M7" s="648"/>
      <c r="N7" s="648"/>
      <c r="O7" s="648"/>
      <c r="P7" s="648"/>
      <c r="Q7" s="648"/>
      <c r="R7" s="648"/>
      <c r="S7" s="648"/>
    </row>
    <row r="8" spans="1:19">
      <c r="A8" s="615" t="s">
        <v>351</v>
      </c>
      <c r="B8" s="633" t="s">
        <v>352</v>
      </c>
      <c r="C8" s="653" t="s">
        <v>779</v>
      </c>
      <c r="D8" s="653" t="s">
        <v>780</v>
      </c>
      <c r="E8" s="653" t="s">
        <v>781</v>
      </c>
      <c r="F8" s="653" t="s">
        <v>782</v>
      </c>
      <c r="G8" s="653" t="s">
        <v>783</v>
      </c>
      <c r="M8" s="648"/>
      <c r="N8" s="649"/>
      <c r="O8" s="649"/>
      <c r="P8" s="649"/>
      <c r="Q8" s="649"/>
      <c r="R8" s="649"/>
      <c r="S8" s="649"/>
    </row>
    <row r="9" spans="1:19">
      <c r="A9" s="616" t="s">
        <v>370</v>
      </c>
      <c r="B9" s="634" t="s">
        <v>371</v>
      </c>
      <c r="C9" s="654" t="s">
        <v>784</v>
      </c>
      <c r="D9" s="654" t="s">
        <v>785</v>
      </c>
      <c r="E9" s="654" t="s">
        <v>786</v>
      </c>
      <c r="F9" s="654" t="s">
        <v>787</v>
      </c>
      <c r="G9" s="654" t="s">
        <v>788</v>
      </c>
      <c r="M9" s="648"/>
      <c r="N9" s="649"/>
      <c r="O9" s="649"/>
      <c r="P9" s="649"/>
      <c r="Q9" s="649"/>
      <c r="R9" s="649"/>
      <c r="S9" s="649"/>
    </row>
    <row r="10" spans="1:19">
      <c r="A10" s="617" t="s">
        <v>387</v>
      </c>
      <c r="B10" s="635" t="s">
        <v>388</v>
      </c>
      <c r="C10" s="655" t="s">
        <v>789</v>
      </c>
      <c r="D10" s="655" t="s">
        <v>790</v>
      </c>
      <c r="E10" s="655" t="s">
        <v>791</v>
      </c>
      <c r="F10" s="655" t="s">
        <v>792</v>
      </c>
      <c r="G10" s="655" t="s">
        <v>793</v>
      </c>
      <c r="M10" s="648"/>
      <c r="N10" s="649"/>
      <c r="O10" s="649"/>
      <c r="P10" s="649"/>
      <c r="Q10" s="649"/>
      <c r="R10" s="649"/>
      <c r="S10" s="649"/>
    </row>
    <row r="11" spans="1:19" ht="25.5">
      <c r="A11" s="618" t="s">
        <v>405</v>
      </c>
      <c r="B11" s="636" t="s">
        <v>406</v>
      </c>
      <c r="C11" s="656" t="s">
        <v>794</v>
      </c>
      <c r="D11" s="656" t="s">
        <v>795</v>
      </c>
      <c r="E11" s="656" t="s">
        <v>796</v>
      </c>
      <c r="F11" s="656" t="s">
        <v>797</v>
      </c>
      <c r="G11" s="656" t="s">
        <v>798</v>
      </c>
      <c r="M11" s="648"/>
      <c r="N11" s="649"/>
      <c r="O11" s="649"/>
      <c r="P11" s="649"/>
      <c r="Q11" s="649"/>
      <c r="R11" s="649"/>
      <c r="S11" s="649"/>
    </row>
    <row r="12" spans="1:19">
      <c r="A12" s="619" t="s">
        <v>420</v>
      </c>
      <c r="B12" s="636" t="s">
        <v>421</v>
      </c>
      <c r="C12" s="656" t="s">
        <v>799</v>
      </c>
      <c r="D12" s="656" t="s">
        <v>800</v>
      </c>
      <c r="E12" s="656" t="s">
        <v>801</v>
      </c>
      <c r="F12" s="656" t="s">
        <v>802</v>
      </c>
      <c r="G12" s="656" t="s">
        <v>803</v>
      </c>
      <c r="M12" s="648"/>
      <c r="N12" s="649"/>
      <c r="O12" s="649"/>
      <c r="P12" s="649"/>
      <c r="Q12" s="649"/>
      <c r="R12" s="649"/>
      <c r="S12" s="649"/>
    </row>
    <row r="13" spans="1:19">
      <c r="A13" s="620" t="s">
        <v>437</v>
      </c>
      <c r="B13" s="637" t="s">
        <v>438</v>
      </c>
      <c r="C13" s="657" t="s">
        <v>804</v>
      </c>
      <c r="D13" s="657" t="s">
        <v>805</v>
      </c>
      <c r="E13" s="657" t="s">
        <v>806</v>
      </c>
      <c r="F13" s="657" t="s">
        <v>807</v>
      </c>
      <c r="G13" s="657" t="s">
        <v>808</v>
      </c>
      <c r="M13" s="648"/>
      <c r="N13" s="649"/>
      <c r="O13" s="649"/>
      <c r="P13" s="649"/>
      <c r="Q13" s="649"/>
      <c r="R13" s="649"/>
      <c r="S13" s="649"/>
    </row>
    <row r="14" spans="1:19" ht="25.5">
      <c r="A14" s="620" t="s">
        <v>453</v>
      </c>
      <c r="B14" s="637" t="s">
        <v>454</v>
      </c>
      <c r="C14" s="657" t="s">
        <v>809</v>
      </c>
      <c r="D14" s="657" t="s">
        <v>810</v>
      </c>
      <c r="E14" s="657" t="s">
        <v>811</v>
      </c>
      <c r="F14" s="657" t="s">
        <v>812</v>
      </c>
      <c r="G14" s="657" t="s">
        <v>813</v>
      </c>
      <c r="M14" s="648"/>
      <c r="N14" s="649"/>
      <c r="O14" s="649"/>
      <c r="P14" s="649"/>
      <c r="Q14" s="649"/>
      <c r="R14" s="649"/>
      <c r="S14" s="649"/>
    </row>
    <row r="15" spans="1:19">
      <c r="A15" s="621" t="s">
        <v>470</v>
      </c>
      <c r="B15" s="638" t="s">
        <v>471</v>
      </c>
      <c r="C15" s="658" t="s">
        <v>814</v>
      </c>
      <c r="D15" s="658" t="s">
        <v>815</v>
      </c>
      <c r="E15" s="658" t="s">
        <v>816</v>
      </c>
      <c r="F15" s="658" t="s">
        <v>817</v>
      </c>
      <c r="G15" s="658" t="s">
        <v>818</v>
      </c>
      <c r="M15" s="648"/>
      <c r="N15" s="649"/>
      <c r="O15" s="649"/>
      <c r="P15" s="649"/>
      <c r="Q15" s="649"/>
      <c r="R15" s="649"/>
      <c r="S15" s="649"/>
    </row>
    <row r="16" spans="1:19" ht="25.5">
      <c r="A16" s="622" t="s">
        <v>487</v>
      </c>
      <c r="B16" s="639" t="s">
        <v>488</v>
      </c>
      <c r="C16" s="659" t="s">
        <v>819</v>
      </c>
      <c r="D16" s="659" t="s">
        <v>820</v>
      </c>
      <c r="E16" s="659" t="s">
        <v>821</v>
      </c>
      <c r="F16" s="659" t="s">
        <v>822</v>
      </c>
      <c r="G16" s="659" t="s">
        <v>823</v>
      </c>
      <c r="M16" s="648"/>
      <c r="N16" s="649"/>
      <c r="O16" s="649"/>
      <c r="P16" s="649"/>
      <c r="Q16" s="649"/>
      <c r="R16" s="649"/>
      <c r="S16" s="649"/>
    </row>
    <row r="17" spans="1:19">
      <c r="A17" s="623" t="s">
        <v>504</v>
      </c>
      <c r="B17" s="640" t="s">
        <v>505</v>
      </c>
      <c r="C17" s="660" t="s">
        <v>824</v>
      </c>
      <c r="D17" s="660" t="s">
        <v>825</v>
      </c>
      <c r="E17" s="660" t="s">
        <v>826</v>
      </c>
      <c r="F17" s="660" t="s">
        <v>827</v>
      </c>
      <c r="G17" s="660" t="s">
        <v>828</v>
      </c>
      <c r="M17" s="648"/>
      <c r="N17" s="649"/>
      <c r="O17" s="649"/>
      <c r="P17" s="649"/>
      <c r="Q17" s="649"/>
      <c r="R17" s="649"/>
      <c r="S17" s="649"/>
    </row>
    <row r="18" spans="1:19" ht="25.5">
      <c r="A18" s="624" t="s">
        <v>522</v>
      </c>
      <c r="B18" s="641" t="s">
        <v>523</v>
      </c>
      <c r="C18" s="661" t="s">
        <v>829</v>
      </c>
      <c r="D18" s="661" t="s">
        <v>830</v>
      </c>
      <c r="E18" s="661" t="s">
        <v>831</v>
      </c>
      <c r="F18" s="661" t="s">
        <v>832</v>
      </c>
      <c r="G18" s="661" t="s">
        <v>833</v>
      </c>
      <c r="M18" s="648"/>
      <c r="N18" s="649"/>
      <c r="O18" s="649"/>
      <c r="P18" s="649"/>
      <c r="Q18" s="649"/>
      <c r="R18" s="649"/>
      <c r="S18" s="649"/>
    </row>
    <row r="19" spans="1:19">
      <c r="A19" s="625" t="s">
        <v>539</v>
      </c>
      <c r="B19" s="642" t="s">
        <v>540</v>
      </c>
      <c r="C19" s="662" t="s">
        <v>834</v>
      </c>
      <c r="D19" s="662" t="s">
        <v>835</v>
      </c>
      <c r="E19" s="662" t="s">
        <v>836</v>
      </c>
      <c r="F19" s="662" t="s">
        <v>837</v>
      </c>
      <c r="G19" s="662" t="s">
        <v>838</v>
      </c>
      <c r="M19" s="648"/>
      <c r="N19" s="649"/>
      <c r="O19" s="649"/>
      <c r="P19" s="649"/>
      <c r="Q19" s="649"/>
      <c r="R19" s="649"/>
      <c r="S19" s="649"/>
    </row>
    <row r="20" spans="1:19" ht="25.5">
      <c r="A20" s="626" t="s">
        <v>556</v>
      </c>
      <c r="B20" s="643" t="s">
        <v>557</v>
      </c>
      <c r="C20" s="663" t="s">
        <v>839</v>
      </c>
      <c r="D20" s="663" t="s">
        <v>840</v>
      </c>
      <c r="E20" s="663" t="s">
        <v>841</v>
      </c>
      <c r="F20" s="663" t="s">
        <v>842</v>
      </c>
      <c r="G20" s="663" t="s">
        <v>843</v>
      </c>
    </row>
    <row r="21" spans="1:19">
      <c r="A21" s="627" t="s">
        <v>574</v>
      </c>
      <c r="B21" s="644" t="s">
        <v>575</v>
      </c>
      <c r="C21" s="664" t="s">
        <v>844</v>
      </c>
      <c r="D21" s="664" t="s">
        <v>845</v>
      </c>
      <c r="E21" s="664" t="s">
        <v>846</v>
      </c>
      <c r="F21" s="664" t="s">
        <v>847</v>
      </c>
      <c r="G21" s="664" t="s">
        <v>848</v>
      </c>
    </row>
    <row r="22" spans="1:19">
      <c r="A22" s="672" t="s">
        <v>593</v>
      </c>
      <c r="B22" s="645" t="s">
        <v>594</v>
      </c>
      <c r="C22" s="665" t="s">
        <v>849</v>
      </c>
      <c r="D22" s="665" t="s">
        <v>850</v>
      </c>
      <c r="E22" s="665" t="s">
        <v>851</v>
      </c>
      <c r="F22" s="665" t="s">
        <v>852</v>
      </c>
      <c r="G22" s="665" t="s">
        <v>853</v>
      </c>
    </row>
    <row r="23" spans="1:19">
      <c r="A23" s="628" t="s">
        <v>611</v>
      </c>
      <c r="B23" s="646" t="s">
        <v>612</v>
      </c>
      <c r="C23" s="666" t="s">
        <v>854</v>
      </c>
      <c r="D23" s="666" t="s">
        <v>855</v>
      </c>
      <c r="E23" s="666" t="s">
        <v>856</v>
      </c>
      <c r="F23" s="666" t="s">
        <v>857</v>
      </c>
      <c r="G23" s="666" t="s">
        <v>858</v>
      </c>
    </row>
    <row r="24" spans="1:19">
      <c r="A24" s="610" t="s">
        <v>629</v>
      </c>
      <c r="B24" s="647" t="s">
        <v>630</v>
      </c>
      <c r="C24" s="667" t="s">
        <v>859</v>
      </c>
      <c r="D24" s="667" t="s">
        <v>860</v>
      </c>
      <c r="E24" s="667" t="s">
        <v>861</v>
      </c>
      <c r="F24" s="667" t="s">
        <v>862</v>
      </c>
      <c r="G24" s="667" t="s">
        <v>863</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4FBB-F32F-42B3-A6CA-A452B80215B9}">
  <dimension ref="A1:AW420"/>
  <sheetViews>
    <sheetView topLeftCell="C1" zoomScale="115" zoomScaleNormal="100" workbookViewId="0">
      <pane ySplit="2" topLeftCell="I3" activePane="bottomLeft" state="frozen"/>
      <selection pane="bottomLeft" activeCell="N3" sqref="N3"/>
    </sheetView>
  </sheetViews>
  <sheetFormatPr defaultColWidth="8.85546875" defaultRowHeight="14.45"/>
  <cols>
    <col min="2" max="2" width="24.42578125" customWidth="1"/>
    <col min="3" max="3" width="15" customWidth="1"/>
    <col min="4" max="4" width="11.140625" customWidth="1"/>
    <col min="5" max="5" width="8.42578125" customWidth="1"/>
    <col min="6" max="6" width="21.28515625" style="137" customWidth="1"/>
    <col min="7" max="7" width="14" style="78" customWidth="1"/>
    <col min="8" max="8" width="17.85546875" style="138" customWidth="1"/>
    <col min="9" max="9" width="15.85546875" style="138" customWidth="1"/>
    <col min="10" max="10" width="18.7109375" style="138" customWidth="1"/>
    <col min="11" max="11" width="18.85546875" style="536" customWidth="1"/>
    <col min="12" max="12" width="18.85546875" customWidth="1"/>
    <col min="13" max="13" width="60.85546875" customWidth="1"/>
    <col min="14" max="14" width="40.42578125" customWidth="1"/>
    <col min="15" max="15" width="28" customWidth="1"/>
    <col min="16" max="16" width="50" customWidth="1"/>
    <col min="17" max="19" width="15" customWidth="1"/>
    <col min="20" max="20" width="19.85546875" customWidth="1"/>
    <col min="21" max="21" width="11.85546875" customWidth="1"/>
    <col min="22" max="22" width="17.42578125" customWidth="1"/>
    <col min="23" max="23" width="10.5703125" customWidth="1"/>
    <col min="25" max="25" width="24.85546875" customWidth="1"/>
    <col min="26" max="26" width="15.42578125" customWidth="1"/>
  </cols>
  <sheetData>
    <row r="1" spans="1:49">
      <c r="K1" s="527"/>
      <c r="Q1" s="780"/>
      <c r="R1" s="781"/>
      <c r="S1" s="782"/>
      <c r="U1" s="783" t="s">
        <v>864</v>
      </c>
      <c r="V1" s="784"/>
      <c r="W1" s="785"/>
    </row>
    <row r="2" spans="1:49" s="41" customFormat="1" ht="43.5" customHeight="1">
      <c r="A2" s="139" t="s">
        <v>865</v>
      </c>
      <c r="B2" s="140" t="s">
        <v>866</v>
      </c>
      <c r="C2" s="141" t="s">
        <v>867</v>
      </c>
      <c r="D2" s="141" t="s">
        <v>119</v>
      </c>
      <c r="E2" s="141" t="s">
        <v>868</v>
      </c>
      <c r="F2" s="170" t="s">
        <v>869</v>
      </c>
      <c r="G2" s="140" t="s">
        <v>870</v>
      </c>
      <c r="H2" s="140" t="s">
        <v>871</v>
      </c>
      <c r="I2" s="140" t="s">
        <v>872</v>
      </c>
      <c r="J2" s="142" t="s">
        <v>873</v>
      </c>
      <c r="K2" s="141" t="s">
        <v>874</v>
      </c>
      <c r="L2" s="537" t="s">
        <v>875</v>
      </c>
      <c r="M2" s="141" t="s">
        <v>876</v>
      </c>
      <c r="N2" s="141" t="s">
        <v>877</v>
      </c>
      <c r="O2" s="140" t="s">
        <v>878</v>
      </c>
      <c r="P2" s="140" t="s">
        <v>879</v>
      </c>
      <c r="Q2" s="142" t="s">
        <v>880</v>
      </c>
      <c r="R2" s="143" t="s">
        <v>881</v>
      </c>
      <c r="S2" s="144" t="s">
        <v>882</v>
      </c>
      <c r="T2" s="140" t="s">
        <v>883</v>
      </c>
      <c r="U2" s="142" t="s">
        <v>884</v>
      </c>
      <c r="V2" s="143" t="s">
        <v>885</v>
      </c>
      <c r="W2" s="144" t="s">
        <v>886</v>
      </c>
      <c r="X2" s="141" t="s">
        <v>887</v>
      </c>
      <c r="Y2" s="141" t="s">
        <v>888</v>
      </c>
      <c r="Z2" s="145" t="s">
        <v>889</v>
      </c>
      <c r="AA2" s="47"/>
    </row>
    <row r="3" spans="1:49" s="41" customFormat="1" ht="43.5">
      <c r="A3" s="146" t="s">
        <v>890</v>
      </c>
      <c r="B3" s="109" t="s">
        <v>152</v>
      </c>
      <c r="C3" s="110" t="s">
        <v>154</v>
      </c>
      <c r="D3" s="111" t="s">
        <v>891</v>
      </c>
      <c r="E3" s="108">
        <v>1</v>
      </c>
      <c r="F3" s="168" t="str">
        <f>""&amp;Table12[[#This Row],[TTM Stage]]&amp;Table12[[#This Row],[Task No.]]&amp;"-"&amp;Table12[[#This Row],[Type of activity]]&amp;"-"&amp;Table12[[#This Row],[TargetGroup]]</f>
        <v>PC1-PA1 - A-Children</v>
      </c>
      <c r="G3" s="112" t="s">
        <v>892</v>
      </c>
      <c r="H3" s="113"/>
      <c r="I3" s="113"/>
      <c r="J3" s="259"/>
      <c r="K3" s="198" t="s">
        <v>893</v>
      </c>
      <c r="L3" s="146" t="s">
        <v>75</v>
      </c>
      <c r="M3" s="731" t="s">
        <v>894</v>
      </c>
      <c r="N3" s="114" t="s">
        <v>895</v>
      </c>
      <c r="O3" s="108">
        <v>1</v>
      </c>
      <c r="P3" s="108">
        <v>1</v>
      </c>
      <c r="Q3" s="108"/>
      <c r="R3" s="108"/>
      <c r="S3" s="108"/>
      <c r="T3" s="108"/>
      <c r="U3" s="108"/>
      <c r="V3" s="108"/>
      <c r="W3" s="108"/>
      <c r="X3" s="108"/>
      <c r="Y3" s="108"/>
      <c r="Z3" s="115"/>
      <c r="AA3" s="47"/>
      <c r="AW3" s="47"/>
    </row>
    <row r="4" spans="1:49" s="41" customFormat="1" ht="57.75">
      <c r="A4" s="146"/>
      <c r="B4" s="109" t="s">
        <v>152</v>
      </c>
      <c r="C4" s="110" t="s">
        <v>154</v>
      </c>
      <c r="D4" s="111" t="s">
        <v>891</v>
      </c>
      <c r="E4" s="108">
        <v>2</v>
      </c>
      <c r="F4" s="168" t="str">
        <f>""&amp;Table12[[#This Row],[TTM Stage]]&amp;Table12[[#This Row],[Task No.]]&amp;"-"&amp;Table12[[#This Row],[Type of activity]]&amp;"-"&amp;Table12[[#This Row],[TargetGroup]]</f>
        <v>PC2-PA1 - A-Children</v>
      </c>
      <c r="G4" s="112" t="s">
        <v>892</v>
      </c>
      <c r="H4" s="113"/>
      <c r="I4" s="113"/>
      <c r="J4" s="259"/>
      <c r="K4" s="307" t="s">
        <v>896</v>
      </c>
      <c r="L4" s="146" t="s">
        <v>75</v>
      </c>
      <c r="M4" s="114" t="s">
        <v>897</v>
      </c>
      <c r="N4" s="114" t="s">
        <v>898</v>
      </c>
      <c r="O4" s="108">
        <v>1</v>
      </c>
      <c r="P4" s="108">
        <v>1</v>
      </c>
      <c r="Q4" s="108"/>
      <c r="R4" s="108"/>
      <c r="S4" s="108"/>
      <c r="T4" s="108"/>
      <c r="U4" s="108"/>
      <c r="V4" s="108"/>
      <c r="W4" s="108"/>
      <c r="X4" s="108"/>
      <c r="Y4" s="108"/>
      <c r="Z4" s="115"/>
      <c r="AA4" s="47"/>
      <c r="AW4" s="47"/>
    </row>
    <row r="5" spans="1:49" s="41" customFormat="1" ht="86.25" customHeight="1">
      <c r="A5" s="146"/>
      <c r="B5" s="109" t="s">
        <v>152</v>
      </c>
      <c r="C5" s="110" t="s">
        <v>154</v>
      </c>
      <c r="D5" s="116" t="s">
        <v>899</v>
      </c>
      <c r="E5" s="108">
        <v>1</v>
      </c>
      <c r="F5" s="168" t="str">
        <f>""&amp;Table12[[#This Row],[TTM Stage]]&amp;Table12[[#This Row],[Task No.]]&amp;"-"&amp;Table12[[#This Row],[Type of activity]]&amp;"-"&amp;Table12[[#This Row],[TargetGroup]]</f>
        <v>C1-PA1 - A-Children</v>
      </c>
      <c r="G5" s="112" t="s">
        <v>900</v>
      </c>
      <c r="H5" s="113"/>
      <c r="I5" s="112"/>
      <c r="J5" s="259"/>
      <c r="K5" s="198" t="s">
        <v>901</v>
      </c>
      <c r="L5" s="146" t="s">
        <v>75</v>
      </c>
      <c r="M5" s="114" t="s">
        <v>902</v>
      </c>
      <c r="N5" s="114"/>
      <c r="O5" s="108">
        <v>1</v>
      </c>
      <c r="P5" s="108">
        <v>1</v>
      </c>
      <c r="Q5" s="108"/>
      <c r="R5" s="108"/>
      <c r="S5" s="108"/>
      <c r="T5" s="108"/>
      <c r="U5" s="108"/>
      <c r="V5" s="108"/>
      <c r="W5" s="108"/>
      <c r="X5" s="108"/>
      <c r="Y5" s="108"/>
      <c r="Z5" s="115"/>
      <c r="AA5" s="47"/>
      <c r="AW5" s="47"/>
    </row>
    <row r="6" spans="1:49" s="41" customFormat="1" ht="85.35" customHeight="1">
      <c r="A6" s="146"/>
      <c r="B6" s="109" t="s">
        <v>152</v>
      </c>
      <c r="C6" s="110" t="s">
        <v>154</v>
      </c>
      <c r="D6" s="116" t="s">
        <v>899</v>
      </c>
      <c r="E6" s="108">
        <v>2</v>
      </c>
      <c r="F6" s="168" t="str">
        <f>""&amp;Table12[[#This Row],[TTM Stage]]&amp;Table12[[#This Row],[Task No.]]&amp;"-"&amp;Table12[[#This Row],[Type of activity]]&amp;"-"&amp;Table12[[#This Row],[TargetGroup]]</f>
        <v>C2-PA1 - A-Children</v>
      </c>
      <c r="G6" s="112" t="s">
        <v>903</v>
      </c>
      <c r="H6" s="113"/>
      <c r="I6" s="113" t="s">
        <v>904</v>
      </c>
      <c r="J6" s="259"/>
      <c r="K6" s="198" t="s">
        <v>905</v>
      </c>
      <c r="L6" s="146" t="s">
        <v>75</v>
      </c>
      <c r="M6" s="114" t="s">
        <v>906</v>
      </c>
      <c r="N6" s="114"/>
      <c r="O6" s="108">
        <v>1</v>
      </c>
      <c r="P6" s="108">
        <v>7</v>
      </c>
      <c r="Q6" s="108"/>
      <c r="R6" s="108" t="s">
        <v>907</v>
      </c>
      <c r="S6" s="108"/>
      <c r="T6" s="108"/>
      <c r="U6" s="108"/>
      <c r="V6" s="108"/>
      <c r="W6" s="108"/>
      <c r="X6" s="108"/>
      <c r="Y6" s="108"/>
      <c r="Z6" s="115"/>
      <c r="AA6" s="47"/>
      <c r="AW6" s="47"/>
    </row>
    <row r="7" spans="1:49" s="41" customFormat="1" ht="61.5" customHeight="1">
      <c r="A7" s="146"/>
      <c r="B7" s="109" t="s">
        <v>152</v>
      </c>
      <c r="C7" s="110" t="s">
        <v>154</v>
      </c>
      <c r="D7" s="117" t="s">
        <v>908</v>
      </c>
      <c r="E7" s="108">
        <v>1</v>
      </c>
      <c r="F7" s="168" t="str">
        <f>""&amp;Table12[[#This Row],[TTM Stage]]&amp;Table12[[#This Row],[Task No.]]&amp;"-"&amp;Table12[[#This Row],[Type of activity]]&amp;"-"&amp;Table12[[#This Row],[TargetGroup]]</f>
        <v>P1-PA1 - A-Children</v>
      </c>
      <c r="G7" s="112" t="s">
        <v>909</v>
      </c>
      <c r="H7" s="112"/>
      <c r="I7" s="112"/>
      <c r="J7" s="497"/>
      <c r="K7" s="198" t="s">
        <v>910</v>
      </c>
      <c r="L7" s="146" t="s">
        <v>75</v>
      </c>
      <c r="M7" s="114" t="s">
        <v>911</v>
      </c>
      <c r="N7" s="114" t="s">
        <v>912</v>
      </c>
      <c r="O7" s="108">
        <v>1</v>
      </c>
      <c r="P7" s="108">
        <v>1</v>
      </c>
      <c r="Q7" s="108"/>
      <c r="R7" s="108"/>
      <c r="S7" s="108" t="s">
        <v>913</v>
      </c>
      <c r="T7" s="108"/>
      <c r="U7" s="108"/>
      <c r="V7" s="108"/>
      <c r="W7" s="108"/>
      <c r="X7" s="108"/>
      <c r="Y7" s="108"/>
      <c r="Z7" s="115"/>
      <c r="AA7" s="47"/>
      <c r="AW7" s="47"/>
    </row>
    <row r="8" spans="1:49" s="41" customFormat="1" ht="57.75">
      <c r="A8" s="146"/>
      <c r="B8" s="109" t="s">
        <v>152</v>
      </c>
      <c r="C8" s="110" t="s">
        <v>154</v>
      </c>
      <c r="D8" s="117" t="s">
        <v>908</v>
      </c>
      <c r="E8" s="108">
        <v>2</v>
      </c>
      <c r="F8" s="168" t="str">
        <f>""&amp;Table12[[#This Row],[TTM Stage]]&amp;Table12[[#This Row],[Task No.]]&amp;"-"&amp;Table12[[#This Row],[Type of activity]]&amp;"-"&amp;Table12[[#This Row],[TargetGroup]]</f>
        <v>P2-PA1 - A-Children</v>
      </c>
      <c r="G8" s="112" t="s">
        <v>914</v>
      </c>
      <c r="H8" s="113"/>
      <c r="I8" s="112" t="s">
        <v>904</v>
      </c>
      <c r="J8" s="259"/>
      <c r="K8" s="198" t="s">
        <v>915</v>
      </c>
      <c r="L8" s="146" t="s">
        <v>75</v>
      </c>
      <c r="M8" s="114" t="s">
        <v>916</v>
      </c>
      <c r="N8" s="114"/>
      <c r="O8" s="108">
        <v>1</v>
      </c>
      <c r="P8" s="108">
        <v>1</v>
      </c>
      <c r="Q8" s="108"/>
      <c r="R8" s="108"/>
      <c r="S8" s="108"/>
      <c r="T8" s="114" t="s">
        <v>917</v>
      </c>
      <c r="U8" s="108" t="s">
        <v>918</v>
      </c>
      <c r="V8" s="114" t="s">
        <v>919</v>
      </c>
      <c r="W8" s="108">
        <v>99</v>
      </c>
      <c r="X8" s="108"/>
      <c r="Y8" s="108" t="s">
        <v>920</v>
      </c>
      <c r="Z8" s="115"/>
      <c r="AA8" s="47"/>
      <c r="AW8" s="47"/>
    </row>
    <row r="9" spans="1:49" s="41" customFormat="1" ht="43.5">
      <c r="A9" s="146"/>
      <c r="B9" s="109" t="s">
        <v>152</v>
      </c>
      <c r="C9" s="110" t="s">
        <v>154</v>
      </c>
      <c r="D9" s="118" t="s">
        <v>921</v>
      </c>
      <c r="E9" s="108">
        <v>1</v>
      </c>
      <c r="F9" s="168" t="str">
        <f>""&amp;Table12[[#This Row],[TTM Stage]]&amp;Table12[[#This Row],[Task No.]]&amp;"-"&amp;Table12[[#This Row],[Type of activity]]&amp;"-"&amp;Table12[[#This Row],[TargetGroup]]</f>
        <v>A1-PA1 - A-Children</v>
      </c>
      <c r="G9" s="112" t="s">
        <v>914</v>
      </c>
      <c r="H9" s="113"/>
      <c r="I9" s="112" t="s">
        <v>904</v>
      </c>
      <c r="J9" s="259"/>
      <c r="K9" s="198" t="s">
        <v>922</v>
      </c>
      <c r="L9" s="146" t="s">
        <v>75</v>
      </c>
      <c r="M9" s="114" t="s">
        <v>923</v>
      </c>
      <c r="N9" s="114" t="s">
        <v>924</v>
      </c>
      <c r="O9" s="108">
        <v>1</v>
      </c>
      <c r="P9" s="108">
        <v>1</v>
      </c>
      <c r="Q9" s="108"/>
      <c r="R9" s="108"/>
      <c r="S9" s="108"/>
      <c r="T9" s="114" t="s">
        <v>917</v>
      </c>
      <c r="U9" s="108" t="s">
        <v>918</v>
      </c>
      <c r="V9" s="114" t="s">
        <v>919</v>
      </c>
      <c r="W9" s="108">
        <v>3999</v>
      </c>
      <c r="X9" s="108"/>
      <c r="Y9" s="108" t="s">
        <v>920</v>
      </c>
      <c r="Z9" s="115"/>
      <c r="AA9" s="47"/>
      <c r="AW9" s="47"/>
    </row>
    <row r="10" spans="1:49" s="41" customFormat="1" ht="57.75">
      <c r="A10" s="146"/>
      <c r="B10" s="109" t="s">
        <v>152</v>
      </c>
      <c r="C10" s="110" t="s">
        <v>154</v>
      </c>
      <c r="D10" s="118" t="s">
        <v>921</v>
      </c>
      <c r="E10" s="108">
        <v>2</v>
      </c>
      <c r="F10" s="168" t="str">
        <f>""&amp;Table12[[#This Row],[TTM Stage]]&amp;Table12[[#This Row],[Task No.]]&amp;"-"&amp;Table12[[#This Row],[Type of activity]]&amp;"-"&amp;Table12[[#This Row],[TargetGroup]]</f>
        <v>A2-PA1 - A-Children</v>
      </c>
      <c r="G10" s="112" t="s">
        <v>914</v>
      </c>
      <c r="H10" s="113"/>
      <c r="I10" s="112" t="s">
        <v>904</v>
      </c>
      <c r="J10" s="259"/>
      <c r="K10" s="198" t="s">
        <v>925</v>
      </c>
      <c r="L10" s="146" t="s">
        <v>75</v>
      </c>
      <c r="M10" s="114" t="s">
        <v>926</v>
      </c>
      <c r="N10" s="114" t="s">
        <v>927</v>
      </c>
      <c r="O10" s="108">
        <v>1</v>
      </c>
      <c r="P10" s="108">
        <v>1</v>
      </c>
      <c r="Q10" s="108"/>
      <c r="R10" s="108"/>
      <c r="S10" s="108"/>
      <c r="T10" s="114" t="s">
        <v>917</v>
      </c>
      <c r="U10" s="108" t="s">
        <v>918</v>
      </c>
      <c r="V10" s="114" t="s">
        <v>919</v>
      </c>
      <c r="W10" s="108">
        <v>5999</v>
      </c>
      <c r="X10" s="108"/>
      <c r="Y10" s="108" t="s">
        <v>920</v>
      </c>
      <c r="Z10" s="115"/>
      <c r="AA10" s="47"/>
      <c r="AW10" s="47"/>
    </row>
    <row r="11" spans="1:49" s="41" customFormat="1" ht="57.75">
      <c r="A11" s="146"/>
      <c r="B11" s="109" t="s">
        <v>152</v>
      </c>
      <c r="C11" s="110" t="s">
        <v>154</v>
      </c>
      <c r="D11" s="118" t="s">
        <v>921</v>
      </c>
      <c r="E11" s="108">
        <v>3</v>
      </c>
      <c r="F11" s="168" t="str">
        <f>""&amp;Table12[[#This Row],[TTM Stage]]&amp;Table12[[#This Row],[Task No.]]&amp;"-"&amp;Table12[[#This Row],[Type of activity]]&amp;"-"&amp;Table12[[#This Row],[TargetGroup]]</f>
        <v>A3-PA1 - A-Children</v>
      </c>
      <c r="G11" s="112" t="s">
        <v>914</v>
      </c>
      <c r="H11" s="113"/>
      <c r="I11" s="112" t="s">
        <v>904</v>
      </c>
      <c r="J11" s="259"/>
      <c r="K11" s="198" t="s">
        <v>750</v>
      </c>
      <c r="L11" s="146" t="s">
        <v>75</v>
      </c>
      <c r="M11" s="114" t="s">
        <v>928</v>
      </c>
      <c r="N11" s="114" t="s">
        <v>929</v>
      </c>
      <c r="O11" s="108">
        <v>1</v>
      </c>
      <c r="P11" s="108">
        <v>1</v>
      </c>
      <c r="Q11" s="108"/>
      <c r="R11" s="108"/>
      <c r="S11" s="108"/>
      <c r="T11" s="114" t="s">
        <v>917</v>
      </c>
      <c r="U11" s="108" t="s">
        <v>918</v>
      </c>
      <c r="V11" s="114" t="s">
        <v>919</v>
      </c>
      <c r="W11" s="108">
        <v>7999</v>
      </c>
      <c r="X11" s="108"/>
      <c r="Y11" s="108" t="s">
        <v>920</v>
      </c>
      <c r="Z11" s="115"/>
      <c r="AA11" s="47"/>
      <c r="AW11" s="47"/>
    </row>
    <row r="12" spans="1:49" s="41" customFormat="1" ht="57.75">
      <c r="A12" s="146"/>
      <c r="B12" s="109" t="s">
        <v>152</v>
      </c>
      <c r="C12" s="110" t="s">
        <v>154</v>
      </c>
      <c r="D12" s="118" t="s">
        <v>921</v>
      </c>
      <c r="E12" s="108">
        <v>4</v>
      </c>
      <c r="F12" s="168" t="str">
        <f>""&amp;Table12[[#This Row],[TTM Stage]]&amp;Table12[[#This Row],[Task No.]]&amp;"-"&amp;Table12[[#This Row],[Type of activity]]&amp;"-"&amp;Table12[[#This Row],[TargetGroup]]</f>
        <v>A4-PA1 - A-Children</v>
      </c>
      <c r="G12" s="112" t="s">
        <v>914</v>
      </c>
      <c r="H12" s="113"/>
      <c r="I12" s="112" t="s">
        <v>904</v>
      </c>
      <c r="J12" s="259"/>
      <c r="K12" s="198" t="s">
        <v>930</v>
      </c>
      <c r="L12" s="146" t="s">
        <v>75</v>
      </c>
      <c r="M12" s="114" t="s">
        <v>931</v>
      </c>
      <c r="N12" s="114" t="s">
        <v>932</v>
      </c>
      <c r="O12" s="108">
        <v>1</v>
      </c>
      <c r="P12" s="108">
        <v>1</v>
      </c>
      <c r="Q12" s="108"/>
      <c r="R12" s="108"/>
      <c r="S12" s="108"/>
      <c r="T12" s="114" t="s">
        <v>917</v>
      </c>
      <c r="U12" s="108" t="s">
        <v>918</v>
      </c>
      <c r="V12" s="114" t="s">
        <v>919</v>
      </c>
      <c r="W12" s="108">
        <v>8999</v>
      </c>
      <c r="X12" s="108"/>
      <c r="Y12" s="108" t="s">
        <v>920</v>
      </c>
      <c r="Z12" s="115"/>
      <c r="AA12" s="47"/>
      <c r="AW12" s="47"/>
    </row>
    <row r="13" spans="1:49" s="41" customFormat="1" ht="57.75">
      <c r="A13" s="146"/>
      <c r="B13" s="109" t="s">
        <v>152</v>
      </c>
      <c r="C13" s="110" t="s">
        <v>154</v>
      </c>
      <c r="D13" s="119" t="s">
        <v>933</v>
      </c>
      <c r="E13" s="108">
        <v>1</v>
      </c>
      <c r="F13" s="168" t="str">
        <f>""&amp;Table12[[#This Row],[TTM Stage]]&amp;Table12[[#This Row],[Task No.]]&amp;"-"&amp;Table12[[#This Row],[Type of activity]]&amp;"-"&amp;Table12[[#This Row],[TargetGroup]]</f>
        <v>M1-PA1 - A-Children</v>
      </c>
      <c r="G13" s="112" t="s">
        <v>914</v>
      </c>
      <c r="H13" s="113"/>
      <c r="I13" s="112" t="s">
        <v>904</v>
      </c>
      <c r="J13" s="259"/>
      <c r="K13" s="198" t="s">
        <v>934</v>
      </c>
      <c r="L13" s="146" t="s">
        <v>75</v>
      </c>
      <c r="M13" s="114" t="s">
        <v>935</v>
      </c>
      <c r="N13" s="114" t="s">
        <v>936</v>
      </c>
      <c r="O13" s="108">
        <v>5</v>
      </c>
      <c r="P13" s="108">
        <v>7</v>
      </c>
      <c r="Q13" s="108"/>
      <c r="R13" s="108"/>
      <c r="S13" s="108"/>
      <c r="T13" s="114" t="s">
        <v>917</v>
      </c>
      <c r="U13" s="108" t="s">
        <v>918</v>
      </c>
      <c r="V13" s="114" t="s">
        <v>919</v>
      </c>
      <c r="W13" s="108">
        <v>3999</v>
      </c>
      <c r="X13" s="108"/>
      <c r="Y13" s="108" t="s">
        <v>920</v>
      </c>
      <c r="Z13" s="115"/>
      <c r="AA13" s="47"/>
      <c r="AW13" s="47"/>
    </row>
    <row r="14" spans="1:49" s="41" customFormat="1" ht="57.75">
      <c r="A14" s="146"/>
      <c r="B14" s="109" t="s">
        <v>152</v>
      </c>
      <c r="C14" s="110" t="s">
        <v>154</v>
      </c>
      <c r="D14" s="119" t="s">
        <v>933</v>
      </c>
      <c r="E14" s="108">
        <v>2</v>
      </c>
      <c r="F14" s="168" t="str">
        <f>""&amp;Table12[[#This Row],[TTM Stage]]&amp;Table12[[#This Row],[Task No.]]&amp;"-"&amp;Table12[[#This Row],[Type of activity]]&amp;"-"&amp;Table12[[#This Row],[TargetGroup]]</f>
        <v>M2-PA1 - A-Children</v>
      </c>
      <c r="G14" s="112" t="s">
        <v>914</v>
      </c>
      <c r="H14" s="113"/>
      <c r="I14" s="112" t="s">
        <v>904</v>
      </c>
      <c r="J14" s="259"/>
      <c r="K14" s="198" t="s">
        <v>752</v>
      </c>
      <c r="L14" s="146" t="s">
        <v>75</v>
      </c>
      <c r="M14" s="114" t="s">
        <v>937</v>
      </c>
      <c r="N14" s="114" t="s">
        <v>938</v>
      </c>
      <c r="O14" s="108">
        <v>5</v>
      </c>
      <c r="P14" s="108">
        <v>7</v>
      </c>
      <c r="Q14" s="108"/>
      <c r="R14" s="108"/>
      <c r="S14" s="108"/>
      <c r="T14" s="114" t="s">
        <v>917</v>
      </c>
      <c r="U14" s="108" t="s">
        <v>918</v>
      </c>
      <c r="V14" s="114" t="s">
        <v>919</v>
      </c>
      <c r="W14" s="108">
        <v>5999</v>
      </c>
      <c r="X14" s="108"/>
      <c r="Y14" s="108" t="s">
        <v>920</v>
      </c>
      <c r="Z14" s="115"/>
      <c r="AA14" s="47"/>
      <c r="AW14" s="47"/>
    </row>
    <row r="15" spans="1:49" s="41" customFormat="1" ht="57.75">
      <c r="A15" s="146"/>
      <c r="B15" s="109" t="s">
        <v>152</v>
      </c>
      <c r="C15" s="110" t="s">
        <v>154</v>
      </c>
      <c r="D15" s="119" t="s">
        <v>933</v>
      </c>
      <c r="E15" s="108">
        <v>3</v>
      </c>
      <c r="F15" s="168" t="str">
        <f>""&amp;Table12[[#This Row],[TTM Stage]]&amp;Table12[[#This Row],[Task No.]]&amp;"-"&amp;Table12[[#This Row],[Type of activity]]&amp;"-"&amp;Table12[[#This Row],[TargetGroup]]</f>
        <v>M3-PA1 - A-Children</v>
      </c>
      <c r="G15" s="112" t="s">
        <v>914</v>
      </c>
      <c r="H15" s="113"/>
      <c r="I15" s="112" t="s">
        <v>904</v>
      </c>
      <c r="J15" s="259"/>
      <c r="K15" s="198" t="s">
        <v>939</v>
      </c>
      <c r="L15" s="146" t="s">
        <v>75</v>
      </c>
      <c r="M15" s="114" t="s">
        <v>940</v>
      </c>
      <c r="N15" s="114" t="s">
        <v>941</v>
      </c>
      <c r="O15" s="108">
        <v>5</v>
      </c>
      <c r="P15" s="108">
        <v>7</v>
      </c>
      <c r="Q15" s="108"/>
      <c r="R15" s="108"/>
      <c r="S15" s="108"/>
      <c r="T15" s="114" t="s">
        <v>917</v>
      </c>
      <c r="U15" s="108" t="s">
        <v>918</v>
      </c>
      <c r="V15" s="114" t="s">
        <v>919</v>
      </c>
      <c r="W15" s="108">
        <v>7999</v>
      </c>
      <c r="X15" s="108"/>
      <c r="Y15" s="108" t="s">
        <v>920</v>
      </c>
      <c r="Z15" s="115"/>
      <c r="AA15" s="47"/>
      <c r="AW15" s="47"/>
    </row>
    <row r="16" spans="1:49" s="41" customFormat="1" ht="72.75">
      <c r="A16" s="146"/>
      <c r="B16" s="109" t="s">
        <v>152</v>
      </c>
      <c r="C16" s="120" t="s">
        <v>154</v>
      </c>
      <c r="D16" s="121" t="s">
        <v>933</v>
      </c>
      <c r="E16" s="122">
        <v>4</v>
      </c>
      <c r="F16" s="169" t="str">
        <f>""&amp;Table12[[#This Row],[TTM Stage]]&amp;Table12[[#This Row],[Task No.]]&amp;"-"&amp;Table12[[#This Row],[Type of activity]]&amp;"-"&amp;Table12[[#This Row],[TargetGroup]]</f>
        <v>M4-PA1 - A-Children</v>
      </c>
      <c r="G16" s="123" t="s">
        <v>914</v>
      </c>
      <c r="H16" s="124"/>
      <c r="I16" s="123" t="s">
        <v>904</v>
      </c>
      <c r="J16" s="315"/>
      <c r="K16" s="200" t="s">
        <v>753</v>
      </c>
      <c r="L16" s="146" t="s">
        <v>75</v>
      </c>
      <c r="M16" s="125" t="s">
        <v>942</v>
      </c>
      <c r="N16" s="125" t="s">
        <v>943</v>
      </c>
      <c r="O16" s="122">
        <v>5</v>
      </c>
      <c r="P16" s="122">
        <v>7</v>
      </c>
      <c r="Q16" s="122"/>
      <c r="R16" s="122"/>
      <c r="S16" s="122"/>
      <c r="T16" s="125" t="s">
        <v>917</v>
      </c>
      <c r="U16" s="122" t="s">
        <v>918</v>
      </c>
      <c r="V16" s="125" t="s">
        <v>919</v>
      </c>
      <c r="W16" s="122">
        <v>8999</v>
      </c>
      <c r="X16" s="122"/>
      <c r="Y16" s="122" t="s">
        <v>920</v>
      </c>
      <c r="Z16" s="126"/>
      <c r="AA16" s="80"/>
      <c r="AB16" s="57"/>
      <c r="AC16" s="57"/>
      <c r="AD16" s="57"/>
      <c r="AE16" s="57"/>
      <c r="AF16" s="57"/>
      <c r="AG16" s="57"/>
      <c r="AW16" s="47"/>
    </row>
    <row r="17" spans="1:40" ht="43.5">
      <c r="A17" s="147"/>
      <c r="B17" s="188" t="s">
        <v>944</v>
      </c>
      <c r="C17" s="189" t="s">
        <v>945</v>
      </c>
      <c r="D17" s="128" t="s">
        <v>891</v>
      </c>
      <c r="E17" s="191">
        <v>1</v>
      </c>
      <c r="F17" s="169" t="str">
        <f>""&amp;Table12[[#This Row],[TTM Stage]]&amp;Table12[[#This Row],[Task No.]]&amp;"-"&amp;Table12[[#This Row],[Type of activity]]&amp;"-"&amp;Table12[[#This Row],[TargetGroup]]</f>
        <v>PC1-PA2 - A-Children</v>
      </c>
      <c r="G17" s="192" t="s">
        <v>946</v>
      </c>
      <c r="H17" s="193"/>
      <c r="I17" s="193"/>
      <c r="J17" s="498"/>
      <c r="K17" s="228" t="s">
        <v>947</v>
      </c>
      <c r="L17" s="538" t="s">
        <v>75</v>
      </c>
      <c r="M17" s="225" t="s">
        <v>948</v>
      </c>
      <c r="N17" s="223"/>
      <c r="O17" s="191">
        <v>1</v>
      </c>
      <c r="P17" s="191">
        <v>1</v>
      </c>
      <c r="Q17" s="129"/>
      <c r="R17" s="129"/>
      <c r="S17" s="129"/>
      <c r="T17" s="129"/>
      <c r="U17" s="129"/>
      <c r="V17" s="132"/>
      <c r="W17" s="129"/>
      <c r="X17" s="129"/>
      <c r="Y17" s="129"/>
      <c r="Z17" s="133"/>
      <c r="AA17" s="8"/>
      <c r="AB17" s="39"/>
      <c r="AC17" s="39"/>
      <c r="AD17" s="39"/>
      <c r="AE17" s="39"/>
      <c r="AF17" s="39"/>
      <c r="AG17" s="39"/>
      <c r="AH17" s="39"/>
      <c r="AI17" s="39"/>
      <c r="AJ17" s="39"/>
      <c r="AK17" s="39"/>
      <c r="AL17" s="39"/>
      <c r="AM17" s="39"/>
      <c r="AN17" s="39"/>
    </row>
    <row r="18" spans="1:40" ht="15">
      <c r="A18" s="147"/>
      <c r="B18" s="188" t="s">
        <v>944</v>
      </c>
      <c r="C18" s="127" t="s">
        <v>945</v>
      </c>
      <c r="D18" s="111" t="s">
        <v>891</v>
      </c>
      <c r="E18" s="129">
        <v>2</v>
      </c>
      <c r="F18" s="169" t="str">
        <f>""&amp;Table12[[#This Row],[TTM Stage]]&amp;Table12[[#This Row],[Task No.]]&amp;"-"&amp;Table12[[#This Row],[Type of activity]]&amp;"-"&amp;Table12[[#This Row],[TargetGroup]]</f>
        <v>PC2-PA2 - A-Children</v>
      </c>
      <c r="G18" s="130" t="s">
        <v>946</v>
      </c>
      <c r="H18" s="131"/>
      <c r="I18" s="131"/>
      <c r="J18" s="489"/>
      <c r="K18" s="229" t="s">
        <v>949</v>
      </c>
      <c r="L18" s="146" t="s">
        <v>75</v>
      </c>
      <c r="M18" s="224" t="s">
        <v>950</v>
      </c>
      <c r="N18" s="132"/>
      <c r="O18" s="129">
        <v>1</v>
      </c>
      <c r="P18" s="129">
        <v>1</v>
      </c>
      <c r="Q18" s="108"/>
      <c r="R18" s="108"/>
      <c r="S18" s="108"/>
      <c r="T18" s="108"/>
      <c r="U18" s="108"/>
      <c r="V18" s="114"/>
      <c r="W18" s="108"/>
      <c r="X18" s="108"/>
      <c r="Y18" s="108"/>
      <c r="Z18" s="115"/>
      <c r="AA18" s="47"/>
      <c r="AB18" s="41"/>
      <c r="AC18" s="41"/>
      <c r="AD18" s="41"/>
      <c r="AE18" s="41"/>
      <c r="AF18" s="41"/>
      <c r="AG18" s="41"/>
      <c r="AH18" s="41"/>
      <c r="AI18" s="41"/>
      <c r="AJ18" s="41"/>
      <c r="AK18" s="41"/>
      <c r="AL18" s="41"/>
      <c r="AM18" s="41"/>
      <c r="AN18" s="41"/>
    </row>
    <row r="19" spans="1:40" ht="29.25">
      <c r="A19" s="147"/>
      <c r="B19" s="188" t="s">
        <v>944</v>
      </c>
      <c r="C19" s="189" t="s">
        <v>945</v>
      </c>
      <c r="D19" s="116" t="s">
        <v>899</v>
      </c>
      <c r="E19" s="108">
        <v>1</v>
      </c>
      <c r="F19" s="169" t="str">
        <f>""&amp;Table12[[#This Row],[TTM Stage]]&amp;Table12[[#This Row],[Task No.]]&amp;"-"&amp;Table12[[#This Row],[Type of activity]]&amp;"-"&amp;Table12[[#This Row],[TargetGroup]]</f>
        <v>C1-PA2 - A-Children</v>
      </c>
      <c r="G19" s="112" t="s">
        <v>900</v>
      </c>
      <c r="H19" s="113"/>
      <c r="I19" s="113"/>
      <c r="J19" s="259"/>
      <c r="K19" s="230" t="s">
        <v>951</v>
      </c>
      <c r="L19" s="146" t="s">
        <v>75</v>
      </c>
      <c r="M19" s="222" t="s">
        <v>952</v>
      </c>
      <c r="N19" s="114"/>
      <c r="O19" s="108">
        <v>1</v>
      </c>
      <c r="P19" s="108">
        <v>1</v>
      </c>
      <c r="Q19" s="108"/>
      <c r="R19" s="108"/>
      <c r="S19" s="108"/>
      <c r="T19" s="108"/>
      <c r="U19" s="108"/>
      <c r="V19" s="114"/>
      <c r="W19" s="108"/>
      <c r="X19" s="108"/>
      <c r="Y19" s="108"/>
      <c r="Z19" s="115"/>
      <c r="AA19" s="47"/>
      <c r="AB19" s="41"/>
      <c r="AC19" s="41"/>
      <c r="AD19" s="41"/>
      <c r="AE19" s="41"/>
      <c r="AF19" s="41"/>
      <c r="AG19" s="41"/>
      <c r="AH19" s="41"/>
      <c r="AI19" s="41"/>
      <c r="AJ19" s="41"/>
      <c r="AK19" s="41"/>
      <c r="AL19" s="41"/>
      <c r="AM19" s="41"/>
      <c r="AN19" s="41"/>
    </row>
    <row r="20" spans="1:40" ht="101.25">
      <c r="A20" s="147"/>
      <c r="B20" s="188" t="s">
        <v>944</v>
      </c>
      <c r="C20" s="127" t="s">
        <v>945</v>
      </c>
      <c r="D20" s="116" t="s">
        <v>899</v>
      </c>
      <c r="E20" s="108">
        <v>2</v>
      </c>
      <c r="F20" s="169" t="str">
        <f>""&amp;Table12[[#This Row],[TTM Stage]]&amp;Table12[[#This Row],[Task No.]]&amp;"-"&amp;Table12[[#This Row],[Type of activity]]&amp;"-"&amp;Table12[[#This Row],[TargetGroup]]</f>
        <v>C2-PA2 - A-Children</v>
      </c>
      <c r="G20" s="112" t="s">
        <v>953</v>
      </c>
      <c r="H20" s="113"/>
      <c r="I20" s="113"/>
      <c r="J20" s="259"/>
      <c r="K20" s="230" t="s">
        <v>954</v>
      </c>
      <c r="L20" s="146" t="s">
        <v>75</v>
      </c>
      <c r="M20" s="114" t="s">
        <v>955</v>
      </c>
      <c r="N20" s="226" t="s">
        <v>956</v>
      </c>
      <c r="O20" s="108">
        <v>1</v>
      </c>
      <c r="P20" s="108">
        <v>1</v>
      </c>
      <c r="Q20" s="108"/>
      <c r="R20" s="108"/>
      <c r="S20" s="108"/>
      <c r="T20" s="108"/>
      <c r="U20" s="108"/>
      <c r="V20" s="114"/>
      <c r="W20" s="108"/>
      <c r="X20" s="108"/>
      <c r="Y20" s="108"/>
      <c r="Z20" s="115"/>
      <c r="AA20" s="47"/>
      <c r="AB20" s="41"/>
      <c r="AC20" s="41"/>
      <c r="AD20" s="41"/>
      <c r="AE20" s="41"/>
      <c r="AF20" s="41"/>
      <c r="AG20" s="41"/>
      <c r="AH20" s="41"/>
      <c r="AI20" s="41"/>
      <c r="AJ20" s="41"/>
      <c r="AK20" s="41"/>
      <c r="AL20" s="41"/>
      <c r="AM20" s="41"/>
      <c r="AN20" s="41"/>
    </row>
    <row r="21" spans="1:40" ht="43.5">
      <c r="A21" s="147"/>
      <c r="B21" s="188" t="s">
        <v>944</v>
      </c>
      <c r="C21" s="189" t="s">
        <v>945</v>
      </c>
      <c r="D21" s="117" t="s">
        <v>908</v>
      </c>
      <c r="E21" s="108">
        <v>1</v>
      </c>
      <c r="F21" s="169" t="str">
        <f>""&amp;Table12[[#This Row],[TTM Stage]]&amp;Table12[[#This Row],[Task No.]]&amp;"-"&amp;Table12[[#This Row],[Type of activity]]&amp;"-"&amp;Table12[[#This Row],[TargetGroup]]</f>
        <v>P1-PA2 - A-Children</v>
      </c>
      <c r="G21" s="112" t="s">
        <v>957</v>
      </c>
      <c r="H21" s="113"/>
      <c r="I21" s="113"/>
      <c r="J21" s="259"/>
      <c r="K21" s="231" t="s">
        <v>958</v>
      </c>
      <c r="L21" s="146" t="s">
        <v>75</v>
      </c>
      <c r="M21" s="226" t="s">
        <v>959</v>
      </c>
      <c r="N21" s="114"/>
      <c r="O21" s="108">
        <v>1</v>
      </c>
      <c r="P21" s="108">
        <v>1</v>
      </c>
      <c r="Q21" s="108"/>
      <c r="R21" s="108"/>
      <c r="S21" s="108"/>
      <c r="T21" s="108"/>
      <c r="U21" s="108"/>
      <c r="V21" s="114"/>
      <c r="W21" s="108"/>
      <c r="X21" s="108"/>
      <c r="Y21" s="108"/>
      <c r="Z21" s="115"/>
      <c r="AA21" s="47"/>
      <c r="AB21" s="41"/>
      <c r="AC21" s="41"/>
      <c r="AD21" s="41"/>
      <c r="AE21" s="41"/>
      <c r="AF21" s="41"/>
      <c r="AG21" s="41"/>
      <c r="AH21" s="41"/>
      <c r="AI21" s="41"/>
      <c r="AJ21" s="41"/>
      <c r="AK21" s="41"/>
      <c r="AL21" s="41"/>
      <c r="AM21" s="41"/>
      <c r="AN21" s="41"/>
    </row>
    <row r="22" spans="1:40" ht="101.25">
      <c r="A22" s="147"/>
      <c r="B22" s="188" t="s">
        <v>944</v>
      </c>
      <c r="C22" s="127" t="s">
        <v>945</v>
      </c>
      <c r="D22" s="117" t="s">
        <v>908</v>
      </c>
      <c r="E22" s="108">
        <v>2</v>
      </c>
      <c r="F22" s="169" t="str">
        <f>""&amp;Table12[[#This Row],[TTM Stage]]&amp;Table12[[#This Row],[Task No.]]&amp;"-"&amp;Table12[[#This Row],[Type of activity]]&amp;"-"&amp;Table12[[#This Row],[TargetGroup]]</f>
        <v>P2-PA2 - A-Children</v>
      </c>
      <c r="G22" s="112" t="s">
        <v>957</v>
      </c>
      <c r="H22" s="113"/>
      <c r="I22" s="113"/>
      <c r="J22" s="259"/>
      <c r="K22" s="230" t="s">
        <v>960</v>
      </c>
      <c r="L22" s="146" t="s">
        <v>75</v>
      </c>
      <c r="M22" s="227" t="s">
        <v>961</v>
      </c>
      <c r="N22" s="114"/>
      <c r="O22" s="108">
        <v>1</v>
      </c>
      <c r="P22" s="108">
        <v>1</v>
      </c>
      <c r="Q22" s="108"/>
      <c r="R22" s="108"/>
      <c r="S22" s="108"/>
      <c r="T22" s="108"/>
      <c r="U22" s="108"/>
      <c r="V22" s="114"/>
      <c r="W22" s="108"/>
      <c r="X22" s="108"/>
      <c r="Y22" s="108"/>
      <c r="Z22" s="115"/>
      <c r="AA22" s="47"/>
      <c r="AB22" s="41"/>
      <c r="AC22" s="41"/>
      <c r="AD22" s="41"/>
      <c r="AE22" s="41"/>
      <c r="AF22" s="41"/>
      <c r="AG22" s="41"/>
      <c r="AH22" s="41"/>
      <c r="AI22" s="41"/>
      <c r="AJ22" s="41"/>
      <c r="AK22" s="41"/>
      <c r="AL22" s="41"/>
      <c r="AM22" s="41"/>
      <c r="AN22" s="41"/>
    </row>
    <row r="23" spans="1:40" ht="57.75">
      <c r="A23" s="147"/>
      <c r="B23" s="188" t="s">
        <v>944</v>
      </c>
      <c r="C23" s="127" t="s">
        <v>945</v>
      </c>
      <c r="D23" s="118" t="s">
        <v>921</v>
      </c>
      <c r="E23" s="108">
        <v>1</v>
      </c>
      <c r="F23" s="169" t="str">
        <f>""&amp;Table12[[#This Row],[TTM Stage]]&amp;Table12[[#This Row],[Task No.]]&amp;"-"&amp;Table12[[#This Row],[Type of activity]]&amp;"-"&amp;Table12[[#This Row],[TargetGroup]]</f>
        <v>A1-PA2 - A-Children</v>
      </c>
      <c r="G23" s="112" t="s">
        <v>962</v>
      </c>
      <c r="H23" s="113"/>
      <c r="I23" s="113"/>
      <c r="J23" s="259"/>
      <c r="K23" s="231" t="s">
        <v>755</v>
      </c>
      <c r="L23" s="146" t="s">
        <v>75</v>
      </c>
      <c r="M23" s="226" t="s">
        <v>963</v>
      </c>
      <c r="N23" s="108"/>
      <c r="O23" s="108">
        <v>1</v>
      </c>
      <c r="P23" s="108">
        <v>1</v>
      </c>
      <c r="Q23" s="108"/>
      <c r="R23" s="108"/>
      <c r="S23" s="108"/>
      <c r="T23" s="108"/>
      <c r="U23" s="108"/>
      <c r="V23" s="114"/>
      <c r="W23" s="108"/>
      <c r="X23" s="108"/>
      <c r="Y23" s="108"/>
      <c r="Z23" s="115"/>
      <c r="AA23" s="47"/>
      <c r="AB23" s="41"/>
      <c r="AC23" s="41"/>
      <c r="AD23" s="41"/>
      <c r="AE23" s="41"/>
      <c r="AF23" s="41"/>
      <c r="AG23" s="41"/>
      <c r="AH23" s="41"/>
      <c r="AI23" s="41"/>
      <c r="AJ23" s="41"/>
      <c r="AK23" s="41"/>
      <c r="AL23" s="41"/>
      <c r="AM23" s="41"/>
      <c r="AN23" s="41"/>
    </row>
    <row r="24" spans="1:40" ht="43.5">
      <c r="A24" s="147"/>
      <c r="B24" s="188" t="s">
        <v>944</v>
      </c>
      <c r="C24" s="189" t="s">
        <v>945</v>
      </c>
      <c r="D24" s="118" t="s">
        <v>921</v>
      </c>
      <c r="E24" s="108">
        <v>2</v>
      </c>
      <c r="F24" s="169" t="str">
        <f>""&amp;Table12[[#This Row],[TTM Stage]]&amp;Table12[[#This Row],[Task No.]]&amp;"-"&amp;Table12[[#This Row],[Type of activity]]&amp;"-"&amp;Table12[[#This Row],[TargetGroup]]</f>
        <v>A2-PA2 - A-Children</v>
      </c>
      <c r="G24" s="112" t="s">
        <v>962</v>
      </c>
      <c r="H24" s="113"/>
      <c r="I24" s="113"/>
      <c r="J24" s="259"/>
      <c r="K24" s="230" t="s">
        <v>756</v>
      </c>
      <c r="L24" s="146" t="s">
        <v>75</v>
      </c>
      <c r="M24" s="114" t="s">
        <v>964</v>
      </c>
      <c r="N24" s="114"/>
      <c r="O24" s="108">
        <v>1</v>
      </c>
      <c r="P24" s="108">
        <v>1</v>
      </c>
      <c r="Q24" s="108"/>
      <c r="R24" s="108"/>
      <c r="S24" s="108"/>
      <c r="T24" s="108"/>
      <c r="U24" s="108"/>
      <c r="V24" s="114"/>
      <c r="W24" s="108"/>
      <c r="X24" s="108"/>
      <c r="Y24" s="108"/>
      <c r="Z24" s="115"/>
      <c r="AA24" s="47"/>
      <c r="AB24" s="41"/>
      <c r="AC24" s="41"/>
      <c r="AD24" s="41"/>
      <c r="AE24" s="41"/>
      <c r="AF24" s="41"/>
      <c r="AG24" s="41"/>
      <c r="AH24" s="41"/>
      <c r="AI24" s="41"/>
      <c r="AJ24" s="41"/>
      <c r="AK24" s="41"/>
      <c r="AL24" s="41"/>
      <c r="AM24" s="41"/>
      <c r="AN24" s="41"/>
    </row>
    <row r="25" spans="1:40" ht="87">
      <c r="A25" s="147"/>
      <c r="B25" s="188" t="s">
        <v>944</v>
      </c>
      <c r="C25" s="127" t="s">
        <v>945</v>
      </c>
      <c r="D25" s="118" t="s">
        <v>921</v>
      </c>
      <c r="E25" s="108">
        <v>3</v>
      </c>
      <c r="F25" s="169" t="str">
        <f>""&amp;Table12[[#This Row],[TTM Stage]]&amp;Table12[[#This Row],[Task No.]]&amp;"-"&amp;Table12[[#This Row],[Type of activity]]&amp;"-"&amp;Table12[[#This Row],[TargetGroup]]</f>
        <v>A3-PA2 - A-Children</v>
      </c>
      <c r="G25" s="112" t="s">
        <v>962</v>
      </c>
      <c r="H25" s="113"/>
      <c r="I25" s="113"/>
      <c r="J25" s="259"/>
      <c r="K25" s="323" t="s">
        <v>757</v>
      </c>
      <c r="L25" s="146" t="s">
        <v>75</v>
      </c>
      <c r="M25" s="226" t="s">
        <v>965</v>
      </c>
      <c r="N25" s="114"/>
      <c r="O25" s="108">
        <v>1</v>
      </c>
      <c r="P25" s="108">
        <v>1</v>
      </c>
      <c r="Q25" s="108"/>
      <c r="R25" s="108"/>
      <c r="S25" s="108"/>
      <c r="T25" s="108"/>
      <c r="U25" s="108"/>
      <c r="V25" s="114"/>
      <c r="W25" s="108"/>
      <c r="X25" s="108"/>
      <c r="Y25" s="108"/>
      <c r="Z25" s="115"/>
      <c r="AA25" s="47"/>
      <c r="AB25" s="41"/>
      <c r="AC25" s="41"/>
      <c r="AD25" s="41"/>
      <c r="AE25" s="41"/>
      <c r="AF25" s="41"/>
      <c r="AG25" s="41"/>
      <c r="AH25" s="41"/>
      <c r="AI25" s="41"/>
      <c r="AJ25" s="41"/>
      <c r="AK25" s="41"/>
      <c r="AL25" s="41"/>
      <c r="AM25" s="41"/>
      <c r="AN25" s="41"/>
    </row>
    <row r="26" spans="1:40" ht="57.75">
      <c r="A26" s="147"/>
      <c r="B26" s="188" t="s">
        <v>944</v>
      </c>
      <c r="C26" s="189" t="s">
        <v>945</v>
      </c>
      <c r="D26" s="118" t="s">
        <v>921</v>
      </c>
      <c r="E26" s="108">
        <v>4</v>
      </c>
      <c r="F26" s="169" t="str">
        <f>""&amp;Table12[[#This Row],[TTM Stage]]&amp;Table12[[#This Row],[Task No.]]&amp;"-"&amp;Table12[[#This Row],[Type of activity]]&amp;"-"&amp;Table12[[#This Row],[TargetGroup]]</f>
        <v>A4-PA2 - A-Children</v>
      </c>
      <c r="G26" s="112" t="s">
        <v>962</v>
      </c>
      <c r="H26" s="113"/>
      <c r="I26" s="113"/>
      <c r="J26" s="259"/>
      <c r="K26" s="232" t="s">
        <v>966</v>
      </c>
      <c r="L26" s="146" t="s">
        <v>75</v>
      </c>
      <c r="M26" s="224" t="s">
        <v>967</v>
      </c>
      <c r="N26" s="114"/>
      <c r="O26" s="108">
        <v>1</v>
      </c>
      <c r="P26" s="108">
        <v>1</v>
      </c>
      <c r="Q26" s="108"/>
      <c r="R26" s="108"/>
      <c r="S26" s="108"/>
      <c r="T26" s="108"/>
      <c r="U26" s="108"/>
      <c r="V26" s="114"/>
      <c r="W26" s="108"/>
      <c r="X26" s="108"/>
      <c r="Y26" s="108"/>
      <c r="Z26" s="115"/>
      <c r="AA26" s="47"/>
      <c r="AB26" s="41"/>
      <c r="AC26" s="41"/>
      <c r="AD26" s="41"/>
      <c r="AE26" s="41"/>
      <c r="AF26" s="41"/>
      <c r="AG26" s="41"/>
      <c r="AH26" s="41"/>
      <c r="AI26" s="41"/>
      <c r="AJ26" s="41"/>
      <c r="AK26" s="41"/>
      <c r="AL26" s="41"/>
      <c r="AM26" s="41"/>
      <c r="AN26" s="41"/>
    </row>
    <row r="27" spans="1:40" ht="87">
      <c r="A27" s="147"/>
      <c r="B27" s="188" t="s">
        <v>944</v>
      </c>
      <c r="C27" s="127" t="s">
        <v>945</v>
      </c>
      <c r="D27" s="119" t="s">
        <v>933</v>
      </c>
      <c r="E27" s="108">
        <v>1</v>
      </c>
      <c r="F27" s="169" t="str">
        <f>""&amp;Table12[[#This Row],[TTM Stage]]&amp;Table12[[#This Row],[Task No.]]&amp;"-"&amp;Table12[[#This Row],[Type of activity]]&amp;"-"&amp;Table12[[#This Row],[TargetGroup]]</f>
        <v>M1-PA2 - A-Children</v>
      </c>
      <c r="G27" s="112" t="s">
        <v>962</v>
      </c>
      <c r="H27" s="113"/>
      <c r="I27" s="113"/>
      <c r="J27" s="259"/>
      <c r="K27" s="233" t="s">
        <v>968</v>
      </c>
      <c r="L27" s="146" t="s">
        <v>75</v>
      </c>
      <c r="M27" s="226" t="s">
        <v>969</v>
      </c>
      <c r="N27" s="226" t="s">
        <v>970</v>
      </c>
      <c r="O27" s="108">
        <v>5</v>
      </c>
      <c r="P27" s="108">
        <v>7</v>
      </c>
      <c r="Q27" s="108"/>
      <c r="R27" s="108"/>
      <c r="S27" s="108"/>
      <c r="T27" s="108"/>
      <c r="U27" s="108"/>
      <c r="V27" s="114"/>
      <c r="W27" s="108"/>
      <c r="X27" s="108"/>
      <c r="Y27" s="108"/>
      <c r="Z27" s="115"/>
      <c r="AA27" s="47"/>
      <c r="AB27" s="41"/>
      <c r="AC27" s="41"/>
      <c r="AD27" s="41"/>
      <c r="AE27" s="41"/>
      <c r="AF27" s="41"/>
      <c r="AG27" s="41"/>
      <c r="AH27" s="41"/>
      <c r="AI27" s="41"/>
      <c r="AJ27" s="41"/>
      <c r="AK27" s="41"/>
      <c r="AL27" s="41"/>
      <c r="AM27" s="41"/>
      <c r="AN27" s="41"/>
    </row>
    <row r="28" spans="1:40" ht="57.75">
      <c r="A28" s="147"/>
      <c r="B28" s="188" t="s">
        <v>944</v>
      </c>
      <c r="C28" s="189" t="s">
        <v>945</v>
      </c>
      <c r="D28" s="119" t="s">
        <v>933</v>
      </c>
      <c r="E28" s="108">
        <v>2</v>
      </c>
      <c r="F28" s="169" t="str">
        <f>""&amp;Table12[[#This Row],[TTM Stage]]&amp;Table12[[#This Row],[Task No.]]&amp;"-"&amp;Table12[[#This Row],[Type of activity]]&amp;"-"&amp;Table12[[#This Row],[TargetGroup]]</f>
        <v>M2-PA2 - A-Children</v>
      </c>
      <c r="G28" s="112" t="s">
        <v>962</v>
      </c>
      <c r="H28" s="113"/>
      <c r="I28" s="113"/>
      <c r="J28" s="259"/>
      <c r="K28" s="307" t="s">
        <v>971</v>
      </c>
      <c r="L28" s="146" t="s">
        <v>75</v>
      </c>
      <c r="M28" s="114" t="s">
        <v>972</v>
      </c>
      <c r="N28" s="114"/>
      <c r="O28" s="108">
        <v>5</v>
      </c>
      <c r="P28" s="108">
        <v>7</v>
      </c>
      <c r="Q28" s="108"/>
      <c r="R28" s="108"/>
      <c r="S28" s="108"/>
      <c r="T28" s="108"/>
      <c r="U28" s="108"/>
      <c r="V28" s="114"/>
      <c r="W28" s="108"/>
      <c r="X28" s="108"/>
      <c r="Y28" s="108"/>
      <c r="Z28" s="115"/>
      <c r="AA28" s="47"/>
      <c r="AB28" s="41"/>
      <c r="AC28" s="41"/>
      <c r="AD28" s="41"/>
      <c r="AE28" s="41"/>
      <c r="AF28" s="41"/>
      <c r="AG28" s="41"/>
      <c r="AH28" s="41"/>
      <c r="AI28" s="41"/>
      <c r="AJ28" s="41"/>
      <c r="AK28" s="41"/>
      <c r="AL28" s="41"/>
      <c r="AM28" s="41"/>
      <c r="AN28" s="41"/>
    </row>
    <row r="29" spans="1:40" ht="72.75">
      <c r="A29" s="147"/>
      <c r="B29" s="188" t="s">
        <v>944</v>
      </c>
      <c r="C29" s="127" t="s">
        <v>945</v>
      </c>
      <c r="D29" s="119" t="s">
        <v>933</v>
      </c>
      <c r="E29" s="108">
        <v>3</v>
      </c>
      <c r="F29" s="169" t="str">
        <f>""&amp;Table12[[#This Row],[TTM Stage]]&amp;Table12[[#This Row],[Task No.]]&amp;"-"&amp;Table12[[#This Row],[Type of activity]]&amp;"-"&amp;Table12[[#This Row],[TargetGroup]]</f>
        <v>M3-PA2 - A-Children</v>
      </c>
      <c r="G29" s="112" t="s">
        <v>962</v>
      </c>
      <c r="H29" s="113"/>
      <c r="I29" s="113"/>
      <c r="J29" s="259"/>
      <c r="K29" s="323" t="s">
        <v>973</v>
      </c>
      <c r="L29" s="146" t="s">
        <v>75</v>
      </c>
      <c r="M29" s="226" t="s">
        <v>974</v>
      </c>
      <c r="N29" s="226" t="s">
        <v>975</v>
      </c>
      <c r="O29" s="108">
        <v>5</v>
      </c>
      <c r="P29" s="108">
        <v>7</v>
      </c>
      <c r="Q29" s="108"/>
      <c r="R29" s="108"/>
      <c r="S29" s="108"/>
      <c r="T29" s="108"/>
      <c r="U29" s="108"/>
      <c r="V29" s="114"/>
      <c r="W29" s="108"/>
      <c r="X29" s="108"/>
      <c r="Y29" s="108"/>
      <c r="Z29" s="115"/>
      <c r="AA29" s="47"/>
      <c r="AB29" s="41"/>
      <c r="AC29" s="41"/>
      <c r="AD29" s="41"/>
      <c r="AE29" s="41"/>
      <c r="AF29" s="41"/>
      <c r="AG29" s="41"/>
      <c r="AH29" s="41"/>
      <c r="AI29" s="41"/>
      <c r="AJ29" s="41"/>
      <c r="AK29" s="41"/>
      <c r="AL29" s="41"/>
      <c r="AM29" s="41"/>
      <c r="AN29" s="41"/>
    </row>
    <row r="30" spans="1:40" ht="72.75">
      <c r="A30" s="147"/>
      <c r="B30" s="188" t="s">
        <v>944</v>
      </c>
      <c r="C30" s="189" t="s">
        <v>945</v>
      </c>
      <c r="D30" s="119" t="s">
        <v>933</v>
      </c>
      <c r="E30" s="108">
        <v>4</v>
      </c>
      <c r="F30" s="169" t="str">
        <f>""&amp;Table12[[#This Row],[TTM Stage]]&amp;Table12[[#This Row],[Task No.]]&amp;"-"&amp;Table12[[#This Row],[Type of activity]]&amp;"-"&amp;Table12[[#This Row],[TargetGroup]]</f>
        <v>M4-PA2 - A-Children</v>
      </c>
      <c r="G30" s="112" t="s">
        <v>962</v>
      </c>
      <c r="H30" s="113"/>
      <c r="I30" s="113"/>
      <c r="J30" s="259"/>
      <c r="K30" s="308" t="s">
        <v>758</v>
      </c>
      <c r="L30" s="146" t="s">
        <v>75</v>
      </c>
      <c r="M30" s="226" t="s">
        <v>976</v>
      </c>
      <c r="N30" s="114"/>
      <c r="O30" s="108">
        <v>5</v>
      </c>
      <c r="P30" s="108">
        <v>7</v>
      </c>
      <c r="Q30" s="108"/>
      <c r="R30" s="108"/>
      <c r="S30" s="108"/>
      <c r="T30" s="108"/>
      <c r="U30" s="108"/>
      <c r="V30" s="114"/>
      <c r="W30" s="108"/>
      <c r="X30" s="108"/>
      <c r="Y30" s="108"/>
      <c r="Z30" s="115"/>
      <c r="AA30" s="47"/>
      <c r="AB30" s="41"/>
      <c r="AC30" s="41"/>
      <c r="AD30" s="41"/>
      <c r="AE30" s="41"/>
      <c r="AF30" s="41"/>
      <c r="AG30" s="41"/>
      <c r="AH30" s="41"/>
      <c r="AI30" s="41"/>
      <c r="AJ30" s="41"/>
      <c r="AK30" s="41"/>
      <c r="AL30" s="41"/>
      <c r="AM30" s="41"/>
      <c r="AN30" s="41"/>
    </row>
    <row r="31" spans="1:40" ht="75" customHeight="1">
      <c r="A31" s="147"/>
      <c r="B31" s="190" t="s">
        <v>194</v>
      </c>
      <c r="C31" s="134" t="s">
        <v>196</v>
      </c>
      <c r="D31" s="111" t="s">
        <v>891</v>
      </c>
      <c r="E31" s="108">
        <v>1</v>
      </c>
      <c r="F31" s="169" t="str">
        <f>""&amp;Table12[[#This Row],[TTM Stage]]&amp;Table12[[#This Row],[Task No.]]&amp;"-"&amp;Table12[[#This Row],[Type of activity]]&amp;"-"&amp;Table12[[#This Row],[TargetGroup]]</f>
        <v>PC1-PA3 - A-Children</v>
      </c>
      <c r="G31" s="112" t="s">
        <v>900</v>
      </c>
      <c r="H31" s="113"/>
      <c r="I31" s="113"/>
      <c r="J31" s="259"/>
      <c r="K31" s="307" t="s">
        <v>977</v>
      </c>
      <c r="L31" s="146" t="s">
        <v>75</v>
      </c>
      <c r="M31" s="227" t="s">
        <v>978</v>
      </c>
      <c r="N31" s="114"/>
      <c r="O31" s="108">
        <v>1</v>
      </c>
      <c r="P31" s="108">
        <v>1</v>
      </c>
      <c r="Q31" s="108"/>
      <c r="R31" s="108"/>
      <c r="S31" s="108"/>
      <c r="T31" s="108"/>
      <c r="U31" s="108"/>
      <c r="V31" s="114"/>
      <c r="W31" s="108"/>
      <c r="X31" s="108"/>
      <c r="Y31" s="108"/>
      <c r="Z31" s="115"/>
      <c r="AA31" s="47"/>
      <c r="AB31" s="41"/>
      <c r="AC31" s="41"/>
      <c r="AD31" s="41"/>
      <c r="AE31" s="41"/>
      <c r="AF31" s="41"/>
      <c r="AG31" s="41"/>
      <c r="AH31" s="41"/>
      <c r="AI31" s="41"/>
      <c r="AJ31" s="41"/>
      <c r="AK31" s="41"/>
      <c r="AL31" s="41"/>
      <c r="AM31" s="41"/>
      <c r="AN31" s="41"/>
    </row>
    <row r="32" spans="1:40" ht="59.25" customHeight="1">
      <c r="A32" s="147"/>
      <c r="B32" s="190" t="s">
        <v>194</v>
      </c>
      <c r="C32" s="134" t="s">
        <v>196</v>
      </c>
      <c r="D32" s="111" t="s">
        <v>891</v>
      </c>
      <c r="E32" s="108">
        <v>2</v>
      </c>
      <c r="F32" s="169" t="str">
        <f>""&amp;Table12[[#This Row],[TTM Stage]]&amp;Table12[[#This Row],[Task No.]]&amp;"-"&amp;Table12[[#This Row],[Type of activity]]&amp;"-"&amp;Table12[[#This Row],[TargetGroup]]</f>
        <v>PC2-PA3 - A-Children</v>
      </c>
      <c r="G32" s="112" t="s">
        <v>892</v>
      </c>
      <c r="H32" s="112"/>
      <c r="I32" s="112"/>
      <c r="J32" s="497"/>
      <c r="K32" s="307" t="s">
        <v>979</v>
      </c>
      <c r="L32" s="538" t="s">
        <v>75</v>
      </c>
      <c r="M32" s="732" t="s">
        <v>980</v>
      </c>
      <c r="N32" s="309" t="s">
        <v>981</v>
      </c>
      <c r="O32" s="108">
        <v>1</v>
      </c>
      <c r="P32" s="108">
        <v>1</v>
      </c>
      <c r="Q32" s="108"/>
      <c r="R32" s="108"/>
      <c r="S32" s="108"/>
      <c r="T32" s="108"/>
      <c r="U32" s="108"/>
      <c r="V32" s="114"/>
      <c r="W32" s="108"/>
      <c r="X32" s="108"/>
      <c r="Y32" s="108"/>
      <c r="Z32" s="115"/>
      <c r="AA32" s="47"/>
      <c r="AB32" s="41"/>
      <c r="AC32" s="41"/>
      <c r="AD32" s="41"/>
      <c r="AE32" s="41"/>
      <c r="AF32" s="41"/>
      <c r="AG32" s="41"/>
      <c r="AH32" s="41"/>
      <c r="AI32" s="41"/>
      <c r="AJ32" s="41"/>
      <c r="AK32" s="41"/>
      <c r="AL32" s="41"/>
      <c r="AM32" s="41"/>
      <c r="AN32" s="41"/>
    </row>
    <row r="33" spans="1:40" ht="42" customHeight="1">
      <c r="A33" s="147"/>
      <c r="B33" s="190" t="s">
        <v>194</v>
      </c>
      <c r="C33" s="134" t="s">
        <v>196</v>
      </c>
      <c r="D33" s="116" t="s">
        <v>899</v>
      </c>
      <c r="E33" s="108">
        <v>1</v>
      </c>
      <c r="F33" s="169" t="str">
        <f>""&amp;Table12[[#This Row],[TTM Stage]]&amp;Table12[[#This Row],[Task No.]]&amp;"-"&amp;Table12[[#This Row],[Type of activity]]&amp;"-"&amp;Table12[[#This Row],[TargetGroup]]</f>
        <v>C1-PA3 - A-Children</v>
      </c>
      <c r="G33" s="112" t="s">
        <v>900</v>
      </c>
      <c r="H33" s="113"/>
      <c r="I33" s="113"/>
      <c r="J33" s="259"/>
      <c r="K33" s="307" t="s">
        <v>982</v>
      </c>
      <c r="L33" s="146" t="s">
        <v>75</v>
      </c>
      <c r="M33" s="227" t="s">
        <v>983</v>
      </c>
      <c r="N33" s="114"/>
      <c r="O33" s="108">
        <v>1</v>
      </c>
      <c r="P33" s="108">
        <v>1</v>
      </c>
      <c r="Q33" s="108"/>
      <c r="R33" s="108"/>
      <c r="S33" s="108"/>
      <c r="T33" s="108"/>
      <c r="U33" s="108"/>
      <c r="V33" s="114"/>
      <c r="W33" s="108"/>
      <c r="X33" s="108"/>
      <c r="Y33" s="108"/>
      <c r="Z33" s="115"/>
      <c r="AA33" s="47"/>
      <c r="AB33" s="41"/>
      <c r="AC33" s="41"/>
      <c r="AD33" s="41"/>
      <c r="AE33" s="41"/>
      <c r="AF33" s="41"/>
      <c r="AG33" s="41"/>
      <c r="AH33" s="41"/>
      <c r="AI33" s="41"/>
      <c r="AJ33" s="41"/>
      <c r="AK33" s="41"/>
      <c r="AL33" s="41"/>
      <c r="AM33" s="41"/>
      <c r="AN33" s="41"/>
    </row>
    <row r="34" spans="1:40" ht="43.5">
      <c r="A34" s="147"/>
      <c r="B34" s="190" t="s">
        <v>194</v>
      </c>
      <c r="C34" s="134" t="s">
        <v>196</v>
      </c>
      <c r="D34" s="116" t="s">
        <v>899</v>
      </c>
      <c r="E34" s="108">
        <v>2</v>
      </c>
      <c r="F34" s="169" t="str">
        <f>""&amp;Table12[[#This Row],[TTM Stage]]&amp;Table12[[#This Row],[Task No.]]&amp;"-"&amp;Table12[[#This Row],[Type of activity]]&amp;"-"&amp;Table12[[#This Row],[TargetGroup]]</f>
        <v>C2-PA3 - A-Children</v>
      </c>
      <c r="G34" s="112" t="s">
        <v>984</v>
      </c>
      <c r="H34" s="113"/>
      <c r="I34" s="113"/>
      <c r="J34" s="259"/>
      <c r="K34" s="201" t="s">
        <v>985</v>
      </c>
      <c r="L34" s="146" t="s">
        <v>75</v>
      </c>
      <c r="M34" s="114" t="s">
        <v>986</v>
      </c>
      <c r="N34" s="114"/>
      <c r="O34" s="108">
        <v>1</v>
      </c>
      <c r="P34" s="108">
        <v>1</v>
      </c>
      <c r="Q34" s="108"/>
      <c r="R34" s="108"/>
      <c r="S34" s="108"/>
      <c r="T34" s="108"/>
      <c r="U34" s="108"/>
      <c r="V34" s="114"/>
      <c r="W34" s="108"/>
      <c r="X34" s="108"/>
      <c r="Y34" s="108"/>
      <c r="Z34" s="115"/>
      <c r="AA34" s="47"/>
      <c r="AB34" s="41"/>
      <c r="AC34" s="41"/>
      <c r="AD34" s="41"/>
      <c r="AE34" s="41"/>
      <c r="AF34" s="41"/>
      <c r="AG34" s="41"/>
      <c r="AH34" s="41"/>
      <c r="AI34" s="41"/>
      <c r="AJ34" s="41"/>
      <c r="AK34" s="41"/>
      <c r="AL34" s="41"/>
      <c r="AM34" s="41"/>
      <c r="AN34" s="41"/>
    </row>
    <row r="35" spans="1:40" ht="51" customHeight="1">
      <c r="A35" s="147"/>
      <c r="B35" s="190" t="s">
        <v>194</v>
      </c>
      <c r="C35" s="134" t="s">
        <v>196</v>
      </c>
      <c r="D35" s="135" t="s">
        <v>908</v>
      </c>
      <c r="E35" s="108">
        <v>1</v>
      </c>
      <c r="F35" s="169" t="str">
        <f>""&amp;Table12[[#This Row],[TTM Stage]]&amp;Table12[[#This Row],[Task No.]]&amp;"-"&amp;Table12[[#This Row],[Type of activity]]&amp;"-"&amp;Table12[[#This Row],[TargetGroup]]</f>
        <v>P1-PA3 - A-Children</v>
      </c>
      <c r="G35" s="112" t="s">
        <v>909</v>
      </c>
      <c r="H35" s="112"/>
      <c r="I35" s="112"/>
      <c r="J35" s="497"/>
      <c r="K35" s="248" t="s">
        <v>987</v>
      </c>
      <c r="L35" s="146" t="s">
        <v>75</v>
      </c>
      <c r="M35" s="226" t="s">
        <v>988</v>
      </c>
      <c r="N35" s="226" t="s">
        <v>989</v>
      </c>
      <c r="O35" s="108">
        <v>1</v>
      </c>
      <c r="P35" s="108">
        <v>1</v>
      </c>
      <c r="Q35" s="108"/>
      <c r="R35" s="108"/>
      <c r="S35" s="108"/>
      <c r="T35" s="108"/>
      <c r="U35" s="108"/>
      <c r="V35" s="114"/>
      <c r="W35" s="108"/>
      <c r="X35" s="108"/>
      <c r="Y35" s="108"/>
      <c r="Z35" s="115"/>
      <c r="AA35" s="47"/>
      <c r="AB35" s="41"/>
      <c r="AC35" s="41"/>
      <c r="AD35" s="41"/>
      <c r="AE35" s="41"/>
      <c r="AF35" s="41"/>
      <c r="AG35" s="41"/>
      <c r="AH35" s="41"/>
      <c r="AI35" s="41"/>
      <c r="AJ35" s="41"/>
      <c r="AK35" s="41"/>
      <c r="AL35" s="41"/>
      <c r="AM35" s="41"/>
      <c r="AN35" s="41"/>
    </row>
    <row r="36" spans="1:40" ht="43.5">
      <c r="A36" s="147"/>
      <c r="B36" s="190" t="s">
        <v>194</v>
      </c>
      <c r="C36" s="134" t="s">
        <v>196</v>
      </c>
      <c r="D36" s="135" t="s">
        <v>908</v>
      </c>
      <c r="E36" s="108">
        <v>2</v>
      </c>
      <c r="F36" s="169" t="str">
        <f>""&amp;Table12[[#This Row],[TTM Stage]]&amp;Table12[[#This Row],[Task No.]]&amp;"-"&amp;Table12[[#This Row],[Type of activity]]&amp;"-"&amp;Table12[[#This Row],[TargetGroup]]</f>
        <v>P2-PA3 - A-Children</v>
      </c>
      <c r="G36" s="112" t="s">
        <v>900</v>
      </c>
      <c r="H36" s="113"/>
      <c r="I36" s="113"/>
      <c r="J36" s="259"/>
      <c r="K36" s="199" t="s">
        <v>990</v>
      </c>
      <c r="L36" s="146" t="s">
        <v>75</v>
      </c>
      <c r="M36" s="114" t="s">
        <v>991</v>
      </c>
      <c r="N36" s="114"/>
      <c r="O36" s="108">
        <v>1</v>
      </c>
      <c r="P36" s="108">
        <v>1</v>
      </c>
      <c r="Q36" s="108"/>
      <c r="R36" s="108"/>
      <c r="S36" s="108"/>
      <c r="T36" s="108"/>
      <c r="U36" s="108"/>
      <c r="V36" s="114"/>
      <c r="W36" s="108"/>
      <c r="X36" s="108"/>
      <c r="Y36" s="108"/>
      <c r="Z36" s="115"/>
      <c r="AA36" s="47"/>
      <c r="AB36" s="41"/>
      <c r="AC36" s="41"/>
      <c r="AD36" s="41"/>
      <c r="AE36" s="41"/>
      <c r="AF36" s="41"/>
      <c r="AG36" s="41"/>
      <c r="AH36" s="41"/>
      <c r="AI36" s="41"/>
      <c r="AJ36" s="41"/>
      <c r="AK36" s="41"/>
      <c r="AL36" s="41"/>
      <c r="AM36" s="41"/>
      <c r="AN36" s="41"/>
    </row>
    <row r="37" spans="1:40" ht="113.25" customHeight="1">
      <c r="A37" s="147"/>
      <c r="B37" s="190" t="s">
        <v>194</v>
      </c>
      <c r="C37" s="134" t="s">
        <v>196</v>
      </c>
      <c r="D37" s="118" t="s">
        <v>921</v>
      </c>
      <c r="E37" s="108">
        <v>1</v>
      </c>
      <c r="F37" s="169" t="str">
        <f>""&amp;Table12[[#This Row],[TTM Stage]]&amp;Table12[[#This Row],[Task No.]]&amp;"-"&amp;Table12[[#This Row],[Type of activity]]&amp;"-"&amp;Table12[[#This Row],[TargetGroup]]</f>
        <v>A1-PA3 - A-Children</v>
      </c>
      <c r="G37" s="112" t="s">
        <v>962</v>
      </c>
      <c r="H37" s="113"/>
      <c r="I37" s="113"/>
      <c r="J37" s="259"/>
      <c r="K37" s="201" t="s">
        <v>992</v>
      </c>
      <c r="L37" s="146" t="s">
        <v>75</v>
      </c>
      <c r="M37" s="125" t="s">
        <v>993</v>
      </c>
      <c r="N37" s="114"/>
      <c r="O37" s="108">
        <v>1</v>
      </c>
      <c r="P37" s="108">
        <v>1</v>
      </c>
      <c r="Q37" s="108"/>
      <c r="R37" s="108"/>
      <c r="S37" s="108"/>
      <c r="T37" s="108"/>
      <c r="U37" s="108"/>
      <c r="V37" s="114"/>
      <c r="W37" s="108"/>
      <c r="X37" s="108"/>
      <c r="Y37" s="108"/>
      <c r="Z37" s="115"/>
      <c r="AA37" s="47"/>
      <c r="AB37" s="41"/>
      <c r="AC37" s="41"/>
      <c r="AD37" s="41"/>
      <c r="AE37" s="41"/>
      <c r="AF37" s="41"/>
      <c r="AG37" s="41"/>
      <c r="AH37" s="41"/>
      <c r="AI37" s="41"/>
      <c r="AJ37" s="41"/>
      <c r="AK37" s="41"/>
      <c r="AL37" s="41"/>
      <c r="AM37" s="41"/>
      <c r="AN37" s="41"/>
    </row>
    <row r="38" spans="1:40" ht="165.75" customHeight="1">
      <c r="A38" s="147"/>
      <c r="B38" s="190" t="s">
        <v>194</v>
      </c>
      <c r="C38" s="134" t="s">
        <v>196</v>
      </c>
      <c r="D38" s="118" t="s">
        <v>921</v>
      </c>
      <c r="E38" s="108">
        <v>2</v>
      </c>
      <c r="F38" s="169" t="str">
        <f>""&amp;Table12[[#This Row],[TTM Stage]]&amp;Table12[[#This Row],[Task No.]]&amp;"-"&amp;Table12[[#This Row],[Type of activity]]&amp;"-"&amp;Table12[[#This Row],[TargetGroup]]</f>
        <v>A2-PA3 - A-Children</v>
      </c>
      <c r="G38" s="112" t="s">
        <v>962</v>
      </c>
      <c r="H38" s="113"/>
      <c r="I38" s="113"/>
      <c r="J38" s="259"/>
      <c r="K38" s="201" t="s">
        <v>994</v>
      </c>
      <c r="L38" s="538" t="s">
        <v>75</v>
      </c>
      <c r="M38" s="328" t="s">
        <v>995</v>
      </c>
      <c r="N38" s="309"/>
      <c r="O38" s="108">
        <v>1</v>
      </c>
      <c r="P38" s="108">
        <v>1</v>
      </c>
      <c r="Q38" s="108"/>
      <c r="R38" s="108"/>
      <c r="S38" s="108"/>
      <c r="T38" s="108"/>
      <c r="U38" s="108"/>
      <c r="V38" s="114"/>
      <c r="W38" s="108"/>
      <c r="X38" s="108"/>
      <c r="Y38" s="108"/>
      <c r="Z38" s="115"/>
      <c r="AA38" s="47"/>
      <c r="AB38" s="41"/>
      <c r="AC38" s="41"/>
      <c r="AD38" s="41"/>
      <c r="AE38" s="41"/>
      <c r="AF38" s="41"/>
      <c r="AG38" s="41"/>
      <c r="AH38" s="41"/>
      <c r="AI38" s="41"/>
      <c r="AJ38" s="41"/>
      <c r="AK38" s="41"/>
      <c r="AL38" s="41"/>
      <c r="AM38" s="41"/>
      <c r="AN38" s="41"/>
    </row>
    <row r="39" spans="1:40" ht="87">
      <c r="A39" s="147"/>
      <c r="B39" s="190" t="s">
        <v>194</v>
      </c>
      <c r="C39" s="134" t="s">
        <v>196</v>
      </c>
      <c r="D39" s="118" t="s">
        <v>921</v>
      </c>
      <c r="E39" s="108">
        <v>3</v>
      </c>
      <c r="F39" s="169" t="str">
        <f>""&amp;Table12[[#This Row],[TTM Stage]]&amp;Table12[[#This Row],[Task No.]]&amp;"-"&amp;Table12[[#This Row],[Type of activity]]&amp;"-"&amp;Table12[[#This Row],[TargetGroup]]</f>
        <v>A3-PA3 - A-Children</v>
      </c>
      <c r="G39" s="112" t="s">
        <v>962</v>
      </c>
      <c r="H39" s="113"/>
      <c r="I39" s="113"/>
      <c r="J39" s="259"/>
      <c r="K39" s="201" t="s">
        <v>996</v>
      </c>
      <c r="L39" s="146" t="s">
        <v>75</v>
      </c>
      <c r="M39" s="329" t="s">
        <v>997</v>
      </c>
      <c r="N39" s="114"/>
      <c r="O39" s="108">
        <v>1</v>
      </c>
      <c r="P39" s="108">
        <v>1</v>
      </c>
      <c r="Q39" s="108"/>
      <c r="R39" s="108"/>
      <c r="S39" s="108"/>
      <c r="T39" s="108"/>
      <c r="U39" s="108"/>
      <c r="V39" s="114"/>
      <c r="W39" s="108"/>
      <c r="X39" s="108"/>
      <c r="Y39" s="108"/>
      <c r="Z39" s="115"/>
      <c r="AA39" s="47"/>
      <c r="AB39" s="41"/>
      <c r="AC39" s="41"/>
      <c r="AD39" s="41"/>
      <c r="AE39" s="41"/>
      <c r="AF39" s="41"/>
      <c r="AG39" s="41"/>
      <c r="AH39" s="41"/>
      <c r="AI39" s="41"/>
      <c r="AJ39" s="41"/>
      <c r="AK39" s="41"/>
      <c r="AL39" s="41"/>
      <c r="AM39" s="41"/>
      <c r="AN39" s="41"/>
    </row>
    <row r="40" spans="1:40" ht="29.25">
      <c r="A40" s="147"/>
      <c r="B40" s="190" t="s">
        <v>194</v>
      </c>
      <c r="C40" s="134" t="s">
        <v>196</v>
      </c>
      <c r="D40" s="118" t="s">
        <v>921</v>
      </c>
      <c r="E40" s="108">
        <v>4</v>
      </c>
      <c r="F40" s="169" t="str">
        <f>""&amp;Table12[[#This Row],[TTM Stage]]&amp;Table12[[#This Row],[Task No.]]&amp;"-"&amp;Table12[[#This Row],[Type of activity]]&amp;"-"&amp;Table12[[#This Row],[TargetGroup]]</f>
        <v>A4-PA3 - A-Children</v>
      </c>
      <c r="G40" s="112" t="s">
        <v>962</v>
      </c>
      <c r="H40" s="113"/>
      <c r="I40" s="113"/>
      <c r="J40" s="259"/>
      <c r="K40" s="201" t="s">
        <v>998</v>
      </c>
      <c r="L40" s="538" t="s">
        <v>75</v>
      </c>
      <c r="M40" s="328" t="s">
        <v>999</v>
      </c>
      <c r="N40" s="309"/>
      <c r="O40" s="108">
        <v>1</v>
      </c>
      <c r="P40" s="108">
        <v>1</v>
      </c>
      <c r="Q40" s="108"/>
      <c r="R40" s="108"/>
      <c r="S40" s="108"/>
      <c r="T40" s="108"/>
      <c r="U40" s="108"/>
      <c r="V40" s="114"/>
      <c r="W40" s="108"/>
      <c r="X40" s="108"/>
      <c r="Y40" s="108"/>
      <c r="Z40" s="115"/>
      <c r="AA40" s="47"/>
      <c r="AB40" s="41"/>
      <c r="AC40" s="41"/>
      <c r="AD40" s="41"/>
      <c r="AE40" s="41"/>
      <c r="AF40" s="41"/>
      <c r="AG40" s="41"/>
      <c r="AH40" s="41"/>
      <c r="AI40" s="41"/>
      <c r="AJ40" s="41"/>
      <c r="AK40" s="41"/>
      <c r="AL40" s="41"/>
      <c r="AM40" s="41"/>
      <c r="AN40" s="41"/>
    </row>
    <row r="41" spans="1:40" ht="43.5">
      <c r="A41" s="147"/>
      <c r="B41" s="190" t="s">
        <v>194</v>
      </c>
      <c r="C41" s="134" t="s">
        <v>196</v>
      </c>
      <c r="D41" s="119" t="s">
        <v>933</v>
      </c>
      <c r="E41" s="108">
        <v>1</v>
      </c>
      <c r="F41" s="169" t="str">
        <f>""&amp;Table12[[#This Row],[TTM Stage]]&amp;Table12[[#This Row],[Task No.]]&amp;"-"&amp;Table12[[#This Row],[Type of activity]]&amp;"-"&amp;Table12[[#This Row],[TargetGroup]]</f>
        <v>M1-PA3 - A-Children</v>
      </c>
      <c r="G41" s="112" t="s">
        <v>962</v>
      </c>
      <c r="H41" s="113"/>
      <c r="I41" s="113"/>
      <c r="J41" s="259"/>
      <c r="K41" s="201" t="s">
        <v>1000</v>
      </c>
      <c r="L41" s="538" t="s">
        <v>75</v>
      </c>
      <c r="M41" s="226" t="s">
        <v>1001</v>
      </c>
      <c r="N41" s="309"/>
      <c r="O41" s="108">
        <v>5</v>
      </c>
      <c r="P41" s="108">
        <v>1</v>
      </c>
      <c r="Q41" s="108"/>
      <c r="R41" s="108"/>
      <c r="S41" s="108"/>
      <c r="T41" s="108"/>
      <c r="U41" s="108"/>
      <c r="V41" s="114"/>
      <c r="W41" s="108"/>
      <c r="X41" s="108"/>
      <c r="Y41" s="108"/>
      <c r="Z41" s="115"/>
      <c r="AA41" s="47"/>
      <c r="AB41" s="41"/>
      <c r="AC41" s="41"/>
      <c r="AD41" s="41"/>
      <c r="AE41" s="41"/>
      <c r="AF41" s="41"/>
      <c r="AG41" s="41"/>
      <c r="AH41" s="41"/>
      <c r="AI41" s="41"/>
      <c r="AJ41" s="41"/>
      <c r="AK41" s="41"/>
      <c r="AL41" s="41"/>
      <c r="AM41" s="41"/>
      <c r="AN41" s="41"/>
    </row>
    <row r="42" spans="1:40" ht="43.5">
      <c r="A42" s="147"/>
      <c r="B42" s="190" t="s">
        <v>194</v>
      </c>
      <c r="C42" s="134" t="s">
        <v>196</v>
      </c>
      <c r="D42" s="119" t="s">
        <v>933</v>
      </c>
      <c r="E42" s="108">
        <v>2</v>
      </c>
      <c r="F42" s="169" t="str">
        <f>""&amp;Table12[[#This Row],[TTM Stage]]&amp;Table12[[#This Row],[Task No.]]&amp;"-"&amp;Table12[[#This Row],[Type of activity]]&amp;"-"&amp;Table12[[#This Row],[TargetGroup]]</f>
        <v>M2-PA3 - A-Children</v>
      </c>
      <c r="G42" s="112" t="s">
        <v>962</v>
      </c>
      <c r="H42" s="113"/>
      <c r="I42" s="113"/>
      <c r="J42" s="259"/>
      <c r="K42" s="331" t="s">
        <v>1002</v>
      </c>
      <c r="L42" s="538" t="s">
        <v>75</v>
      </c>
      <c r="M42" s="226" t="s">
        <v>1003</v>
      </c>
      <c r="N42" s="309"/>
      <c r="O42" s="108">
        <v>5</v>
      </c>
      <c r="P42" s="108">
        <v>1</v>
      </c>
      <c r="Q42" s="108"/>
      <c r="R42" s="108"/>
      <c r="S42" s="108"/>
      <c r="T42" s="108"/>
      <c r="U42" s="108"/>
      <c r="V42" s="114"/>
      <c r="W42" s="108"/>
      <c r="X42" s="108"/>
      <c r="Y42" s="108"/>
      <c r="Z42" s="115"/>
      <c r="AA42" s="47"/>
      <c r="AB42" s="41"/>
      <c r="AC42" s="41"/>
      <c r="AD42" s="41"/>
      <c r="AE42" s="41"/>
      <c r="AF42" s="41"/>
      <c r="AG42" s="41"/>
      <c r="AH42" s="41"/>
      <c r="AI42" s="41"/>
      <c r="AJ42" s="41"/>
      <c r="AK42" s="41"/>
      <c r="AL42" s="41"/>
      <c r="AM42" s="41"/>
      <c r="AN42" s="41"/>
    </row>
    <row r="43" spans="1:40" ht="29.25">
      <c r="A43" s="147"/>
      <c r="B43" s="190" t="s">
        <v>194</v>
      </c>
      <c r="C43" s="134" t="s">
        <v>196</v>
      </c>
      <c r="D43" s="119" t="s">
        <v>933</v>
      </c>
      <c r="E43" s="108">
        <v>3</v>
      </c>
      <c r="F43" s="169" t="str">
        <f>""&amp;Table12[[#This Row],[TTM Stage]]&amp;Table12[[#This Row],[Task No.]]&amp;"-"&amp;Table12[[#This Row],[Type of activity]]&amp;"-"&amp;Table12[[#This Row],[TargetGroup]]</f>
        <v>M3-PA3 - A-Children</v>
      </c>
      <c r="G43" s="112" t="s">
        <v>962</v>
      </c>
      <c r="H43" s="113"/>
      <c r="I43" s="113"/>
      <c r="J43" s="259"/>
      <c r="K43" s="331" t="s">
        <v>1004</v>
      </c>
      <c r="L43" s="538" t="s">
        <v>75</v>
      </c>
      <c r="M43" s="226" t="s">
        <v>1005</v>
      </c>
      <c r="N43" s="309"/>
      <c r="O43" s="108">
        <v>5</v>
      </c>
      <c r="P43" s="108">
        <v>7</v>
      </c>
      <c r="Q43" s="108"/>
      <c r="R43" s="108"/>
      <c r="S43" s="108"/>
      <c r="T43" s="108"/>
      <c r="U43" s="108"/>
      <c r="V43" s="114"/>
      <c r="W43" s="108"/>
      <c r="X43" s="108"/>
      <c r="Y43" s="108"/>
      <c r="Z43" s="115"/>
      <c r="AA43" s="47"/>
      <c r="AB43" s="41"/>
      <c r="AC43" s="41"/>
      <c r="AD43" s="41"/>
      <c r="AE43" s="41"/>
      <c r="AF43" s="41"/>
      <c r="AG43" s="41"/>
      <c r="AH43" s="41"/>
      <c r="AI43" s="41"/>
      <c r="AJ43" s="41"/>
      <c r="AK43" s="41"/>
      <c r="AL43" s="41"/>
      <c r="AM43" s="41"/>
      <c r="AN43" s="41"/>
    </row>
    <row r="44" spans="1:40" ht="43.5">
      <c r="A44" s="147"/>
      <c r="B44" s="190" t="s">
        <v>194</v>
      </c>
      <c r="C44" s="134" t="s">
        <v>196</v>
      </c>
      <c r="D44" s="119" t="s">
        <v>933</v>
      </c>
      <c r="E44" s="108">
        <v>4</v>
      </c>
      <c r="F44" s="169" t="str">
        <f>""&amp;Table12[[#This Row],[TTM Stage]]&amp;Table12[[#This Row],[Task No.]]&amp;"-"&amp;Table12[[#This Row],[Type of activity]]&amp;"-"&amp;Table12[[#This Row],[TargetGroup]]</f>
        <v>M4-PA3 - A-Children</v>
      </c>
      <c r="G44" s="112" t="s">
        <v>962</v>
      </c>
      <c r="H44" s="113"/>
      <c r="I44" s="113"/>
      <c r="J44" s="259"/>
      <c r="K44" s="248" t="s">
        <v>1006</v>
      </c>
      <c r="L44" s="146" t="s">
        <v>75</v>
      </c>
      <c r="M44" s="226" t="s">
        <v>1007</v>
      </c>
      <c r="N44" s="114"/>
      <c r="O44" s="108">
        <v>5</v>
      </c>
      <c r="P44" s="108">
        <v>7</v>
      </c>
      <c r="Q44" s="108"/>
      <c r="R44" s="108"/>
      <c r="S44" s="108"/>
      <c r="T44" s="108"/>
      <c r="U44" s="108"/>
      <c r="V44" s="114"/>
      <c r="W44" s="108"/>
      <c r="X44" s="108"/>
      <c r="Y44" s="108"/>
      <c r="Z44" s="115"/>
      <c r="AA44" s="47"/>
      <c r="AB44" s="41"/>
      <c r="AC44" s="41"/>
      <c r="AD44" s="41"/>
      <c r="AE44" s="41"/>
      <c r="AF44" s="41"/>
      <c r="AG44" s="41"/>
      <c r="AH44" s="41"/>
      <c r="AI44" s="41"/>
      <c r="AJ44" s="41"/>
      <c r="AK44" s="41"/>
      <c r="AL44" s="41"/>
      <c r="AM44" s="41"/>
      <c r="AN44" s="41"/>
    </row>
    <row r="45" spans="1:40" ht="43.5">
      <c r="A45" s="147"/>
      <c r="B45" s="194" t="s">
        <v>194</v>
      </c>
      <c r="C45" s="134" t="s">
        <v>214</v>
      </c>
      <c r="D45" s="195" t="s">
        <v>891</v>
      </c>
      <c r="E45" s="108">
        <v>1</v>
      </c>
      <c r="F45" s="169" t="str">
        <f>""&amp;Table12[[#This Row],[TTM Stage]]&amp;Table12[[#This Row],[Task No.]]&amp;"-"&amp;Table12[[#This Row],[Type of activity]]&amp;"-"&amp;Table12[[#This Row],[TargetGroup]]</f>
        <v>PC1-PA3 - B-Children</v>
      </c>
      <c r="G45" s="112" t="s">
        <v>900</v>
      </c>
      <c r="H45" s="112"/>
      <c r="I45" s="113"/>
      <c r="J45" s="259"/>
      <c r="K45" s="199" t="s">
        <v>1008</v>
      </c>
      <c r="L45" s="146" t="s">
        <v>75</v>
      </c>
      <c r="M45" s="227" t="s">
        <v>1009</v>
      </c>
      <c r="N45" s="114"/>
      <c r="O45" s="108">
        <v>1</v>
      </c>
      <c r="P45" s="108">
        <v>1</v>
      </c>
      <c r="Q45" s="108"/>
      <c r="R45" s="108"/>
      <c r="S45" s="108"/>
      <c r="T45" s="108"/>
      <c r="U45" s="108"/>
      <c r="V45" s="114"/>
      <c r="W45" s="108"/>
      <c r="X45" s="108"/>
      <c r="Y45" s="108"/>
      <c r="Z45" s="115"/>
      <c r="AA45" s="47"/>
      <c r="AB45" s="41"/>
      <c r="AC45" s="41"/>
      <c r="AD45" s="41"/>
      <c r="AE45" s="41"/>
      <c r="AF45" s="41"/>
      <c r="AG45" s="41"/>
      <c r="AH45" s="41"/>
      <c r="AI45" s="41"/>
      <c r="AJ45" s="41"/>
      <c r="AK45" s="41"/>
      <c r="AL45" s="41"/>
      <c r="AM45" s="41"/>
      <c r="AN45" s="41"/>
    </row>
    <row r="46" spans="1:40" ht="29.25">
      <c r="A46" s="147"/>
      <c r="B46" s="190" t="s">
        <v>194</v>
      </c>
      <c r="C46" s="134" t="s">
        <v>214</v>
      </c>
      <c r="D46" s="195" t="s">
        <v>891</v>
      </c>
      <c r="E46" s="108">
        <v>2</v>
      </c>
      <c r="F46" s="169" t="str">
        <f>""&amp;Table12[[#This Row],[TTM Stage]]&amp;Table12[[#This Row],[Task No.]]&amp;"-"&amp;Table12[[#This Row],[Type of activity]]&amp;"-"&amp;Table12[[#This Row],[TargetGroup]]</f>
        <v>PC2-PA3 - B-Children</v>
      </c>
      <c r="G46" s="112" t="s">
        <v>892</v>
      </c>
      <c r="H46" s="112"/>
      <c r="I46" s="113"/>
      <c r="J46" s="259"/>
      <c r="K46" s="199" t="s">
        <v>1010</v>
      </c>
      <c r="L46" s="146" t="s">
        <v>75</v>
      </c>
      <c r="M46" s="731" t="s">
        <v>1011</v>
      </c>
      <c r="N46" s="114" t="s">
        <v>1012</v>
      </c>
      <c r="O46" s="108">
        <v>1</v>
      </c>
      <c r="P46" s="108">
        <v>1</v>
      </c>
      <c r="Q46" s="108"/>
      <c r="R46" s="108"/>
      <c r="S46" s="108"/>
      <c r="T46" s="108"/>
      <c r="U46" s="108"/>
      <c r="V46" s="114"/>
      <c r="W46" s="108"/>
      <c r="X46" s="108"/>
      <c r="Y46" s="108"/>
      <c r="Z46" s="115"/>
      <c r="AA46" s="47"/>
      <c r="AB46" s="41"/>
      <c r="AC46" s="41"/>
      <c r="AD46" s="41"/>
      <c r="AE46" s="41"/>
      <c r="AF46" s="41"/>
      <c r="AG46" s="41"/>
      <c r="AH46" s="41"/>
      <c r="AI46" s="41"/>
      <c r="AJ46" s="41"/>
      <c r="AK46" s="41"/>
      <c r="AL46" s="41"/>
      <c r="AM46" s="41"/>
      <c r="AN46" s="41"/>
    </row>
    <row r="47" spans="1:40" ht="43.5">
      <c r="A47" s="147"/>
      <c r="B47" s="194" t="s">
        <v>194</v>
      </c>
      <c r="C47" s="134" t="s">
        <v>214</v>
      </c>
      <c r="D47" s="196" t="s">
        <v>899</v>
      </c>
      <c r="E47" s="108">
        <v>1</v>
      </c>
      <c r="F47" s="169" t="str">
        <f>""&amp;Table12[[#This Row],[TTM Stage]]&amp;Table12[[#This Row],[Task No.]]&amp;"-"&amp;Table12[[#This Row],[Type of activity]]&amp;"-"&amp;Table12[[#This Row],[TargetGroup]]</f>
        <v>C1-PA3 - B-Children</v>
      </c>
      <c r="G47" s="112" t="s">
        <v>900</v>
      </c>
      <c r="H47" s="112"/>
      <c r="I47" s="113"/>
      <c r="J47" s="259"/>
      <c r="K47" s="199" t="s">
        <v>1013</v>
      </c>
      <c r="L47" s="146" t="s">
        <v>75</v>
      </c>
      <c r="M47" s="227" t="s">
        <v>1014</v>
      </c>
      <c r="N47" s="114"/>
      <c r="O47" s="108">
        <v>1</v>
      </c>
      <c r="P47" s="108">
        <v>1</v>
      </c>
      <c r="Q47" s="108"/>
      <c r="R47" s="108"/>
      <c r="S47" s="108"/>
      <c r="T47" s="108"/>
      <c r="U47" s="108"/>
      <c r="V47" s="114"/>
      <c r="W47" s="108"/>
      <c r="X47" s="108"/>
      <c r="Y47" s="108"/>
      <c r="Z47" s="115"/>
      <c r="AA47" s="47"/>
      <c r="AB47" s="41"/>
      <c r="AC47" s="41"/>
      <c r="AD47" s="41"/>
      <c r="AE47" s="41"/>
      <c r="AF47" s="41"/>
      <c r="AG47" s="41"/>
      <c r="AH47" s="41"/>
      <c r="AI47" s="41"/>
      <c r="AJ47" s="41"/>
      <c r="AK47" s="41"/>
      <c r="AL47" s="41"/>
      <c r="AM47" s="41"/>
      <c r="AN47" s="41"/>
    </row>
    <row r="48" spans="1:40" ht="43.5">
      <c r="A48" s="147"/>
      <c r="B48" s="190" t="s">
        <v>194</v>
      </c>
      <c r="C48" s="134" t="s">
        <v>214</v>
      </c>
      <c r="D48" s="196" t="s">
        <v>899</v>
      </c>
      <c r="E48" s="108">
        <v>2</v>
      </c>
      <c r="F48" s="169" t="str">
        <f>""&amp;Table12[[#This Row],[TTM Stage]]&amp;Table12[[#This Row],[Task No.]]&amp;"-"&amp;Table12[[#This Row],[Type of activity]]&amp;"-"&amp;Table12[[#This Row],[TargetGroup]]</f>
        <v>C2-PA3 - B-Children</v>
      </c>
      <c r="G48" s="112" t="s">
        <v>903</v>
      </c>
      <c r="H48" s="113"/>
      <c r="I48" s="113"/>
      <c r="J48" s="259"/>
      <c r="K48" s="199" t="s">
        <v>1015</v>
      </c>
      <c r="L48" s="146" t="s">
        <v>75</v>
      </c>
      <c r="M48" s="114" t="s">
        <v>1016</v>
      </c>
      <c r="N48" s="313" t="s">
        <v>1017</v>
      </c>
      <c r="O48" s="108">
        <v>1</v>
      </c>
      <c r="P48" s="108">
        <v>1</v>
      </c>
      <c r="Q48" s="108"/>
      <c r="R48" s="108"/>
      <c r="S48" s="108"/>
      <c r="T48" s="108"/>
      <c r="U48" s="108"/>
      <c r="V48" s="114"/>
      <c r="W48" s="108"/>
      <c r="X48" s="108"/>
      <c r="Y48" s="108"/>
      <c r="Z48" s="115"/>
      <c r="AA48" s="47"/>
      <c r="AB48" s="41"/>
      <c r="AC48" s="41"/>
      <c r="AD48" s="41"/>
      <c r="AE48" s="41"/>
      <c r="AF48" s="41"/>
      <c r="AG48" s="41"/>
      <c r="AH48" s="41"/>
      <c r="AI48" s="41"/>
      <c r="AJ48" s="41"/>
      <c r="AK48" s="41"/>
      <c r="AL48" s="41"/>
      <c r="AM48" s="41"/>
      <c r="AN48" s="41"/>
    </row>
    <row r="49" spans="1:40" ht="29.25">
      <c r="A49" s="147"/>
      <c r="B49" s="190" t="s">
        <v>194</v>
      </c>
      <c r="C49" s="134" t="s">
        <v>214</v>
      </c>
      <c r="D49" s="197" t="s">
        <v>908</v>
      </c>
      <c r="E49" s="108">
        <v>1</v>
      </c>
      <c r="F49" s="169" t="str">
        <f>""&amp;Table12[[#This Row],[TTM Stage]]&amp;Table12[[#This Row],[Task No.]]&amp;"-"&amp;Table12[[#This Row],[Type of activity]]&amp;"-"&amp;Table12[[#This Row],[TargetGroup]]</f>
        <v>P1-PA3 - B-Children</v>
      </c>
      <c r="G49" s="112" t="s">
        <v>957</v>
      </c>
      <c r="H49" s="113"/>
      <c r="I49" s="113"/>
      <c r="J49" s="259"/>
      <c r="K49" s="199" t="s">
        <v>1018</v>
      </c>
      <c r="L49" s="146" t="s">
        <v>75</v>
      </c>
      <c r="M49" s="227" t="s">
        <v>1019</v>
      </c>
      <c r="N49" s="114"/>
      <c r="O49" s="108">
        <v>1</v>
      </c>
      <c r="P49" s="108">
        <v>1</v>
      </c>
      <c r="Q49" s="108"/>
      <c r="R49" s="108"/>
      <c r="S49" s="108"/>
      <c r="T49" s="108"/>
      <c r="U49" s="108"/>
      <c r="V49" s="114"/>
      <c r="W49" s="108"/>
      <c r="X49" s="108"/>
      <c r="Y49" s="108"/>
      <c r="Z49" s="115"/>
      <c r="AA49" s="47"/>
      <c r="AB49" s="41"/>
      <c r="AC49" s="41"/>
      <c r="AD49" s="41"/>
      <c r="AE49" s="41"/>
      <c r="AF49" s="41"/>
      <c r="AG49" s="41"/>
      <c r="AH49" s="41"/>
      <c r="AI49" s="41"/>
      <c r="AJ49" s="41"/>
      <c r="AK49" s="41"/>
      <c r="AL49" s="41"/>
      <c r="AM49" s="41"/>
      <c r="AN49" s="41"/>
    </row>
    <row r="50" spans="1:40" ht="57.75">
      <c r="A50" s="147"/>
      <c r="B50" s="190" t="s">
        <v>194</v>
      </c>
      <c r="C50" s="134" t="s">
        <v>214</v>
      </c>
      <c r="D50" s="197" t="s">
        <v>908</v>
      </c>
      <c r="E50" s="108">
        <v>2</v>
      </c>
      <c r="F50" s="169" t="str">
        <f>""&amp;Table12[[#This Row],[TTM Stage]]&amp;Table12[[#This Row],[Task No.]]&amp;"-"&amp;Table12[[#This Row],[Type of activity]]&amp;"-"&amp;Table12[[#This Row],[TargetGroup]]</f>
        <v>P2-PA3 - B-Children</v>
      </c>
      <c r="G50" s="112" t="s">
        <v>900</v>
      </c>
      <c r="H50" s="113"/>
      <c r="I50" s="113"/>
      <c r="J50" s="259"/>
      <c r="K50" s="199" t="s">
        <v>1020</v>
      </c>
      <c r="L50" s="146" t="s">
        <v>75</v>
      </c>
      <c r="M50" s="114" t="s">
        <v>1021</v>
      </c>
      <c r="N50" s="114"/>
      <c r="O50" s="108">
        <v>1</v>
      </c>
      <c r="P50" s="108">
        <v>1</v>
      </c>
      <c r="Q50" s="108"/>
      <c r="R50" s="108"/>
      <c r="S50" s="108"/>
      <c r="T50" s="108"/>
      <c r="U50" s="108"/>
      <c r="V50" s="114"/>
      <c r="W50" s="108"/>
      <c r="X50" s="108"/>
      <c r="Y50" s="108"/>
      <c r="Z50" s="115"/>
      <c r="AA50" s="47"/>
      <c r="AB50" s="41"/>
      <c r="AC50" s="41"/>
      <c r="AD50" s="41"/>
      <c r="AE50" s="41"/>
      <c r="AF50" s="41"/>
      <c r="AG50" s="41"/>
      <c r="AH50" s="41"/>
      <c r="AI50" s="41"/>
      <c r="AJ50" s="41"/>
      <c r="AK50" s="41"/>
      <c r="AL50" s="41"/>
      <c r="AM50" s="41"/>
      <c r="AN50" s="41"/>
    </row>
    <row r="51" spans="1:40" ht="43.5">
      <c r="A51" s="147"/>
      <c r="B51" s="190" t="s">
        <v>194</v>
      </c>
      <c r="C51" s="134" t="s">
        <v>214</v>
      </c>
      <c r="D51" s="118" t="s">
        <v>921</v>
      </c>
      <c r="E51" s="108">
        <v>1</v>
      </c>
      <c r="F51" s="169" t="str">
        <f>""&amp;Table12[[#This Row],[TTM Stage]]&amp;Table12[[#This Row],[Task No.]]&amp;"-"&amp;Table12[[#This Row],[Type of activity]]&amp;"-"&amp;Table12[[#This Row],[TargetGroup]]</f>
        <v>A1-PA3 - B-Children</v>
      </c>
      <c r="G51" s="112" t="s">
        <v>962</v>
      </c>
      <c r="H51" s="113"/>
      <c r="I51" s="113"/>
      <c r="J51" s="259"/>
      <c r="K51" s="199" t="s">
        <v>1022</v>
      </c>
      <c r="L51" s="146" t="s">
        <v>75</v>
      </c>
      <c r="M51" s="114" t="s">
        <v>1023</v>
      </c>
      <c r="N51" s="313" t="s">
        <v>1024</v>
      </c>
      <c r="O51" s="108">
        <v>1</v>
      </c>
      <c r="P51" s="108">
        <v>1</v>
      </c>
      <c r="Q51" s="108"/>
      <c r="R51" s="108" t="s">
        <v>1025</v>
      </c>
      <c r="S51" s="108"/>
      <c r="T51" s="108"/>
      <c r="U51" s="108"/>
      <c r="V51" s="114"/>
      <c r="W51" s="108"/>
      <c r="X51" s="108"/>
      <c r="Y51" s="108"/>
      <c r="Z51" s="115"/>
      <c r="AA51" s="47"/>
      <c r="AB51" s="41"/>
      <c r="AC51" s="41"/>
      <c r="AD51" s="41"/>
      <c r="AE51" s="41"/>
      <c r="AF51" s="41"/>
      <c r="AG51" s="41"/>
      <c r="AH51" s="41"/>
      <c r="AI51" s="41"/>
      <c r="AJ51" s="41"/>
      <c r="AK51" s="41"/>
      <c r="AL51" s="41"/>
      <c r="AM51" s="41"/>
      <c r="AN51" s="41"/>
    </row>
    <row r="52" spans="1:40" ht="43.5">
      <c r="A52" s="147"/>
      <c r="B52" s="190" t="s">
        <v>194</v>
      </c>
      <c r="C52" s="134" t="s">
        <v>214</v>
      </c>
      <c r="D52" s="118" t="s">
        <v>921</v>
      </c>
      <c r="E52" s="108">
        <v>2</v>
      </c>
      <c r="F52" s="169" t="str">
        <f>""&amp;Table12[[#This Row],[TTM Stage]]&amp;Table12[[#This Row],[Task No.]]&amp;"-"&amp;Table12[[#This Row],[Type of activity]]&amp;"-"&amp;Table12[[#This Row],[TargetGroup]]</f>
        <v>A2-PA3 - B-Children</v>
      </c>
      <c r="G52" s="112" t="s">
        <v>962</v>
      </c>
      <c r="H52" s="113"/>
      <c r="I52" s="113"/>
      <c r="J52" s="259"/>
      <c r="K52" s="199" t="s">
        <v>1026</v>
      </c>
      <c r="L52" s="146" t="s">
        <v>75</v>
      </c>
      <c r="M52" s="114" t="s">
        <v>1027</v>
      </c>
      <c r="N52" s="313" t="s">
        <v>1028</v>
      </c>
      <c r="O52" s="108">
        <v>1</v>
      </c>
      <c r="P52" s="108">
        <v>1</v>
      </c>
      <c r="Q52" s="108"/>
      <c r="R52" s="108"/>
      <c r="S52" s="108"/>
      <c r="T52" s="108"/>
      <c r="U52" s="108"/>
      <c r="V52" s="114"/>
      <c r="W52" s="108"/>
      <c r="X52" s="108"/>
      <c r="Y52" s="108"/>
      <c r="Z52" s="115"/>
      <c r="AA52" s="47"/>
      <c r="AB52" s="41"/>
      <c r="AC52" s="41"/>
      <c r="AD52" s="41"/>
      <c r="AE52" s="41"/>
      <c r="AF52" s="41"/>
      <c r="AG52" s="41"/>
      <c r="AH52" s="41"/>
      <c r="AI52" s="41"/>
      <c r="AJ52" s="41"/>
      <c r="AK52" s="41"/>
      <c r="AL52" s="41"/>
      <c r="AM52" s="41"/>
      <c r="AN52" s="41"/>
    </row>
    <row r="53" spans="1:40" ht="43.5">
      <c r="A53" s="147"/>
      <c r="B53" s="190" t="s">
        <v>194</v>
      </c>
      <c r="C53" s="134" t="s">
        <v>214</v>
      </c>
      <c r="D53" s="118" t="s">
        <v>921</v>
      </c>
      <c r="E53" s="108">
        <v>3</v>
      </c>
      <c r="F53" s="169" t="str">
        <f>""&amp;Table12[[#This Row],[TTM Stage]]&amp;Table12[[#This Row],[Task No.]]&amp;"-"&amp;Table12[[#This Row],[Type of activity]]&amp;"-"&amp;Table12[[#This Row],[TargetGroup]]</f>
        <v>A3-PA3 - B-Children</v>
      </c>
      <c r="G53" s="112" t="s">
        <v>962</v>
      </c>
      <c r="H53" s="113"/>
      <c r="I53" s="113"/>
      <c r="J53" s="259"/>
      <c r="K53" s="199" t="s">
        <v>996</v>
      </c>
      <c r="L53" s="146" t="s">
        <v>75</v>
      </c>
      <c r="M53" s="335" t="s">
        <v>1029</v>
      </c>
      <c r="N53" s="313" t="s">
        <v>1024</v>
      </c>
      <c r="O53" s="108">
        <v>1</v>
      </c>
      <c r="P53" s="108">
        <v>1</v>
      </c>
      <c r="Q53" s="108"/>
      <c r="R53" s="108"/>
      <c r="S53" s="108"/>
      <c r="T53" s="108"/>
      <c r="U53" s="108"/>
      <c r="V53" s="114"/>
      <c r="W53" s="108"/>
      <c r="X53" s="108"/>
      <c r="Y53" s="108"/>
      <c r="Z53" s="115"/>
      <c r="AA53" s="47"/>
      <c r="AB53" s="41"/>
      <c r="AC53" s="41"/>
      <c r="AD53" s="41"/>
      <c r="AE53" s="41"/>
      <c r="AF53" s="41"/>
      <c r="AG53" s="41"/>
      <c r="AH53" s="41"/>
      <c r="AI53" s="41"/>
      <c r="AJ53" s="41"/>
      <c r="AK53" s="41"/>
      <c r="AL53" s="41"/>
      <c r="AM53" s="41"/>
      <c r="AN53" s="41"/>
    </row>
    <row r="54" spans="1:40" ht="29.25">
      <c r="A54" s="147"/>
      <c r="B54" s="190" t="s">
        <v>194</v>
      </c>
      <c r="C54" s="134" t="s">
        <v>214</v>
      </c>
      <c r="D54" s="118" t="s">
        <v>921</v>
      </c>
      <c r="E54" s="108">
        <v>4</v>
      </c>
      <c r="F54" s="169" t="str">
        <f>""&amp;Table12[[#This Row],[TTM Stage]]&amp;Table12[[#This Row],[Task No.]]&amp;"-"&amp;Table12[[#This Row],[Type of activity]]&amp;"-"&amp;Table12[[#This Row],[TargetGroup]]</f>
        <v>A4-PA3 - B-Children</v>
      </c>
      <c r="G54" s="112" t="s">
        <v>962</v>
      </c>
      <c r="H54" s="113"/>
      <c r="I54" s="113"/>
      <c r="J54" s="259"/>
      <c r="K54" s="199" t="s">
        <v>1030</v>
      </c>
      <c r="L54" s="538" t="s">
        <v>75</v>
      </c>
      <c r="M54" s="336" t="s">
        <v>1031</v>
      </c>
      <c r="N54" s="313" t="s">
        <v>1024</v>
      </c>
      <c r="O54" s="108">
        <v>1</v>
      </c>
      <c r="P54" s="108">
        <v>1</v>
      </c>
      <c r="Q54" s="108"/>
      <c r="R54" s="108"/>
      <c r="S54" s="108"/>
      <c r="T54" s="108"/>
      <c r="U54" s="108"/>
      <c r="V54" s="114"/>
      <c r="W54" s="108"/>
      <c r="X54" s="108"/>
      <c r="Y54" s="108"/>
      <c r="Z54" s="115"/>
      <c r="AA54" s="47"/>
      <c r="AB54" s="41"/>
      <c r="AC54" s="41"/>
      <c r="AD54" s="41"/>
      <c r="AE54" s="41"/>
      <c r="AF54" s="41"/>
      <c r="AG54" s="41"/>
      <c r="AH54" s="41"/>
      <c r="AI54" s="41"/>
      <c r="AJ54" s="41"/>
      <c r="AK54" s="41"/>
      <c r="AL54" s="41"/>
      <c r="AM54" s="41"/>
      <c r="AN54" s="41"/>
    </row>
    <row r="55" spans="1:40" ht="48" customHeight="1">
      <c r="A55" s="147"/>
      <c r="B55" s="190" t="s">
        <v>194</v>
      </c>
      <c r="C55" s="134" t="s">
        <v>214</v>
      </c>
      <c r="D55" s="119" t="s">
        <v>933</v>
      </c>
      <c r="E55" s="108">
        <v>1</v>
      </c>
      <c r="F55" s="169" t="str">
        <f>""&amp;Table12[[#This Row],[TTM Stage]]&amp;Table12[[#This Row],[Task No.]]&amp;"-"&amp;Table12[[#This Row],[Type of activity]]&amp;"-"&amp;Table12[[#This Row],[TargetGroup]]</f>
        <v>M1-PA3 - B-Children</v>
      </c>
      <c r="G55" s="112" t="s">
        <v>962</v>
      </c>
      <c r="H55" s="113"/>
      <c r="I55" s="113"/>
      <c r="J55" s="259"/>
      <c r="K55" s="199" t="s">
        <v>1032</v>
      </c>
      <c r="L55" s="146" t="s">
        <v>75</v>
      </c>
      <c r="M55" s="226" t="s">
        <v>1033</v>
      </c>
      <c r="N55" s="114"/>
      <c r="O55" s="108">
        <v>5</v>
      </c>
      <c r="P55" s="108">
        <v>1</v>
      </c>
      <c r="Q55" s="108"/>
      <c r="R55" s="108"/>
      <c r="S55" s="108"/>
      <c r="T55" s="108"/>
      <c r="U55" s="108"/>
      <c r="V55" s="114"/>
      <c r="W55" s="108"/>
      <c r="X55" s="108"/>
      <c r="Y55" s="108"/>
      <c r="Z55" s="115"/>
      <c r="AA55" s="47"/>
      <c r="AB55" s="41"/>
      <c r="AC55" s="41"/>
      <c r="AD55" s="41"/>
      <c r="AE55" s="41"/>
      <c r="AF55" s="41"/>
      <c r="AG55" s="41"/>
      <c r="AH55" s="41"/>
      <c r="AI55" s="41"/>
      <c r="AJ55" s="41"/>
      <c r="AK55" s="41"/>
      <c r="AL55" s="41"/>
      <c r="AM55" s="41"/>
      <c r="AN55" s="41"/>
    </row>
    <row r="56" spans="1:40" ht="43.5">
      <c r="A56" s="147"/>
      <c r="B56" s="190" t="s">
        <v>194</v>
      </c>
      <c r="C56" s="134" t="s">
        <v>214</v>
      </c>
      <c r="D56" s="119" t="s">
        <v>933</v>
      </c>
      <c r="E56" s="108">
        <v>2</v>
      </c>
      <c r="F56" s="169" t="str">
        <f>""&amp;Table12[[#This Row],[TTM Stage]]&amp;Table12[[#This Row],[Task No.]]&amp;"-"&amp;Table12[[#This Row],[Type of activity]]&amp;"-"&amp;Table12[[#This Row],[TargetGroup]]</f>
        <v>M2-PA3 - B-Children</v>
      </c>
      <c r="G56" s="112" t="s">
        <v>962</v>
      </c>
      <c r="H56" s="113"/>
      <c r="I56" s="113"/>
      <c r="J56" s="259"/>
      <c r="K56" s="248" t="s">
        <v>1034</v>
      </c>
      <c r="L56" s="146" t="s">
        <v>75</v>
      </c>
      <c r="M56" s="226" t="s">
        <v>1035</v>
      </c>
      <c r="N56" s="114"/>
      <c r="O56" s="108">
        <v>5</v>
      </c>
      <c r="P56" s="108">
        <v>7</v>
      </c>
      <c r="Q56" s="108"/>
      <c r="R56" s="108"/>
      <c r="S56" s="108"/>
      <c r="T56" s="108"/>
      <c r="U56" s="108"/>
      <c r="V56" s="114"/>
      <c r="W56" s="108"/>
      <c r="X56" s="108"/>
      <c r="Y56" s="108"/>
      <c r="Z56" s="115"/>
      <c r="AA56" s="47"/>
      <c r="AB56" s="41"/>
      <c r="AC56" s="41"/>
      <c r="AD56" s="41"/>
      <c r="AE56" s="41"/>
      <c r="AF56" s="41"/>
      <c r="AG56" s="41"/>
      <c r="AH56" s="41"/>
      <c r="AI56" s="41"/>
      <c r="AJ56" s="41"/>
      <c r="AK56" s="41"/>
      <c r="AL56" s="41"/>
      <c r="AM56" s="41"/>
      <c r="AN56" s="41"/>
    </row>
    <row r="57" spans="1:40" ht="43.5">
      <c r="A57" s="147"/>
      <c r="B57" s="190" t="s">
        <v>194</v>
      </c>
      <c r="C57" s="134" t="s">
        <v>214</v>
      </c>
      <c r="D57" s="119" t="s">
        <v>933</v>
      </c>
      <c r="E57" s="108">
        <v>3</v>
      </c>
      <c r="F57" s="169" t="str">
        <f>""&amp;Table12[[#This Row],[TTM Stage]]&amp;Table12[[#This Row],[Task No.]]&amp;"-"&amp;Table12[[#This Row],[Type of activity]]&amp;"-"&amp;Table12[[#This Row],[TargetGroup]]</f>
        <v>M3-PA3 - B-Children</v>
      </c>
      <c r="G57" s="112" t="s">
        <v>962</v>
      </c>
      <c r="H57" s="113"/>
      <c r="I57" s="113"/>
      <c r="J57" s="259"/>
      <c r="K57" s="248" t="s">
        <v>1036</v>
      </c>
      <c r="L57" s="146" t="s">
        <v>75</v>
      </c>
      <c r="M57" s="226" t="s">
        <v>1037</v>
      </c>
      <c r="N57" s="114"/>
      <c r="O57" s="108">
        <v>5</v>
      </c>
      <c r="P57" s="108">
        <v>7</v>
      </c>
      <c r="Q57" s="108"/>
      <c r="R57" s="108"/>
      <c r="S57" s="108"/>
      <c r="T57" s="108"/>
      <c r="U57" s="108"/>
      <c r="V57" s="114"/>
      <c r="W57" s="108"/>
      <c r="X57" s="108"/>
      <c r="Y57" s="108"/>
      <c r="Z57" s="115"/>
      <c r="AA57" s="47"/>
      <c r="AB57" s="41"/>
      <c r="AC57" s="41"/>
      <c r="AD57" s="41"/>
      <c r="AE57" s="41"/>
      <c r="AF57" s="41"/>
      <c r="AG57" s="41"/>
      <c r="AH57" s="41"/>
      <c r="AI57" s="41"/>
      <c r="AJ57" s="41"/>
      <c r="AK57" s="41"/>
      <c r="AL57" s="41"/>
      <c r="AM57" s="41"/>
      <c r="AN57" s="41"/>
    </row>
    <row r="58" spans="1:40" ht="57.75">
      <c r="A58" s="147"/>
      <c r="B58" s="190" t="s">
        <v>194</v>
      </c>
      <c r="C58" s="134" t="s">
        <v>214</v>
      </c>
      <c r="D58" s="119" t="s">
        <v>933</v>
      </c>
      <c r="E58" s="108">
        <v>4</v>
      </c>
      <c r="F58" s="169" t="str">
        <f>""&amp;Table12[[#This Row],[TTM Stage]]&amp;Table12[[#This Row],[Task No.]]&amp;"-"&amp;Table12[[#This Row],[Type of activity]]&amp;"-"&amp;Table12[[#This Row],[TargetGroup]]</f>
        <v>M4-PA3 - B-Children</v>
      </c>
      <c r="G58" s="112" t="s">
        <v>962</v>
      </c>
      <c r="H58" s="113"/>
      <c r="I58" s="113"/>
      <c r="J58" s="259"/>
      <c r="K58" s="248" t="s">
        <v>1038</v>
      </c>
      <c r="L58" s="146" t="s">
        <v>75</v>
      </c>
      <c r="M58" s="226" t="s">
        <v>1039</v>
      </c>
      <c r="N58" s="114"/>
      <c r="O58" s="108">
        <v>5</v>
      </c>
      <c r="P58" s="108">
        <v>7</v>
      </c>
      <c r="Q58" s="108"/>
      <c r="R58" s="108"/>
      <c r="S58" s="108"/>
      <c r="T58" s="108"/>
      <c r="U58" s="108"/>
      <c r="V58" s="114"/>
      <c r="W58" s="108"/>
      <c r="X58" s="108"/>
      <c r="Y58" s="108"/>
      <c r="Z58" s="115"/>
      <c r="AA58" s="47"/>
      <c r="AB58" s="41"/>
      <c r="AC58" s="41"/>
      <c r="AD58" s="41"/>
      <c r="AE58" s="41"/>
      <c r="AF58" s="41"/>
      <c r="AG58" s="41"/>
      <c r="AH58" s="41"/>
      <c r="AI58" s="41"/>
      <c r="AJ58" s="41"/>
      <c r="AK58" s="41"/>
      <c r="AL58" s="41"/>
      <c r="AM58" s="41"/>
      <c r="AN58" s="41"/>
    </row>
    <row r="59" spans="1:40" ht="101.25">
      <c r="A59" s="147"/>
      <c r="B59" s="190" t="s">
        <v>194</v>
      </c>
      <c r="C59" s="134" t="s">
        <v>230</v>
      </c>
      <c r="D59" s="111" t="s">
        <v>891</v>
      </c>
      <c r="E59" s="108">
        <v>1</v>
      </c>
      <c r="F59" s="169" t="str">
        <f>""&amp;Table12[[#This Row],[TTM Stage]]&amp;Table12[[#This Row],[Task No.]]&amp;"-"&amp;Table12[[#This Row],[Type of activity]]&amp;"-"&amp;Table12[[#This Row],[TargetGroup]]</f>
        <v>PC1-PA3 - C-Children</v>
      </c>
      <c r="G59" s="112" t="s">
        <v>900</v>
      </c>
      <c r="H59" s="113"/>
      <c r="I59" s="113"/>
      <c r="J59" s="259"/>
      <c r="K59" s="199" t="s">
        <v>1040</v>
      </c>
      <c r="L59" s="309" t="s">
        <v>75</v>
      </c>
      <c r="M59" s="136" t="s">
        <v>1041</v>
      </c>
      <c r="N59" s="114"/>
      <c r="O59" s="108">
        <v>1</v>
      </c>
      <c r="P59" s="108">
        <v>1</v>
      </c>
      <c r="Q59" s="108"/>
      <c r="R59" s="108"/>
      <c r="S59" s="108"/>
      <c r="T59" s="108"/>
      <c r="U59" s="108"/>
      <c r="V59" s="114"/>
      <c r="W59" s="108"/>
      <c r="X59" s="108"/>
      <c r="Y59" s="108"/>
      <c r="Z59" s="115"/>
      <c r="AA59" s="47"/>
      <c r="AB59" s="41"/>
      <c r="AC59" s="41"/>
      <c r="AD59" s="41"/>
      <c r="AE59" s="41"/>
      <c r="AF59" s="41"/>
      <c r="AG59" s="41"/>
      <c r="AH59" s="41"/>
      <c r="AI59" s="41"/>
      <c r="AJ59" s="41"/>
      <c r="AK59" s="41"/>
      <c r="AL59" s="41"/>
      <c r="AM59" s="41"/>
      <c r="AN59" s="41"/>
    </row>
    <row r="60" spans="1:40" ht="57.75">
      <c r="A60" s="147"/>
      <c r="B60" s="190" t="s">
        <v>194</v>
      </c>
      <c r="C60" s="134" t="s">
        <v>230</v>
      </c>
      <c r="D60" s="111" t="s">
        <v>891</v>
      </c>
      <c r="E60" s="108">
        <v>2</v>
      </c>
      <c r="F60" s="169" t="s">
        <v>1042</v>
      </c>
      <c r="G60" s="112" t="s">
        <v>946</v>
      </c>
      <c r="H60" s="113"/>
      <c r="I60" s="113"/>
      <c r="J60" s="259"/>
      <c r="K60" s="199" t="s">
        <v>1043</v>
      </c>
      <c r="L60" s="539" t="s">
        <v>75</v>
      </c>
      <c r="M60" s="339" t="s">
        <v>1044</v>
      </c>
      <c r="N60" s="114"/>
      <c r="O60" s="108">
        <v>1</v>
      </c>
      <c r="P60" s="108">
        <v>1</v>
      </c>
      <c r="Q60" s="108"/>
      <c r="R60" s="108"/>
      <c r="S60" s="108"/>
      <c r="T60" s="108"/>
      <c r="U60" s="108"/>
      <c r="V60" s="114"/>
      <c r="W60" s="108"/>
      <c r="X60" s="108"/>
      <c r="Y60" s="108"/>
      <c r="Z60" s="115"/>
      <c r="AA60" s="47"/>
      <c r="AB60" s="41"/>
      <c r="AC60" s="41"/>
      <c r="AD60" s="41"/>
      <c r="AE60" s="41"/>
      <c r="AF60" s="41"/>
      <c r="AG60" s="41"/>
      <c r="AH60" s="41"/>
      <c r="AI60" s="41"/>
      <c r="AJ60" s="41"/>
      <c r="AK60" s="41"/>
      <c r="AL60" s="41"/>
      <c r="AM60" s="41"/>
      <c r="AN60" s="41"/>
    </row>
    <row r="61" spans="1:40" ht="57.75">
      <c r="A61" s="147"/>
      <c r="B61" s="190" t="s">
        <v>194</v>
      </c>
      <c r="C61" s="134" t="s">
        <v>230</v>
      </c>
      <c r="D61" s="116" t="s">
        <v>899</v>
      </c>
      <c r="E61" s="108">
        <v>1</v>
      </c>
      <c r="F61" s="169" t="s">
        <v>1045</v>
      </c>
      <c r="G61" s="112" t="s">
        <v>900</v>
      </c>
      <c r="H61" s="113"/>
      <c r="I61" s="113"/>
      <c r="J61" s="259"/>
      <c r="K61" s="199" t="s">
        <v>1046</v>
      </c>
      <c r="L61" s="539" t="s">
        <v>75</v>
      </c>
      <c r="M61" s="114" t="s">
        <v>1047</v>
      </c>
      <c r="N61" s="114"/>
      <c r="O61" s="108">
        <v>1</v>
      </c>
      <c r="P61" s="108">
        <v>1</v>
      </c>
      <c r="Q61" s="108"/>
      <c r="R61" s="108"/>
      <c r="S61" s="108"/>
      <c r="T61" s="108"/>
      <c r="U61" s="108"/>
      <c r="V61" s="114"/>
      <c r="W61" s="108"/>
      <c r="X61" s="108"/>
      <c r="Y61" s="108"/>
      <c r="Z61" s="115"/>
      <c r="AA61" s="47"/>
      <c r="AB61" s="41"/>
      <c r="AC61" s="41"/>
      <c r="AD61" s="41"/>
      <c r="AE61" s="41"/>
      <c r="AF61" s="41"/>
      <c r="AG61" s="41"/>
      <c r="AH61" s="41"/>
      <c r="AI61" s="41"/>
      <c r="AJ61" s="41"/>
      <c r="AK61" s="41"/>
      <c r="AL61" s="41"/>
      <c r="AM61" s="41"/>
      <c r="AN61" s="41"/>
    </row>
    <row r="62" spans="1:40" ht="72.75">
      <c r="A62" s="147"/>
      <c r="B62" s="190" t="s">
        <v>194</v>
      </c>
      <c r="C62" s="134" t="s">
        <v>230</v>
      </c>
      <c r="D62" s="116" t="s">
        <v>899</v>
      </c>
      <c r="E62" s="108">
        <v>2</v>
      </c>
      <c r="F62" s="169" t="s">
        <v>1048</v>
      </c>
      <c r="G62" s="112" t="s">
        <v>984</v>
      </c>
      <c r="H62" s="148"/>
      <c r="I62" s="113"/>
      <c r="J62" s="259"/>
      <c r="K62" s="340" t="s">
        <v>1049</v>
      </c>
      <c r="L62" s="539" t="s">
        <v>75</v>
      </c>
      <c r="M62" s="341" t="s">
        <v>1050</v>
      </c>
      <c r="N62" s="114"/>
      <c r="O62" s="108">
        <v>1</v>
      </c>
      <c r="P62" s="108">
        <v>1</v>
      </c>
      <c r="Q62" s="108"/>
      <c r="R62" s="108"/>
      <c r="S62" s="108"/>
      <c r="T62" s="108"/>
      <c r="U62" s="108"/>
      <c r="V62" s="114"/>
      <c r="W62" s="108"/>
      <c r="X62" s="108"/>
      <c r="Y62" s="108"/>
      <c r="Z62" s="115"/>
      <c r="AA62" s="47"/>
      <c r="AB62" s="41"/>
      <c r="AC62" s="41"/>
      <c r="AD62" s="41"/>
      <c r="AE62" s="41"/>
      <c r="AF62" s="41"/>
      <c r="AG62" s="41"/>
      <c r="AH62" s="41"/>
      <c r="AI62" s="41"/>
      <c r="AJ62" s="41"/>
      <c r="AK62" s="41"/>
      <c r="AL62" s="41"/>
      <c r="AM62" s="41"/>
      <c r="AN62" s="41"/>
    </row>
    <row r="63" spans="1:40" ht="29.25">
      <c r="A63" s="147"/>
      <c r="B63" s="190" t="s">
        <v>194</v>
      </c>
      <c r="C63" s="134" t="s">
        <v>230</v>
      </c>
      <c r="D63" s="117" t="s">
        <v>908</v>
      </c>
      <c r="E63" s="108">
        <v>1</v>
      </c>
      <c r="F63" s="169" t="s">
        <v>1051</v>
      </c>
      <c r="G63" s="112" t="s">
        <v>962</v>
      </c>
      <c r="H63" s="112"/>
      <c r="I63" s="113"/>
      <c r="J63" s="259"/>
      <c r="K63" s="199" t="s">
        <v>1052</v>
      </c>
      <c r="L63" s="540" t="s">
        <v>75</v>
      </c>
      <c r="M63" s="324" t="s">
        <v>1053</v>
      </c>
      <c r="N63" s="309"/>
      <c r="O63" s="108">
        <v>1</v>
      </c>
      <c r="P63" s="108">
        <v>1</v>
      </c>
      <c r="Q63" s="108"/>
      <c r="R63" s="108"/>
      <c r="S63" s="108"/>
      <c r="T63" s="108"/>
      <c r="U63" s="108"/>
      <c r="V63" s="114"/>
      <c r="W63" s="108"/>
      <c r="X63" s="108"/>
      <c r="Y63" s="108"/>
      <c r="Z63" s="115"/>
      <c r="AA63" s="47"/>
      <c r="AB63" s="41"/>
      <c r="AC63" s="41"/>
      <c r="AD63" s="41"/>
      <c r="AE63" s="41"/>
      <c r="AF63" s="41"/>
      <c r="AG63" s="41"/>
      <c r="AH63" s="41"/>
      <c r="AI63" s="41"/>
      <c r="AJ63" s="41"/>
      <c r="AK63" s="41"/>
      <c r="AL63" s="41"/>
      <c r="AM63" s="41"/>
      <c r="AN63" s="41"/>
    </row>
    <row r="64" spans="1:40" ht="29.25">
      <c r="A64" s="147"/>
      <c r="B64" s="190" t="s">
        <v>194</v>
      </c>
      <c r="C64" s="134" t="s">
        <v>230</v>
      </c>
      <c r="D64" s="117" t="s">
        <v>908</v>
      </c>
      <c r="E64" s="108">
        <v>2</v>
      </c>
      <c r="F64" s="169" t="s">
        <v>1054</v>
      </c>
      <c r="G64" s="112" t="s">
        <v>957</v>
      </c>
      <c r="H64" s="112"/>
      <c r="I64" s="113"/>
      <c r="J64" s="259"/>
      <c r="K64" s="199" t="s">
        <v>1055</v>
      </c>
      <c r="L64" s="539" t="s">
        <v>75</v>
      </c>
      <c r="M64" s="227" t="s">
        <v>1056</v>
      </c>
      <c r="N64" s="108"/>
      <c r="O64" s="108">
        <v>1</v>
      </c>
      <c r="P64" s="108">
        <v>1</v>
      </c>
      <c r="Q64" s="108"/>
      <c r="R64" s="108"/>
      <c r="S64" s="108"/>
      <c r="T64" s="108"/>
      <c r="U64" s="108"/>
      <c r="V64" s="108"/>
      <c r="W64" s="108"/>
      <c r="X64" s="108"/>
      <c r="Y64" s="108"/>
      <c r="Z64" s="115"/>
      <c r="AA64" s="47"/>
      <c r="AB64" s="41"/>
      <c r="AC64" s="41"/>
      <c r="AD64" s="41"/>
      <c r="AE64" s="41"/>
      <c r="AF64" s="41"/>
      <c r="AG64" s="41"/>
      <c r="AH64" s="41"/>
      <c r="AI64" s="41"/>
      <c r="AJ64" s="41"/>
      <c r="AK64" s="41"/>
      <c r="AL64" s="41"/>
      <c r="AM64" s="41"/>
      <c r="AN64" s="41"/>
    </row>
    <row r="65" spans="1:40" ht="57.75">
      <c r="A65" s="147"/>
      <c r="B65" s="190" t="s">
        <v>194</v>
      </c>
      <c r="C65" s="134" t="s">
        <v>230</v>
      </c>
      <c r="D65" s="118" t="s">
        <v>921</v>
      </c>
      <c r="E65" s="108">
        <v>1</v>
      </c>
      <c r="F65" s="169" t="s">
        <v>1057</v>
      </c>
      <c r="G65" s="112" t="s">
        <v>962</v>
      </c>
      <c r="H65" s="112"/>
      <c r="I65" s="113"/>
      <c r="J65" s="259"/>
      <c r="K65" s="199" t="s">
        <v>1058</v>
      </c>
      <c r="L65" s="539" t="s">
        <v>75</v>
      </c>
      <c r="M65" s="114" t="s">
        <v>1059</v>
      </c>
      <c r="N65" s="114"/>
      <c r="O65" s="108">
        <v>1</v>
      </c>
      <c r="P65" s="108">
        <v>1</v>
      </c>
      <c r="Q65" s="108"/>
      <c r="R65" s="108"/>
      <c r="S65" s="108"/>
      <c r="T65" s="108"/>
      <c r="U65" s="108"/>
      <c r="V65" s="108"/>
      <c r="W65" s="108"/>
      <c r="X65" s="108"/>
      <c r="Y65" s="108"/>
      <c r="Z65" s="115"/>
      <c r="AA65" s="47"/>
      <c r="AB65" s="41"/>
      <c r="AC65" s="41"/>
      <c r="AD65" s="41"/>
      <c r="AE65" s="41"/>
      <c r="AF65" s="41"/>
      <c r="AG65" s="41"/>
      <c r="AH65" s="41"/>
      <c r="AI65" s="41"/>
      <c r="AJ65" s="41"/>
      <c r="AK65" s="41"/>
      <c r="AL65" s="41"/>
      <c r="AM65" s="41"/>
      <c r="AN65" s="41"/>
    </row>
    <row r="66" spans="1:40" ht="43.5">
      <c r="A66" s="147"/>
      <c r="B66" s="190" t="s">
        <v>194</v>
      </c>
      <c r="C66" s="134" t="s">
        <v>230</v>
      </c>
      <c r="D66" s="118" t="s">
        <v>921</v>
      </c>
      <c r="E66" s="108">
        <v>2</v>
      </c>
      <c r="F66" s="169" t="s">
        <v>1060</v>
      </c>
      <c r="G66" s="112" t="s">
        <v>962</v>
      </c>
      <c r="H66" s="112"/>
      <c r="I66" s="113"/>
      <c r="J66" s="259"/>
      <c r="K66" s="199" t="s">
        <v>1061</v>
      </c>
      <c r="L66" s="539" t="s">
        <v>75</v>
      </c>
      <c r="M66" s="227" t="s">
        <v>1062</v>
      </c>
      <c r="N66" s="114"/>
      <c r="O66" s="108">
        <v>1</v>
      </c>
      <c r="P66" s="108">
        <v>1</v>
      </c>
      <c r="Q66" s="108"/>
      <c r="R66" s="108"/>
      <c r="S66" s="108"/>
      <c r="T66" s="108"/>
      <c r="U66" s="108"/>
      <c r="V66" s="108"/>
      <c r="W66" s="108"/>
      <c r="X66" s="108"/>
      <c r="Y66" s="108"/>
      <c r="Z66" s="115"/>
      <c r="AA66" s="47"/>
      <c r="AB66" s="41"/>
      <c r="AC66" s="41"/>
      <c r="AD66" s="41"/>
      <c r="AE66" s="41"/>
      <c r="AF66" s="41"/>
      <c r="AG66" s="41"/>
      <c r="AH66" s="41"/>
      <c r="AI66" s="41"/>
      <c r="AJ66" s="41"/>
      <c r="AK66" s="41"/>
      <c r="AL66" s="41"/>
      <c r="AM66" s="41"/>
      <c r="AN66" s="41"/>
    </row>
    <row r="67" spans="1:40" ht="72.75">
      <c r="A67" s="147"/>
      <c r="B67" s="190" t="s">
        <v>194</v>
      </c>
      <c r="C67" s="134" t="s">
        <v>230</v>
      </c>
      <c r="D67" s="118" t="s">
        <v>921</v>
      </c>
      <c r="E67" s="108">
        <v>3</v>
      </c>
      <c r="F67" s="169" t="s">
        <v>1063</v>
      </c>
      <c r="G67" s="112" t="s">
        <v>962</v>
      </c>
      <c r="H67" s="112"/>
      <c r="I67" s="113"/>
      <c r="J67" s="259"/>
      <c r="K67" s="199" t="s">
        <v>1064</v>
      </c>
      <c r="L67" s="540" t="s">
        <v>75</v>
      </c>
      <c r="M67" s="324" t="s">
        <v>1065</v>
      </c>
      <c r="N67" s="309"/>
      <c r="O67" s="108">
        <v>1</v>
      </c>
      <c r="P67" s="108">
        <v>1</v>
      </c>
      <c r="Q67" s="108"/>
      <c r="R67" s="108"/>
      <c r="S67" s="108"/>
      <c r="T67" s="108"/>
      <c r="U67" s="108"/>
      <c r="V67" s="108"/>
      <c r="W67" s="108"/>
      <c r="X67" s="108"/>
      <c r="Y67" s="108"/>
      <c r="Z67" s="115"/>
      <c r="AA67" s="47"/>
      <c r="AB67" s="41"/>
      <c r="AC67" s="41"/>
      <c r="AD67" s="41"/>
      <c r="AE67" s="41"/>
      <c r="AF67" s="41"/>
      <c r="AG67" s="41"/>
      <c r="AH67" s="41"/>
      <c r="AI67" s="41"/>
      <c r="AJ67" s="41"/>
      <c r="AK67" s="41"/>
      <c r="AL67" s="41"/>
      <c r="AM67" s="41"/>
      <c r="AN67" s="41"/>
    </row>
    <row r="68" spans="1:40" ht="29.25">
      <c r="A68" s="147"/>
      <c r="B68" s="190" t="s">
        <v>194</v>
      </c>
      <c r="C68" s="134" t="s">
        <v>230</v>
      </c>
      <c r="D68" s="118" t="s">
        <v>921</v>
      </c>
      <c r="E68" s="108">
        <v>4</v>
      </c>
      <c r="F68" s="169" t="s">
        <v>1066</v>
      </c>
      <c r="G68" s="112" t="s">
        <v>962</v>
      </c>
      <c r="H68" s="112"/>
      <c r="I68" s="113"/>
      <c r="J68" s="259"/>
      <c r="K68" s="199" t="s">
        <v>1067</v>
      </c>
      <c r="L68" s="539" t="s">
        <v>75</v>
      </c>
      <c r="M68" s="132" t="s">
        <v>1068</v>
      </c>
      <c r="N68" s="114"/>
      <c r="O68" s="108">
        <v>1</v>
      </c>
      <c r="P68" s="108">
        <v>1</v>
      </c>
      <c r="Q68" s="108"/>
      <c r="R68" s="108"/>
      <c r="S68" s="108"/>
      <c r="T68" s="108"/>
      <c r="U68" s="108"/>
      <c r="V68" s="108"/>
      <c r="W68" s="108"/>
      <c r="X68" s="108"/>
      <c r="Y68" s="108"/>
      <c r="Z68" s="115"/>
      <c r="AA68" s="47"/>
      <c r="AB68" s="41"/>
      <c r="AC68" s="41"/>
      <c r="AD68" s="41"/>
      <c r="AE68" s="41"/>
      <c r="AF68" s="41"/>
      <c r="AG68" s="41"/>
      <c r="AH68" s="41"/>
      <c r="AI68" s="41"/>
      <c r="AJ68" s="41"/>
      <c r="AK68" s="41"/>
      <c r="AL68" s="41"/>
      <c r="AM68" s="41"/>
      <c r="AN68" s="41"/>
    </row>
    <row r="69" spans="1:40" ht="49.5" customHeight="1">
      <c r="A69" s="147"/>
      <c r="B69" s="190" t="s">
        <v>194</v>
      </c>
      <c r="C69" s="134" t="s">
        <v>230</v>
      </c>
      <c r="D69" s="119" t="s">
        <v>933</v>
      </c>
      <c r="E69" s="108">
        <v>1</v>
      </c>
      <c r="F69" s="169" t="s">
        <v>1069</v>
      </c>
      <c r="G69" s="112" t="s">
        <v>962</v>
      </c>
      <c r="H69" s="112"/>
      <c r="I69" s="113"/>
      <c r="J69" s="259"/>
      <c r="K69" s="199" t="s">
        <v>1070</v>
      </c>
      <c r="L69" s="539" t="s">
        <v>75</v>
      </c>
      <c r="M69" s="226" t="s">
        <v>1071</v>
      </c>
      <c r="N69" s="114"/>
      <c r="O69" s="108">
        <v>5</v>
      </c>
      <c r="P69" s="108">
        <v>7</v>
      </c>
      <c r="Q69" s="108"/>
      <c r="R69" s="108"/>
      <c r="S69" s="108"/>
      <c r="T69" s="108"/>
      <c r="U69" s="108"/>
      <c r="V69" s="108"/>
      <c r="W69" s="108"/>
      <c r="X69" s="108"/>
      <c r="Y69" s="108"/>
      <c r="Z69" s="115"/>
      <c r="AA69" s="47"/>
      <c r="AB69" s="41"/>
      <c r="AC69" s="41"/>
      <c r="AD69" s="41"/>
      <c r="AE69" s="41"/>
      <c r="AF69" s="41"/>
      <c r="AG69" s="41"/>
      <c r="AH69" s="41"/>
      <c r="AI69" s="41"/>
      <c r="AJ69" s="41"/>
      <c r="AK69" s="41"/>
      <c r="AL69" s="41"/>
      <c r="AM69" s="41"/>
      <c r="AN69" s="41"/>
    </row>
    <row r="70" spans="1:40" ht="63" customHeight="1">
      <c r="A70" s="147"/>
      <c r="B70" s="190" t="s">
        <v>194</v>
      </c>
      <c r="C70" s="134" t="s">
        <v>230</v>
      </c>
      <c r="D70" s="119" t="s">
        <v>933</v>
      </c>
      <c r="E70" s="108">
        <v>2</v>
      </c>
      <c r="F70" s="169" t="s">
        <v>1072</v>
      </c>
      <c r="G70" s="112" t="s">
        <v>962</v>
      </c>
      <c r="H70" s="112"/>
      <c r="I70" s="113"/>
      <c r="J70" s="259"/>
      <c r="K70" s="199" t="s">
        <v>1073</v>
      </c>
      <c r="L70" s="539" t="s">
        <v>75</v>
      </c>
      <c r="M70" s="226" t="s">
        <v>1074</v>
      </c>
      <c r="N70" s="114"/>
      <c r="O70" s="108">
        <v>5</v>
      </c>
      <c r="P70" s="108">
        <v>7</v>
      </c>
      <c r="Q70" s="108"/>
      <c r="R70" s="108"/>
      <c r="S70" s="108"/>
      <c r="T70" s="108"/>
      <c r="U70" s="108"/>
      <c r="V70" s="108"/>
      <c r="W70" s="108"/>
      <c r="X70" s="108"/>
      <c r="Y70" s="108"/>
      <c r="Z70" s="115"/>
      <c r="AA70" s="47"/>
      <c r="AB70" s="41"/>
      <c r="AC70" s="41"/>
      <c r="AD70" s="41"/>
      <c r="AE70" s="41"/>
      <c r="AF70" s="41"/>
      <c r="AG70" s="41"/>
      <c r="AH70" s="41"/>
      <c r="AI70" s="41"/>
      <c r="AJ70" s="41"/>
      <c r="AK70" s="41"/>
      <c r="AL70" s="41"/>
      <c r="AM70" s="41"/>
      <c r="AN70" s="41"/>
    </row>
    <row r="71" spans="1:40" ht="57" customHeight="1">
      <c r="A71" s="147"/>
      <c r="B71" s="190" t="s">
        <v>194</v>
      </c>
      <c r="C71" s="134" t="s">
        <v>230</v>
      </c>
      <c r="D71" s="119" t="s">
        <v>933</v>
      </c>
      <c r="E71" s="108">
        <v>3</v>
      </c>
      <c r="F71" s="169" t="s">
        <v>1075</v>
      </c>
      <c r="G71" s="112" t="s">
        <v>962</v>
      </c>
      <c r="H71" s="112"/>
      <c r="I71" s="113"/>
      <c r="J71" s="259"/>
      <c r="K71" s="199" t="s">
        <v>1076</v>
      </c>
      <c r="L71" s="539" t="s">
        <v>75</v>
      </c>
      <c r="M71" s="226" t="s">
        <v>1077</v>
      </c>
      <c r="N71" s="114"/>
      <c r="O71" s="108">
        <v>5</v>
      </c>
      <c r="P71" s="108">
        <v>7</v>
      </c>
      <c r="Q71" s="108"/>
      <c r="R71" s="108"/>
      <c r="S71" s="108"/>
      <c r="T71" s="108"/>
      <c r="U71" s="108"/>
      <c r="V71" s="108"/>
      <c r="W71" s="108"/>
      <c r="X71" s="108"/>
      <c r="Y71" s="108"/>
      <c r="Z71" s="115"/>
      <c r="AA71" s="47"/>
      <c r="AB71" s="41"/>
      <c r="AC71" s="41"/>
      <c r="AD71" s="41"/>
      <c r="AE71" s="41"/>
      <c r="AF71" s="41"/>
      <c r="AG71" s="41"/>
      <c r="AH71" s="41"/>
      <c r="AI71" s="41"/>
      <c r="AJ71" s="41"/>
      <c r="AK71" s="41"/>
      <c r="AL71" s="41"/>
      <c r="AM71" s="41"/>
      <c r="AN71" s="41"/>
    </row>
    <row r="72" spans="1:40" ht="66.75" customHeight="1">
      <c r="A72" s="147"/>
      <c r="B72" s="190" t="s">
        <v>194</v>
      </c>
      <c r="C72" s="134" t="s">
        <v>230</v>
      </c>
      <c r="D72" s="119" t="s">
        <v>933</v>
      </c>
      <c r="E72" s="108">
        <v>4</v>
      </c>
      <c r="F72" s="169" t="s">
        <v>1078</v>
      </c>
      <c r="G72" s="112" t="s">
        <v>962</v>
      </c>
      <c r="H72" s="112"/>
      <c r="I72" s="113"/>
      <c r="J72" s="259"/>
      <c r="K72" s="199" t="s">
        <v>1079</v>
      </c>
      <c r="L72" s="539" t="s">
        <v>75</v>
      </c>
      <c r="M72" s="226" t="s">
        <v>1080</v>
      </c>
      <c r="N72" s="114"/>
      <c r="O72" s="108">
        <v>5</v>
      </c>
      <c r="P72" s="108">
        <v>7</v>
      </c>
      <c r="Q72" s="108"/>
      <c r="R72" s="108"/>
      <c r="S72" s="108"/>
      <c r="T72" s="108"/>
      <c r="U72" s="108"/>
      <c r="V72" s="108"/>
      <c r="W72" s="108"/>
      <c r="X72" s="108"/>
      <c r="Y72" s="108"/>
      <c r="Z72" s="115"/>
      <c r="AA72" s="47"/>
      <c r="AB72" s="41"/>
      <c r="AC72" s="41"/>
      <c r="AD72" s="41"/>
      <c r="AE72" s="41"/>
      <c r="AF72" s="41"/>
      <c r="AG72" s="41"/>
      <c r="AH72" s="41"/>
      <c r="AI72" s="41"/>
      <c r="AJ72" s="41"/>
      <c r="AK72" s="41"/>
      <c r="AL72" s="41"/>
      <c r="AM72" s="41"/>
      <c r="AN72" s="41"/>
    </row>
    <row r="73" spans="1:40" ht="15">
      <c r="A73" s="147"/>
      <c r="B73" s="108"/>
      <c r="C73" s="108"/>
      <c r="D73" s="108"/>
      <c r="E73" s="108"/>
      <c r="F73" s="258" t="str">
        <f>""&amp;Table12[[#This Row],[TTM Stage]]&amp;Table12[[#This Row],[Task No.]]&amp;"-"&amp;Table12[[#This Row],[Type of activity]]&amp;"-"&amp;Table12[[#This Row],[TargetGroup]]</f>
        <v>--</v>
      </c>
      <c r="G73" s="112"/>
      <c r="H73" s="112"/>
      <c r="I73" s="113"/>
      <c r="J73" s="259"/>
      <c r="K73" s="199"/>
      <c r="L73" s="309"/>
      <c r="M73" s="114"/>
      <c r="N73" s="114"/>
      <c r="O73" s="108"/>
      <c r="P73" s="108"/>
      <c r="Q73" s="108"/>
      <c r="R73" s="108"/>
      <c r="S73" s="108"/>
      <c r="T73" s="108"/>
      <c r="U73" s="108"/>
      <c r="V73" s="108"/>
      <c r="W73" s="108"/>
      <c r="X73" s="108"/>
      <c r="Y73" s="108"/>
      <c r="Z73" s="115"/>
      <c r="AA73" s="47"/>
      <c r="AB73" s="41"/>
      <c r="AC73" s="41"/>
      <c r="AD73" s="41"/>
      <c r="AE73" s="41"/>
      <c r="AF73" s="41"/>
      <c r="AG73" s="41"/>
      <c r="AH73" s="41"/>
      <c r="AI73" s="41"/>
      <c r="AJ73" s="41"/>
      <c r="AK73" s="41"/>
      <c r="AL73" s="41"/>
      <c r="AM73" s="41"/>
      <c r="AN73" s="41"/>
    </row>
    <row r="74" spans="1:40" ht="15">
      <c r="A74" s="147"/>
      <c r="B74" s="108"/>
      <c r="C74" s="108"/>
      <c r="D74" s="108"/>
      <c r="E74" s="108"/>
      <c r="F74" s="258" t="str">
        <f>""&amp;Table12[[#This Row],[TTM Stage]]&amp;Table12[[#This Row],[Task No.]]&amp;"-"&amp;Table12[[#This Row],[Type of activity]]&amp;"-"&amp;Table12[[#This Row],[TargetGroup]]</f>
        <v>--</v>
      </c>
      <c r="G74" s="112"/>
      <c r="H74" s="112"/>
      <c r="I74" s="113"/>
      <c r="J74" s="259"/>
      <c r="K74" s="199"/>
      <c r="L74" s="309"/>
      <c r="M74" s="114"/>
      <c r="N74" s="114"/>
      <c r="O74" s="108"/>
      <c r="P74" s="108"/>
      <c r="Q74" s="108"/>
      <c r="R74" s="108"/>
      <c r="S74" s="108"/>
      <c r="T74" s="108"/>
      <c r="U74" s="108"/>
      <c r="V74" s="108"/>
      <c r="W74" s="108"/>
      <c r="X74" s="108"/>
      <c r="Y74" s="108"/>
      <c r="Z74" s="115"/>
      <c r="AA74" s="47"/>
      <c r="AB74" s="41"/>
      <c r="AC74" s="41"/>
      <c r="AD74" s="41"/>
      <c r="AE74" s="41"/>
      <c r="AF74" s="41"/>
      <c r="AG74" s="41"/>
      <c r="AH74" s="41"/>
      <c r="AI74" s="41"/>
      <c r="AJ74" s="41"/>
      <c r="AK74" s="41"/>
      <c r="AL74" s="41"/>
      <c r="AM74" s="41"/>
      <c r="AN74" s="41"/>
    </row>
    <row r="75" spans="1:40" ht="15">
      <c r="A75" s="147"/>
      <c r="B75" s="108"/>
      <c r="C75" s="108"/>
      <c r="D75" s="108"/>
      <c r="E75" s="108"/>
      <c r="F75" s="258" t="str">
        <f>""&amp;Table12[[#This Row],[TTM Stage]]&amp;Table12[[#This Row],[Task No.]]&amp;"-"&amp;Table12[[#This Row],[Type of activity]]&amp;"-"&amp;Table12[[#This Row],[TargetGroup]]</f>
        <v>--</v>
      </c>
      <c r="G75" s="112"/>
      <c r="H75" s="112"/>
      <c r="I75" s="113"/>
      <c r="J75" s="259"/>
      <c r="K75" s="199"/>
      <c r="L75" s="309"/>
      <c r="M75" s="114"/>
      <c r="N75" s="114"/>
      <c r="O75" s="108"/>
      <c r="P75" s="108"/>
      <c r="Q75" s="108"/>
      <c r="R75" s="108"/>
      <c r="S75" s="108"/>
      <c r="T75" s="108"/>
      <c r="U75" s="108"/>
      <c r="V75" s="108"/>
      <c r="W75" s="108"/>
      <c r="X75" s="108"/>
      <c r="Y75" s="108"/>
      <c r="Z75" s="115"/>
      <c r="AA75" s="47"/>
      <c r="AB75" s="41"/>
      <c r="AC75" s="41"/>
      <c r="AD75" s="41"/>
      <c r="AE75" s="41"/>
      <c r="AF75" s="41"/>
      <c r="AG75" s="41"/>
      <c r="AH75" s="41"/>
      <c r="AI75" s="41"/>
      <c r="AJ75" s="41"/>
      <c r="AK75" s="41"/>
      <c r="AL75" s="41"/>
      <c r="AM75" s="41"/>
      <c r="AN75" s="41"/>
    </row>
    <row r="76" spans="1:40" ht="57.75">
      <c r="A76" s="147"/>
      <c r="B76" s="234" t="s">
        <v>331</v>
      </c>
      <c r="C76" s="235" t="s">
        <v>1081</v>
      </c>
      <c r="D76" s="236" t="s">
        <v>891</v>
      </c>
      <c r="E76" s="237">
        <v>1</v>
      </c>
      <c r="F76" s="169" t="str">
        <f>""&amp;Table12[[#This Row],[TTM Stage]]&amp;Table12[[#This Row],[Task No.]]&amp;"-"&amp;Table12[[#This Row],[Type of activity]]&amp;"-"&amp;Table12[[#This Row],[TargetGroup]]</f>
        <v>PC1-DN1-A-Children</v>
      </c>
      <c r="G76" s="238" t="s">
        <v>892</v>
      </c>
      <c r="H76" s="238"/>
      <c r="I76" s="238"/>
      <c r="J76" s="499"/>
      <c r="K76" s="528" t="s">
        <v>1082</v>
      </c>
      <c r="L76" s="541" t="s">
        <v>75</v>
      </c>
      <c r="M76" s="710" t="s">
        <v>1083</v>
      </c>
      <c r="N76" s="226" t="s">
        <v>1084</v>
      </c>
      <c r="O76" s="237">
        <v>1</v>
      </c>
      <c r="P76" s="237">
        <v>1</v>
      </c>
      <c r="Q76" s="237"/>
      <c r="R76" s="237"/>
      <c r="S76" s="237"/>
      <c r="T76" s="237"/>
      <c r="U76" s="237"/>
      <c r="V76" s="237"/>
      <c r="W76" s="237"/>
      <c r="X76" s="237"/>
      <c r="Y76" s="237" t="s">
        <v>1085</v>
      </c>
      <c r="Z76" s="237"/>
      <c r="AA76" s="47"/>
      <c r="AB76" s="41"/>
      <c r="AC76" s="41"/>
      <c r="AD76" s="41"/>
      <c r="AE76" s="41"/>
      <c r="AF76" s="41"/>
      <c r="AG76" s="41"/>
      <c r="AH76" s="41"/>
      <c r="AI76" s="41"/>
      <c r="AJ76" s="41"/>
      <c r="AK76" s="41"/>
      <c r="AL76" s="41"/>
      <c r="AM76" s="41"/>
      <c r="AN76" s="41"/>
    </row>
    <row r="77" spans="1:40" ht="57.75">
      <c r="A77" s="147"/>
      <c r="B77" s="234" t="s">
        <v>331</v>
      </c>
      <c r="C77" s="235" t="s">
        <v>1081</v>
      </c>
      <c r="D77" s="236" t="s">
        <v>891</v>
      </c>
      <c r="E77" s="237">
        <v>2</v>
      </c>
      <c r="F77" s="169" t="str">
        <f>""&amp;Table12[[#This Row],[TTM Stage]]&amp;Table12[[#This Row],[Task No.]]&amp;"-"&amp;Table12[[#This Row],[Type of activity]]&amp;"-"&amp;Table12[[#This Row],[TargetGroup]]</f>
        <v>PC2-DN1-A-Children</v>
      </c>
      <c r="G77" s="238" t="s">
        <v>946</v>
      </c>
      <c r="H77" s="238"/>
      <c r="I77" s="238"/>
      <c r="J77" s="499"/>
      <c r="K77" s="529" t="s">
        <v>1086</v>
      </c>
      <c r="L77" s="372" t="s">
        <v>75</v>
      </c>
      <c r="M77" s="226" t="s">
        <v>1087</v>
      </c>
      <c r="N77" s="240" t="s">
        <v>1088</v>
      </c>
      <c r="O77" s="237">
        <v>1</v>
      </c>
      <c r="P77" s="237">
        <v>1</v>
      </c>
      <c r="Q77" s="237"/>
      <c r="R77" s="237" t="s">
        <v>907</v>
      </c>
      <c r="S77" s="237"/>
      <c r="T77" s="237" t="s">
        <v>1089</v>
      </c>
      <c r="U77" s="237" t="s">
        <v>1090</v>
      </c>
      <c r="V77" s="237" t="s">
        <v>1091</v>
      </c>
      <c r="W77" s="237" t="s">
        <v>1092</v>
      </c>
      <c r="X77" s="237"/>
      <c r="Y77" s="226" t="s">
        <v>1085</v>
      </c>
      <c r="Z77" s="237"/>
      <c r="AA77" s="47"/>
      <c r="AB77" s="41"/>
      <c r="AC77" s="41"/>
      <c r="AD77" s="41"/>
      <c r="AE77" s="41"/>
      <c r="AF77" s="41"/>
      <c r="AG77" s="41"/>
      <c r="AH77" s="41"/>
      <c r="AI77" s="41"/>
      <c r="AJ77" s="41"/>
      <c r="AK77" s="41"/>
      <c r="AL77" s="41"/>
      <c r="AM77" s="41"/>
      <c r="AN77" s="41"/>
    </row>
    <row r="78" spans="1:40" ht="29.25">
      <c r="A78" s="147"/>
      <c r="B78" s="234" t="s">
        <v>331</v>
      </c>
      <c r="C78" s="235" t="s">
        <v>1081</v>
      </c>
      <c r="D78" s="241" t="s">
        <v>899</v>
      </c>
      <c r="E78" s="237">
        <v>1</v>
      </c>
      <c r="F78" s="169" t="str">
        <f>""&amp;Table12[[#This Row],[TTM Stage]]&amp;Table12[[#This Row],[Task No.]]&amp;"-"&amp;Table12[[#This Row],[Type of activity]]&amp;"-"&amp;Table12[[#This Row],[TargetGroup]]</f>
        <v>C1-DN1-A-Children</v>
      </c>
      <c r="G78" s="242" t="s">
        <v>900</v>
      </c>
      <c r="H78" s="243"/>
      <c r="I78" s="238"/>
      <c r="J78" s="499"/>
      <c r="K78" s="528" t="s">
        <v>1093</v>
      </c>
      <c r="L78" s="372" t="s">
        <v>75</v>
      </c>
      <c r="M78" s="244" t="s">
        <v>1094</v>
      </c>
      <c r="N78" s="226"/>
      <c r="O78" s="237">
        <v>1</v>
      </c>
      <c r="P78" s="237">
        <v>1</v>
      </c>
      <c r="Q78" s="237"/>
      <c r="R78" s="237"/>
      <c r="S78" s="237"/>
      <c r="T78" s="237"/>
      <c r="U78" s="237"/>
      <c r="V78" s="226"/>
      <c r="W78" s="237"/>
      <c r="X78" s="237"/>
      <c r="Y78" s="226" t="s">
        <v>1085</v>
      </c>
      <c r="Z78" s="237"/>
      <c r="AA78" s="47"/>
      <c r="AB78" s="41"/>
      <c r="AC78" s="41"/>
      <c r="AD78" s="41"/>
      <c r="AE78" s="41"/>
      <c r="AF78" s="41"/>
      <c r="AG78" s="41"/>
      <c r="AH78" s="41"/>
      <c r="AI78" s="41"/>
      <c r="AJ78" s="41"/>
      <c r="AK78" s="41"/>
      <c r="AL78" s="41"/>
      <c r="AM78" s="41"/>
      <c r="AN78" s="41"/>
    </row>
    <row r="79" spans="1:40" ht="29.25">
      <c r="A79" s="147"/>
      <c r="B79" s="234" t="s">
        <v>331</v>
      </c>
      <c r="C79" s="235" t="s">
        <v>1081</v>
      </c>
      <c r="D79" s="241" t="s">
        <v>899</v>
      </c>
      <c r="E79" s="237">
        <v>2</v>
      </c>
      <c r="F79" s="169" t="str">
        <f>""&amp;Table12[[#This Row],[TTM Stage]]&amp;Table12[[#This Row],[Task No.]]&amp;"-"&amp;Table12[[#This Row],[Type of activity]]&amp;"-"&amp;Table12[[#This Row],[TargetGroup]]</f>
        <v>C2-DN1-A-Children</v>
      </c>
      <c r="G79" s="242" t="s">
        <v>900</v>
      </c>
      <c r="H79" s="242"/>
      <c r="I79" s="238"/>
      <c r="J79" s="499"/>
      <c r="K79" s="530" t="s">
        <v>1095</v>
      </c>
      <c r="L79" s="372" t="s">
        <v>75</v>
      </c>
      <c r="M79" s="245" t="s">
        <v>1096</v>
      </c>
      <c r="N79" s="114"/>
      <c r="O79" s="237">
        <v>1</v>
      </c>
      <c r="P79" s="237">
        <v>1</v>
      </c>
      <c r="Q79" s="237"/>
      <c r="R79" s="237"/>
      <c r="S79" s="237"/>
      <c r="T79" s="237"/>
      <c r="U79" s="226"/>
      <c r="V79" s="226"/>
      <c r="W79" s="237"/>
      <c r="X79" s="237"/>
      <c r="Y79" s="226" t="s">
        <v>1085</v>
      </c>
      <c r="Z79" s="237"/>
      <c r="AA79" s="47"/>
      <c r="AB79" s="41"/>
      <c r="AC79" s="41"/>
      <c r="AD79" s="41"/>
      <c r="AE79" s="41"/>
      <c r="AF79" s="41"/>
      <c r="AG79" s="41"/>
      <c r="AH79" s="41"/>
      <c r="AI79" s="41"/>
      <c r="AJ79" s="41"/>
      <c r="AK79" s="41"/>
      <c r="AL79" s="41"/>
      <c r="AM79" s="41"/>
      <c r="AN79" s="41"/>
    </row>
    <row r="80" spans="1:40" ht="87">
      <c r="A80" s="147"/>
      <c r="B80" s="234" t="s">
        <v>331</v>
      </c>
      <c r="C80" s="235" t="s">
        <v>1081</v>
      </c>
      <c r="D80" s="247" t="s">
        <v>908</v>
      </c>
      <c r="E80" s="237">
        <v>1</v>
      </c>
      <c r="F80" s="169" t="str">
        <f>""&amp;Table12[[#This Row],[TTM Stage]]&amp;Table12[[#This Row],[Task No.]]&amp;"-"&amp;Table12[[#This Row],[Type of activity]]&amp;"-"&amp;Table12[[#This Row],[TargetGroup]]</f>
        <v>P1-DN1-A-Children</v>
      </c>
      <c r="G80" s="242" t="s">
        <v>914</v>
      </c>
      <c r="H80" s="242"/>
      <c r="I80" s="238" t="s">
        <v>904</v>
      </c>
      <c r="J80" s="499"/>
      <c r="K80" s="248" t="s">
        <v>1097</v>
      </c>
      <c r="L80" s="372" t="s">
        <v>75</v>
      </c>
      <c r="M80" s="226" t="s">
        <v>1098</v>
      </c>
      <c r="N80" s="240" t="s">
        <v>1099</v>
      </c>
      <c r="O80" s="237">
        <v>1</v>
      </c>
      <c r="P80" s="237">
        <v>1</v>
      </c>
      <c r="Q80" s="237"/>
      <c r="R80" s="237"/>
      <c r="S80" s="237"/>
      <c r="T80" s="237" t="s">
        <v>1100</v>
      </c>
      <c r="U80" s="237" t="s">
        <v>1101</v>
      </c>
      <c r="V80" s="226" t="s">
        <v>1102</v>
      </c>
      <c r="W80" s="237" t="s">
        <v>1103</v>
      </c>
      <c r="X80" s="237"/>
      <c r="Y80" s="226" t="s">
        <v>1104</v>
      </c>
      <c r="Z80" s="237"/>
      <c r="AA80" s="47"/>
      <c r="AB80" s="41"/>
      <c r="AC80" s="41"/>
      <c r="AD80" s="41"/>
      <c r="AE80" s="41"/>
      <c r="AF80" s="41"/>
      <c r="AG80" s="41"/>
      <c r="AH80" s="41"/>
      <c r="AI80" s="41"/>
      <c r="AJ80" s="41"/>
      <c r="AK80" s="41"/>
      <c r="AL80" s="41"/>
      <c r="AM80" s="41"/>
      <c r="AN80" s="41"/>
    </row>
    <row r="81" spans="1:40" ht="115.5">
      <c r="A81" s="147"/>
      <c r="B81" s="234" t="s">
        <v>331</v>
      </c>
      <c r="C81" s="235" t="s">
        <v>1081</v>
      </c>
      <c r="D81" s="247" t="s">
        <v>908</v>
      </c>
      <c r="E81" s="237">
        <v>2</v>
      </c>
      <c r="F81" s="169" t="str">
        <f>""&amp;Table12[[#This Row],[TTM Stage]]&amp;Table12[[#This Row],[Task No.]]&amp;"-"&amp;Table12[[#This Row],[Type of activity]]&amp;"-"&amp;Table12[[#This Row],[TargetGroup]]</f>
        <v>P2-DN1-A-Children</v>
      </c>
      <c r="G81" s="242" t="s">
        <v>914</v>
      </c>
      <c r="H81" s="242"/>
      <c r="I81" s="238" t="s">
        <v>904</v>
      </c>
      <c r="J81" s="499"/>
      <c r="K81" s="248" t="s">
        <v>1105</v>
      </c>
      <c r="L81" s="372" t="s">
        <v>75</v>
      </c>
      <c r="M81" s="249" t="s">
        <v>1106</v>
      </c>
      <c r="N81" s="334" t="s">
        <v>1107</v>
      </c>
      <c r="O81" s="237">
        <v>1</v>
      </c>
      <c r="P81" s="237">
        <v>1</v>
      </c>
      <c r="Q81" s="237"/>
      <c r="R81" s="237"/>
      <c r="S81" s="237"/>
      <c r="T81" s="237" t="s">
        <v>1108</v>
      </c>
      <c r="U81" s="237" t="s">
        <v>1109</v>
      </c>
      <c r="V81" s="226" t="s">
        <v>1110</v>
      </c>
      <c r="W81" s="237">
        <v>1</v>
      </c>
      <c r="X81" s="237"/>
      <c r="Y81" s="226" t="s">
        <v>1104</v>
      </c>
      <c r="Z81" s="237"/>
      <c r="AA81" s="47"/>
      <c r="AB81" s="41"/>
      <c r="AC81" s="41"/>
      <c r="AD81" s="41"/>
      <c r="AE81" s="41"/>
      <c r="AF81" s="41"/>
      <c r="AG81" s="41"/>
      <c r="AH81" s="41"/>
      <c r="AI81" s="41"/>
      <c r="AJ81" s="41"/>
      <c r="AK81" s="41"/>
      <c r="AL81" s="41"/>
      <c r="AM81" s="41"/>
      <c r="AN81" s="41"/>
    </row>
    <row r="82" spans="1:40" ht="57.75">
      <c r="A82" s="147"/>
      <c r="B82" s="234" t="s">
        <v>331</v>
      </c>
      <c r="C82" s="235" t="s">
        <v>1081</v>
      </c>
      <c r="D82" s="250" t="s">
        <v>921</v>
      </c>
      <c r="E82" s="237">
        <v>1</v>
      </c>
      <c r="F82" s="169" t="str">
        <f>""&amp;Table12[[#This Row],[TTM Stage]]&amp;Table12[[#This Row],[Task No.]]&amp;"-"&amp;Table12[[#This Row],[Type of activity]]&amp;"-"&amp;Table12[[#This Row],[TargetGroup]]</f>
        <v>A1-DN1-A-Children</v>
      </c>
      <c r="G82" s="242" t="s">
        <v>914</v>
      </c>
      <c r="H82" s="242"/>
      <c r="I82" s="238" t="s">
        <v>904</v>
      </c>
      <c r="J82" s="500"/>
      <c r="K82" s="248" t="s">
        <v>1111</v>
      </c>
      <c r="L82" s="372" t="s">
        <v>75</v>
      </c>
      <c r="M82" s="333" t="s">
        <v>1112</v>
      </c>
      <c r="N82" s="251" t="s">
        <v>1113</v>
      </c>
      <c r="O82" s="237">
        <v>1</v>
      </c>
      <c r="P82" s="237">
        <v>7</v>
      </c>
      <c r="Q82" s="237"/>
      <c r="R82" s="237"/>
      <c r="S82" s="237"/>
      <c r="T82" s="237" t="s">
        <v>1114</v>
      </c>
      <c r="U82" s="226" t="s">
        <v>1115</v>
      </c>
      <c r="V82" s="226" t="s">
        <v>1116</v>
      </c>
      <c r="W82" s="237" t="s">
        <v>1117</v>
      </c>
      <c r="X82" s="237"/>
      <c r="Y82" s="226" t="s">
        <v>1104</v>
      </c>
      <c r="Z82" s="237"/>
      <c r="AA82" s="47"/>
      <c r="AB82" s="41"/>
      <c r="AC82" s="41"/>
      <c r="AD82" s="41"/>
      <c r="AE82" s="41"/>
      <c r="AF82" s="41"/>
      <c r="AG82" s="41"/>
      <c r="AH82" s="41"/>
      <c r="AI82" s="41"/>
      <c r="AJ82" s="41"/>
      <c r="AK82" s="41"/>
      <c r="AL82" s="41"/>
      <c r="AM82" s="41"/>
      <c r="AN82" s="41"/>
    </row>
    <row r="83" spans="1:40" ht="72.75">
      <c r="A83" s="147"/>
      <c r="B83" s="234" t="s">
        <v>331</v>
      </c>
      <c r="C83" s="235" t="s">
        <v>1081</v>
      </c>
      <c r="D83" s="250" t="s">
        <v>921</v>
      </c>
      <c r="E83" s="237">
        <v>2</v>
      </c>
      <c r="F83" s="169" t="str">
        <f>""&amp;Table12[[#This Row],[TTM Stage]]&amp;Table12[[#This Row],[Task No.]]&amp;"-"&amp;Table12[[#This Row],[Type of activity]]&amp;"-"&amp;Table12[[#This Row],[TargetGroup]]</f>
        <v>A2-DN1-A-Children</v>
      </c>
      <c r="G83" s="242" t="s">
        <v>914</v>
      </c>
      <c r="H83" s="242"/>
      <c r="I83" s="238" t="s">
        <v>904</v>
      </c>
      <c r="J83" s="500"/>
      <c r="K83" s="248" t="s">
        <v>1118</v>
      </c>
      <c r="L83" s="372" t="s">
        <v>75</v>
      </c>
      <c r="M83" s="333" t="s">
        <v>1119</v>
      </c>
      <c r="N83" s="246" t="s">
        <v>1120</v>
      </c>
      <c r="O83" s="237">
        <v>1</v>
      </c>
      <c r="P83" s="237">
        <v>7</v>
      </c>
      <c r="Q83" s="237"/>
      <c r="R83" s="237"/>
      <c r="S83" s="237"/>
      <c r="T83" s="237" t="s">
        <v>1114</v>
      </c>
      <c r="U83" s="226" t="s">
        <v>1115</v>
      </c>
      <c r="V83" s="226" t="s">
        <v>1116</v>
      </c>
      <c r="W83" s="237" t="s">
        <v>1121</v>
      </c>
      <c r="X83" s="237"/>
      <c r="Y83" s="226" t="s">
        <v>1104</v>
      </c>
      <c r="Z83" s="237"/>
      <c r="AA83" s="47"/>
      <c r="AB83" s="41"/>
      <c r="AC83" s="41"/>
      <c r="AD83" s="41"/>
      <c r="AE83" s="41"/>
      <c r="AF83" s="41"/>
      <c r="AG83" s="41"/>
      <c r="AH83" s="41"/>
      <c r="AI83" s="41"/>
      <c r="AJ83" s="41"/>
      <c r="AK83" s="41"/>
      <c r="AL83" s="41"/>
      <c r="AM83" s="41"/>
      <c r="AN83" s="41"/>
    </row>
    <row r="84" spans="1:40" ht="72.75">
      <c r="A84" s="147"/>
      <c r="B84" s="234" t="s">
        <v>331</v>
      </c>
      <c r="C84" s="235" t="s">
        <v>1081</v>
      </c>
      <c r="D84" s="250" t="s">
        <v>921</v>
      </c>
      <c r="E84" s="237">
        <v>3</v>
      </c>
      <c r="F84" s="169" t="str">
        <f>""&amp;Table12[[#This Row],[TTM Stage]]&amp;Table12[[#This Row],[Task No.]]&amp;"-"&amp;Table12[[#This Row],[Type of activity]]&amp;"-"&amp;Table12[[#This Row],[TargetGroup]]</f>
        <v>A3-DN1-A-Children</v>
      </c>
      <c r="G84" s="242" t="s">
        <v>914</v>
      </c>
      <c r="H84" s="242"/>
      <c r="I84" s="238" t="s">
        <v>904</v>
      </c>
      <c r="J84" s="499"/>
      <c r="K84" s="528" t="s">
        <v>1122</v>
      </c>
      <c r="L84" s="372" t="s">
        <v>75</v>
      </c>
      <c r="M84" s="333" t="s">
        <v>1123</v>
      </c>
      <c r="N84" s="246" t="s">
        <v>1124</v>
      </c>
      <c r="O84" s="237">
        <v>1</v>
      </c>
      <c r="P84" s="237">
        <v>7</v>
      </c>
      <c r="Q84" s="237"/>
      <c r="R84" s="237"/>
      <c r="S84" s="237"/>
      <c r="T84" s="237" t="s">
        <v>1114</v>
      </c>
      <c r="U84" s="226" t="s">
        <v>1115</v>
      </c>
      <c r="V84" s="226" t="s">
        <v>1116</v>
      </c>
      <c r="W84" s="237" t="s">
        <v>1125</v>
      </c>
      <c r="X84" s="237"/>
      <c r="Y84" s="226" t="s">
        <v>1104</v>
      </c>
      <c r="Z84" s="237"/>
      <c r="AA84" s="41"/>
      <c r="AB84" s="41"/>
      <c r="AC84" s="41"/>
      <c r="AD84" s="41"/>
      <c r="AE84" s="41"/>
      <c r="AF84" s="41"/>
      <c r="AG84" s="41"/>
      <c r="AH84" s="41"/>
      <c r="AI84" s="41"/>
      <c r="AJ84" s="41"/>
      <c r="AK84" s="41"/>
      <c r="AL84" s="41"/>
      <c r="AM84" s="41"/>
      <c r="AN84" s="41"/>
    </row>
    <row r="85" spans="1:40" ht="57.75">
      <c r="A85" s="147"/>
      <c r="B85" s="234" t="s">
        <v>331</v>
      </c>
      <c r="C85" s="235" t="s">
        <v>1081</v>
      </c>
      <c r="D85" s="250" t="s">
        <v>921</v>
      </c>
      <c r="E85" s="237">
        <v>4</v>
      </c>
      <c r="F85" s="169" t="str">
        <f>""&amp;Table12[[#This Row],[TTM Stage]]&amp;Table12[[#This Row],[Task No.]]&amp;"-"&amp;Table12[[#This Row],[Type of activity]]&amp;"-"&amp;Table12[[#This Row],[TargetGroup]]</f>
        <v>A4-DN1-A-Children</v>
      </c>
      <c r="G85" s="242" t="s">
        <v>914</v>
      </c>
      <c r="H85" s="242"/>
      <c r="I85" s="238" t="s">
        <v>904</v>
      </c>
      <c r="J85" s="499"/>
      <c r="K85" s="528" t="s">
        <v>1126</v>
      </c>
      <c r="L85" s="372" t="s">
        <v>75</v>
      </c>
      <c r="M85" s="333" t="s">
        <v>1127</v>
      </c>
      <c r="N85" s="246" t="s">
        <v>1128</v>
      </c>
      <c r="O85" s="237">
        <v>1</v>
      </c>
      <c r="P85" s="237">
        <v>7</v>
      </c>
      <c r="Q85" s="237"/>
      <c r="R85" s="237"/>
      <c r="S85" s="237"/>
      <c r="T85" s="237" t="s">
        <v>1114</v>
      </c>
      <c r="U85" s="226" t="s">
        <v>1115</v>
      </c>
      <c r="V85" s="226" t="s">
        <v>1116</v>
      </c>
      <c r="W85" s="237" t="s">
        <v>1129</v>
      </c>
      <c r="X85" s="237"/>
      <c r="Y85" s="226" t="s">
        <v>1104</v>
      </c>
      <c r="Z85" s="237"/>
      <c r="AA85" s="41"/>
      <c r="AB85" s="41"/>
      <c r="AC85" s="41"/>
      <c r="AD85" s="41"/>
      <c r="AE85" s="41"/>
      <c r="AF85" s="41"/>
      <c r="AG85" s="41"/>
      <c r="AH85" s="41"/>
      <c r="AI85" s="41"/>
      <c r="AJ85" s="41"/>
      <c r="AK85" s="41"/>
      <c r="AL85" s="41"/>
      <c r="AM85" s="41"/>
      <c r="AN85" s="41"/>
    </row>
    <row r="86" spans="1:40" ht="43.5">
      <c r="A86" s="147"/>
      <c r="B86" s="234" t="s">
        <v>331</v>
      </c>
      <c r="C86" s="235" t="s">
        <v>1081</v>
      </c>
      <c r="D86" s="252" t="s">
        <v>933</v>
      </c>
      <c r="E86" s="237">
        <v>1</v>
      </c>
      <c r="F86" s="169" t="str">
        <f>""&amp;Table12[[#This Row],[TTM Stage]]&amp;Table12[[#This Row],[Task No.]]&amp;"-"&amp;Table12[[#This Row],[Type of activity]]&amp;"-"&amp;Table12[[#This Row],[TargetGroup]]</f>
        <v>M1-DN1-A-Children</v>
      </c>
      <c r="G86" s="242" t="s">
        <v>914</v>
      </c>
      <c r="H86" s="242"/>
      <c r="I86" s="238" t="s">
        <v>904</v>
      </c>
      <c r="J86" s="499"/>
      <c r="K86" s="528" t="s">
        <v>1130</v>
      </c>
      <c r="L86" s="372" t="s">
        <v>75</v>
      </c>
      <c r="M86" s="224" t="s">
        <v>1131</v>
      </c>
      <c r="N86" s="255" t="s">
        <v>1132</v>
      </c>
      <c r="O86" s="237">
        <v>1</v>
      </c>
      <c r="P86" s="237">
        <v>7</v>
      </c>
      <c r="Q86" s="237"/>
      <c r="R86" s="237"/>
      <c r="S86" s="237"/>
      <c r="T86" s="237" t="s">
        <v>1108</v>
      </c>
      <c r="U86" s="237" t="s">
        <v>1109</v>
      </c>
      <c r="V86" s="226" t="s">
        <v>1110</v>
      </c>
      <c r="W86" s="237">
        <v>2</v>
      </c>
      <c r="X86" s="237"/>
      <c r="Y86" s="226" t="s">
        <v>1104</v>
      </c>
      <c r="Z86" s="237"/>
      <c r="AA86" s="41"/>
      <c r="AB86" s="41"/>
      <c r="AC86" s="41"/>
      <c r="AD86" s="41"/>
      <c r="AE86" s="41"/>
      <c r="AF86" s="41"/>
      <c r="AG86" s="41"/>
      <c r="AH86" s="41"/>
      <c r="AI86" s="41"/>
      <c r="AJ86" s="41"/>
      <c r="AK86" s="41"/>
      <c r="AL86" s="41"/>
      <c r="AM86" s="41"/>
      <c r="AN86" s="41"/>
    </row>
    <row r="87" spans="1:40" ht="43.5">
      <c r="A87" s="147"/>
      <c r="B87" s="234" t="s">
        <v>331</v>
      </c>
      <c r="C87" s="235" t="s">
        <v>1081</v>
      </c>
      <c r="D87" s="252" t="s">
        <v>933</v>
      </c>
      <c r="E87" s="237">
        <v>2</v>
      </c>
      <c r="F87" s="169" t="str">
        <f>""&amp;Table12[[#This Row],[TTM Stage]]&amp;Table12[[#This Row],[Task No.]]&amp;"-"&amp;Table12[[#This Row],[Type of activity]]&amp;"-"&amp;Table12[[#This Row],[TargetGroup]]</f>
        <v>M2-DN1-A-Children</v>
      </c>
      <c r="G87" s="242" t="s">
        <v>914</v>
      </c>
      <c r="H87" s="242"/>
      <c r="I87" s="238" t="s">
        <v>904</v>
      </c>
      <c r="J87" s="499"/>
      <c r="K87" s="528" t="s">
        <v>1133</v>
      </c>
      <c r="L87" s="372" t="s">
        <v>75</v>
      </c>
      <c r="M87" s="224" t="s">
        <v>1134</v>
      </c>
      <c r="N87" s="255" t="s">
        <v>1132</v>
      </c>
      <c r="O87" s="237">
        <v>1</v>
      </c>
      <c r="P87" s="237">
        <v>7</v>
      </c>
      <c r="Q87" s="237"/>
      <c r="R87" s="237"/>
      <c r="S87" s="237"/>
      <c r="T87" s="237" t="s">
        <v>1108</v>
      </c>
      <c r="U87" s="237" t="s">
        <v>1109</v>
      </c>
      <c r="V87" s="226" t="s">
        <v>1110</v>
      </c>
      <c r="W87" s="237">
        <v>4</v>
      </c>
      <c r="X87" s="237"/>
      <c r="Y87" s="226" t="s">
        <v>1104</v>
      </c>
      <c r="Z87" s="237"/>
      <c r="AA87" s="41"/>
      <c r="AB87" s="41"/>
      <c r="AC87" s="41"/>
      <c r="AD87" s="41"/>
      <c r="AE87" s="41"/>
      <c r="AF87" s="41"/>
      <c r="AG87" s="41"/>
      <c r="AH87" s="41"/>
      <c r="AI87" s="41"/>
      <c r="AJ87" s="41"/>
      <c r="AK87" s="41"/>
      <c r="AL87" s="41"/>
      <c r="AM87" s="41"/>
      <c r="AN87" s="41"/>
    </row>
    <row r="88" spans="1:40" ht="43.5">
      <c r="A88" s="147"/>
      <c r="B88" s="234" t="s">
        <v>331</v>
      </c>
      <c r="C88" s="235" t="s">
        <v>1081</v>
      </c>
      <c r="D88" s="252" t="s">
        <v>933</v>
      </c>
      <c r="E88" s="237">
        <v>3</v>
      </c>
      <c r="F88" s="169" t="str">
        <f>""&amp;Table12[[#This Row],[TTM Stage]]&amp;Table12[[#This Row],[Task No.]]&amp;"-"&amp;Table12[[#This Row],[Type of activity]]&amp;"-"&amp;Table12[[#This Row],[TargetGroup]]</f>
        <v>M3-DN1-A-Children</v>
      </c>
      <c r="G88" s="242" t="s">
        <v>914</v>
      </c>
      <c r="H88" s="242"/>
      <c r="I88" s="238" t="s">
        <v>904</v>
      </c>
      <c r="J88" s="499"/>
      <c r="K88" s="530" t="s">
        <v>1135</v>
      </c>
      <c r="L88" s="372" t="s">
        <v>75</v>
      </c>
      <c r="M88" s="224" t="s">
        <v>1136</v>
      </c>
      <c r="N88" s="255" t="s">
        <v>1132</v>
      </c>
      <c r="O88" s="237">
        <v>1</v>
      </c>
      <c r="P88" s="237">
        <v>7</v>
      </c>
      <c r="Q88" s="237"/>
      <c r="R88" s="237"/>
      <c r="S88" s="237"/>
      <c r="T88" s="237" t="s">
        <v>1108</v>
      </c>
      <c r="U88" s="237" t="s">
        <v>1109</v>
      </c>
      <c r="V88" s="226" t="s">
        <v>1110</v>
      </c>
      <c r="W88" s="237">
        <v>5</v>
      </c>
      <c r="X88" s="237"/>
      <c r="Y88" s="226" t="s">
        <v>1104</v>
      </c>
      <c r="Z88" s="237"/>
      <c r="AA88" s="41"/>
      <c r="AB88" s="41"/>
      <c r="AC88" s="41"/>
      <c r="AD88" s="41"/>
      <c r="AE88" s="41"/>
      <c r="AF88" s="41"/>
      <c r="AG88" s="41"/>
      <c r="AH88" s="41"/>
      <c r="AI88" s="41"/>
      <c r="AJ88" s="41"/>
      <c r="AK88" s="41"/>
      <c r="AL88" s="41"/>
      <c r="AM88" s="41"/>
      <c r="AN88" s="41"/>
    </row>
    <row r="89" spans="1:40" ht="43.5">
      <c r="A89" s="147"/>
      <c r="B89" s="234" t="s">
        <v>331</v>
      </c>
      <c r="C89" s="235" t="s">
        <v>1081</v>
      </c>
      <c r="D89" s="252" t="s">
        <v>933</v>
      </c>
      <c r="E89" s="237">
        <v>4</v>
      </c>
      <c r="F89" s="169" t="str">
        <f>""&amp;Table12[[#This Row],[TTM Stage]]&amp;Table12[[#This Row],[Task No.]]&amp;"-"&amp;Table12[[#This Row],[Type of activity]]&amp;"-"&amp;Table12[[#This Row],[TargetGroup]]</f>
        <v>M4-DN1-A-Children</v>
      </c>
      <c r="G89" s="242" t="s">
        <v>914</v>
      </c>
      <c r="H89" s="242"/>
      <c r="I89" s="238" t="s">
        <v>904</v>
      </c>
      <c r="J89" s="499"/>
      <c r="K89" s="331" t="s">
        <v>1137</v>
      </c>
      <c r="L89" s="372" t="s">
        <v>75</v>
      </c>
      <c r="M89" s="224" t="s">
        <v>1138</v>
      </c>
      <c r="N89" s="255" t="s">
        <v>1132</v>
      </c>
      <c r="O89" s="237">
        <v>1</v>
      </c>
      <c r="P89" s="237">
        <v>7</v>
      </c>
      <c r="Q89" s="237"/>
      <c r="R89" s="237"/>
      <c r="S89" s="237"/>
      <c r="T89" s="237" t="s">
        <v>1108</v>
      </c>
      <c r="U89" s="237" t="s">
        <v>1109</v>
      </c>
      <c r="V89" s="226" t="s">
        <v>1110</v>
      </c>
      <c r="W89" s="237">
        <v>6</v>
      </c>
      <c r="X89" s="237"/>
      <c r="Y89" s="226" t="s">
        <v>1104</v>
      </c>
      <c r="Z89" s="237"/>
      <c r="AA89" s="41"/>
      <c r="AB89" s="41"/>
      <c r="AC89" s="41"/>
      <c r="AD89" s="41"/>
      <c r="AE89" s="41"/>
      <c r="AF89" s="41"/>
      <c r="AG89" s="41"/>
      <c r="AH89" s="41"/>
      <c r="AI89" s="41"/>
      <c r="AJ89" s="41"/>
      <c r="AK89" s="41"/>
      <c r="AL89" s="41"/>
      <c r="AM89" s="41"/>
      <c r="AN89" s="41"/>
    </row>
    <row r="90" spans="1:40" s="486" customFormat="1" ht="57.75">
      <c r="A90" s="483"/>
      <c r="B90" s="234" t="s">
        <v>331</v>
      </c>
      <c r="C90" s="235" t="s">
        <v>1139</v>
      </c>
      <c r="D90" s="236" t="s">
        <v>891</v>
      </c>
      <c r="E90" s="237">
        <v>1</v>
      </c>
      <c r="F90" s="168" t="str">
        <f>""&amp;Table12[[#This Row],[TTM Stage]]&amp;Table12[[#This Row],[Task No.]]&amp;"-"&amp;Table12[[#This Row],[Type of activity]]&amp;"-"&amp;Table12[[#This Row],[TargetGroup]]</f>
        <v>PC1-DN1-B-Children</v>
      </c>
      <c r="G90" s="242" t="s">
        <v>892</v>
      </c>
      <c r="H90" s="242"/>
      <c r="I90" s="238"/>
      <c r="J90" s="499"/>
      <c r="K90" s="531" t="s">
        <v>1140</v>
      </c>
      <c r="L90" s="372" t="s">
        <v>75</v>
      </c>
      <c r="M90" s="721" t="s">
        <v>1141</v>
      </c>
      <c r="N90" s="226" t="s">
        <v>1084</v>
      </c>
      <c r="O90" s="237">
        <v>1</v>
      </c>
      <c r="P90" s="237">
        <v>1</v>
      </c>
      <c r="Q90" s="237"/>
      <c r="R90" s="237"/>
      <c r="S90" s="237"/>
      <c r="T90" s="237" t="s">
        <v>1089</v>
      </c>
      <c r="U90" s="237" t="s">
        <v>1090</v>
      </c>
      <c r="V90" s="237" t="s">
        <v>1091</v>
      </c>
      <c r="W90" s="237" t="s">
        <v>1092</v>
      </c>
      <c r="X90" s="237"/>
      <c r="Y90" s="237" t="s">
        <v>1085</v>
      </c>
      <c r="Z90" s="237"/>
      <c r="AA90" s="41"/>
      <c r="AB90" s="41"/>
      <c r="AC90" s="41"/>
      <c r="AD90" s="41"/>
      <c r="AE90" s="41"/>
      <c r="AF90" s="41"/>
      <c r="AG90" s="41"/>
      <c r="AH90" s="41"/>
      <c r="AI90" s="41"/>
      <c r="AJ90" s="41"/>
      <c r="AK90" s="41"/>
      <c r="AL90" s="41"/>
      <c r="AM90" s="41"/>
      <c r="AN90" s="41"/>
    </row>
    <row r="91" spans="1:40" s="486" customFormat="1" ht="29.25">
      <c r="A91" s="483"/>
      <c r="B91" s="520" t="s">
        <v>331</v>
      </c>
      <c r="C91" s="521" t="s">
        <v>1139</v>
      </c>
      <c r="D91" s="487" t="s">
        <v>891</v>
      </c>
      <c r="E91" s="490">
        <v>2</v>
      </c>
      <c r="F91" s="526" t="str">
        <f>""&amp;Table12[[#This Row],[TTM Stage]]&amp;Table12[[#This Row],[Task No.]]&amp;"-"&amp;Table12[[#This Row],[Type of activity]]&amp;"-"&amp;Table12[[#This Row],[TargetGroup]]</f>
        <v>PC2-DN1-B-Children</v>
      </c>
      <c r="G91" s="523" t="s">
        <v>946</v>
      </c>
      <c r="H91" s="523"/>
      <c r="I91" s="524"/>
      <c r="J91" s="525"/>
      <c r="K91" s="531" t="s">
        <v>1142</v>
      </c>
      <c r="L91" s="254" t="s">
        <v>75</v>
      </c>
      <c r="M91" s="224" t="s">
        <v>1143</v>
      </c>
      <c r="N91" s="240" t="s">
        <v>1144</v>
      </c>
      <c r="O91" s="490">
        <v>1</v>
      </c>
      <c r="P91" s="490">
        <v>1</v>
      </c>
      <c r="Q91" s="490"/>
      <c r="R91" s="490" t="s">
        <v>907</v>
      </c>
      <c r="S91" s="490"/>
      <c r="T91" s="490" t="s">
        <v>1089</v>
      </c>
      <c r="U91" s="490" t="s">
        <v>1090</v>
      </c>
      <c r="V91" s="490" t="s">
        <v>1091</v>
      </c>
      <c r="W91" s="490" t="s">
        <v>1092</v>
      </c>
      <c r="X91" s="490"/>
      <c r="Y91" s="490" t="s">
        <v>1085</v>
      </c>
      <c r="Z91" s="490"/>
      <c r="AA91" s="39"/>
      <c r="AB91" s="39"/>
      <c r="AC91" s="39"/>
      <c r="AD91" s="39"/>
      <c r="AE91" s="39"/>
      <c r="AF91" s="39"/>
      <c r="AG91" s="39"/>
      <c r="AH91" s="39"/>
      <c r="AI91" s="39"/>
      <c r="AJ91" s="39"/>
      <c r="AK91" s="39"/>
      <c r="AL91" s="39"/>
      <c r="AM91" s="39"/>
      <c r="AN91" s="39"/>
    </row>
    <row r="92" spans="1:40" s="486" customFormat="1" ht="43.5">
      <c r="A92" s="483"/>
      <c r="B92" s="520" t="s">
        <v>331</v>
      </c>
      <c r="C92" s="521" t="s">
        <v>1139</v>
      </c>
      <c r="D92" s="490" t="s">
        <v>899</v>
      </c>
      <c r="E92" s="490">
        <v>1</v>
      </c>
      <c r="F92" s="526" t="str">
        <f>""&amp;Table12[[#This Row],[TTM Stage]]&amp;Table12[[#This Row],[Task No.]]&amp;"-"&amp;Table12[[#This Row],[Type of activity]]&amp;"-"&amp;Table12[[#This Row],[TargetGroup]]</f>
        <v>C1-DN1-B-Children</v>
      </c>
      <c r="G92" s="523" t="s">
        <v>900</v>
      </c>
      <c r="H92" s="523"/>
      <c r="I92" s="524"/>
      <c r="J92" s="542"/>
      <c r="K92" s="533" t="s">
        <v>1145</v>
      </c>
      <c r="L92" s="254" t="s">
        <v>75</v>
      </c>
      <c r="M92" s="253" t="s">
        <v>1146</v>
      </c>
      <c r="N92" s="240"/>
      <c r="O92" s="490">
        <v>1</v>
      </c>
      <c r="P92" s="490">
        <v>1</v>
      </c>
      <c r="Q92" s="490"/>
      <c r="R92" s="490"/>
      <c r="S92" s="490"/>
      <c r="T92" s="490"/>
      <c r="U92" s="490"/>
      <c r="V92" s="490"/>
      <c r="W92" s="490"/>
      <c r="X92" s="490"/>
      <c r="Y92" s="490" t="s">
        <v>1085</v>
      </c>
      <c r="Z92" s="490"/>
      <c r="AA92" s="39"/>
      <c r="AB92" s="39"/>
      <c r="AC92" s="39"/>
      <c r="AD92" s="39"/>
      <c r="AE92" s="39"/>
      <c r="AF92" s="39"/>
      <c r="AG92" s="39"/>
      <c r="AH92" s="39"/>
      <c r="AI92" s="39"/>
      <c r="AJ92" s="39"/>
      <c r="AK92" s="39"/>
      <c r="AL92" s="39"/>
      <c r="AM92" s="39"/>
      <c r="AN92" s="39"/>
    </row>
    <row r="93" spans="1:40" s="486" customFormat="1" ht="115.5">
      <c r="A93" s="483"/>
      <c r="B93" s="520" t="s">
        <v>331</v>
      </c>
      <c r="C93" s="521" t="s">
        <v>1139</v>
      </c>
      <c r="D93" s="490" t="s">
        <v>899</v>
      </c>
      <c r="E93" s="490">
        <v>2</v>
      </c>
      <c r="F93" s="526" t="str">
        <f>""&amp;Table12[[#This Row],[TTM Stage]]&amp;Table12[[#This Row],[Task No.]]&amp;"-"&amp;Table12[[#This Row],[Type of activity]]&amp;"-"&amp;Table12[[#This Row],[TargetGroup]]</f>
        <v>C2-DN1-B-Children</v>
      </c>
      <c r="G93" s="523" t="s">
        <v>962</v>
      </c>
      <c r="H93" s="523"/>
      <c r="I93" s="525"/>
      <c r="J93" s="499"/>
      <c r="K93" s="519" t="s">
        <v>1147</v>
      </c>
      <c r="L93" s="254" t="s">
        <v>75</v>
      </c>
      <c r="M93" s="132" t="s">
        <v>1148</v>
      </c>
      <c r="N93" s="263" t="s">
        <v>1149</v>
      </c>
      <c r="O93" s="129">
        <v>1</v>
      </c>
      <c r="P93" s="129">
        <v>1</v>
      </c>
      <c r="Q93" s="129"/>
      <c r="R93" s="129" t="s">
        <v>907</v>
      </c>
      <c r="S93" s="129"/>
      <c r="T93" s="490" t="s">
        <v>1089</v>
      </c>
      <c r="U93" s="490" t="s">
        <v>1090</v>
      </c>
      <c r="V93" s="490" t="s">
        <v>1091</v>
      </c>
      <c r="W93" s="490" t="s">
        <v>1092</v>
      </c>
      <c r="X93" s="490"/>
      <c r="Y93" s="224" t="s">
        <v>1085</v>
      </c>
      <c r="Z93" s="490"/>
      <c r="AA93" s="39"/>
      <c r="AB93" s="39"/>
      <c r="AC93" s="39"/>
      <c r="AD93" s="39"/>
      <c r="AE93" s="39"/>
      <c r="AF93" s="39"/>
      <c r="AG93" s="39"/>
      <c r="AH93" s="39"/>
      <c r="AI93" s="39"/>
      <c r="AJ93" s="39"/>
      <c r="AK93" s="39"/>
      <c r="AL93" s="39"/>
      <c r="AM93" s="39"/>
      <c r="AN93" s="39"/>
    </row>
    <row r="94" spans="1:40" s="486" customFormat="1" ht="29.25">
      <c r="A94" s="483"/>
      <c r="B94" s="520" t="s">
        <v>331</v>
      </c>
      <c r="C94" s="521" t="s">
        <v>1139</v>
      </c>
      <c r="D94" s="503" t="s">
        <v>908</v>
      </c>
      <c r="E94" s="490">
        <v>1</v>
      </c>
      <c r="F94" s="526" t="str">
        <f>""&amp;Table12[[#This Row],[TTM Stage]]&amp;Table12[[#This Row],[Task No.]]&amp;"-"&amp;Table12[[#This Row],[Type of activity]]&amp;"-"&amp;Table12[[#This Row],[TargetGroup]]</f>
        <v>P1-DN1-B-Children</v>
      </c>
      <c r="G94" s="523" t="s">
        <v>900</v>
      </c>
      <c r="H94" s="523"/>
      <c r="I94" s="524" t="s">
        <v>1150</v>
      </c>
      <c r="J94" s="525"/>
      <c r="K94" s="532" t="s">
        <v>1151</v>
      </c>
      <c r="L94" s="254" t="s">
        <v>75</v>
      </c>
      <c r="M94" s="264" t="s">
        <v>1152</v>
      </c>
      <c r="N94" s="132"/>
      <c r="O94" s="129">
        <v>1</v>
      </c>
      <c r="P94" s="129">
        <v>1</v>
      </c>
      <c r="Q94" s="129"/>
      <c r="R94" s="129"/>
      <c r="S94" s="129"/>
      <c r="T94" s="129"/>
      <c r="U94" s="129"/>
      <c r="V94" s="129"/>
      <c r="W94" s="129"/>
      <c r="X94" s="129"/>
      <c r="Y94" s="129" t="s">
        <v>1085</v>
      </c>
      <c r="Z94" s="490"/>
      <c r="AA94" s="39"/>
      <c r="AB94" s="39"/>
      <c r="AC94" s="39"/>
      <c r="AD94" s="39"/>
      <c r="AE94" s="39"/>
      <c r="AF94" s="39"/>
      <c r="AG94" s="39"/>
      <c r="AH94" s="39"/>
      <c r="AI94" s="39"/>
      <c r="AJ94" s="39"/>
      <c r="AK94" s="39"/>
      <c r="AL94" s="39"/>
      <c r="AM94" s="39"/>
      <c r="AN94" s="39"/>
    </row>
    <row r="95" spans="1:40" ht="115.5">
      <c r="A95" s="147"/>
      <c r="B95" s="520" t="s">
        <v>331</v>
      </c>
      <c r="C95" s="521" t="s">
        <v>1139</v>
      </c>
      <c r="D95" s="503" t="s">
        <v>908</v>
      </c>
      <c r="E95" s="490">
        <v>2</v>
      </c>
      <c r="F95" s="522" t="str">
        <f>""&amp;Table12[[#This Row],[TTM Stage]]&amp;Table12[[#This Row],[Task No.]]&amp;"-"&amp;Table12[[#This Row],[Type of activity]]&amp;"-"&amp;Table12[[#This Row],[TargetGroup]]</f>
        <v>P2-DN1-B-Children</v>
      </c>
      <c r="G95" s="523" t="s">
        <v>914</v>
      </c>
      <c r="H95" s="523"/>
      <c r="I95" s="524" t="s">
        <v>1150</v>
      </c>
      <c r="J95" s="525"/>
      <c r="K95" s="533" t="s">
        <v>1153</v>
      </c>
      <c r="L95" s="254" t="s">
        <v>75</v>
      </c>
      <c r="M95" s="254" t="s">
        <v>1154</v>
      </c>
      <c r="N95" s="240" t="s">
        <v>1155</v>
      </c>
      <c r="O95" s="490">
        <v>1</v>
      </c>
      <c r="P95" s="490">
        <v>1</v>
      </c>
      <c r="Q95" s="490"/>
      <c r="R95" s="490"/>
      <c r="S95" s="490"/>
      <c r="T95" s="490" t="s">
        <v>1108</v>
      </c>
      <c r="U95" s="490" t="s">
        <v>1109</v>
      </c>
      <c r="V95" s="224" t="s">
        <v>1110</v>
      </c>
      <c r="W95" s="490">
        <v>1</v>
      </c>
      <c r="X95" s="490"/>
      <c r="Y95" s="224" t="s">
        <v>1104</v>
      </c>
      <c r="Z95" s="490"/>
      <c r="AA95" s="39"/>
      <c r="AB95" s="39"/>
      <c r="AC95" s="39"/>
      <c r="AD95" s="39"/>
      <c r="AE95" s="39"/>
      <c r="AF95" s="39"/>
      <c r="AG95" s="39"/>
      <c r="AH95" s="39"/>
      <c r="AI95" s="39"/>
      <c r="AJ95" s="39"/>
      <c r="AK95" s="39"/>
      <c r="AL95" s="39"/>
      <c r="AM95" s="39"/>
      <c r="AN95" s="39"/>
    </row>
    <row r="96" spans="1:40" ht="72.75">
      <c r="A96" s="147"/>
      <c r="B96" s="234" t="s">
        <v>331</v>
      </c>
      <c r="C96" s="235" t="s">
        <v>1139</v>
      </c>
      <c r="D96" s="256" t="s">
        <v>921</v>
      </c>
      <c r="E96" s="237">
        <v>1</v>
      </c>
      <c r="F96" s="169" t="str">
        <f>""&amp;Table12[[#This Row],[TTM Stage]]&amp;Table12[[#This Row],[Task No.]]&amp;"-"&amp;Table12[[#This Row],[Type of activity]]&amp;"-"&amp;Table12[[#This Row],[TargetGroup]]</f>
        <v>A1-DN1-B-Children</v>
      </c>
      <c r="G96" s="242" t="s">
        <v>914</v>
      </c>
      <c r="H96" s="242"/>
      <c r="I96" s="238" t="s">
        <v>1150</v>
      </c>
      <c r="J96" s="499"/>
      <c r="K96" s="248" t="s">
        <v>1156</v>
      </c>
      <c r="L96" s="372" t="s">
        <v>75</v>
      </c>
      <c r="M96" s="333" t="s">
        <v>1157</v>
      </c>
      <c r="N96" s="261" t="s">
        <v>1158</v>
      </c>
      <c r="O96" s="262">
        <v>1</v>
      </c>
      <c r="P96" s="262">
        <v>7</v>
      </c>
      <c r="Q96" s="262"/>
      <c r="R96" s="262"/>
      <c r="S96" s="262"/>
      <c r="T96" s="262" t="s">
        <v>1114</v>
      </c>
      <c r="U96" s="260" t="s">
        <v>1115</v>
      </c>
      <c r="V96" s="260" t="s">
        <v>1116</v>
      </c>
      <c r="W96" s="262" t="s">
        <v>1117</v>
      </c>
      <c r="X96" s="262"/>
      <c r="Y96" s="260" t="s">
        <v>1104</v>
      </c>
      <c r="Z96" s="237"/>
      <c r="AA96" s="41"/>
      <c r="AB96" s="41"/>
      <c r="AC96" s="41"/>
      <c r="AD96" s="41"/>
      <c r="AE96" s="41"/>
      <c r="AF96" s="41"/>
      <c r="AG96" s="41"/>
      <c r="AH96" s="41"/>
      <c r="AI96" s="41"/>
      <c r="AJ96" s="41"/>
      <c r="AK96" s="41"/>
      <c r="AL96" s="41"/>
      <c r="AM96" s="41"/>
      <c r="AN96" s="41"/>
    </row>
    <row r="97" spans="1:40" ht="57.75">
      <c r="A97" s="147"/>
      <c r="B97" s="234" t="s">
        <v>331</v>
      </c>
      <c r="C97" s="235" t="s">
        <v>1139</v>
      </c>
      <c r="D97" s="256" t="s">
        <v>921</v>
      </c>
      <c r="E97" s="237">
        <v>2</v>
      </c>
      <c r="F97" s="169" t="str">
        <f>""&amp;Table12[[#This Row],[TTM Stage]]&amp;Table12[[#This Row],[Task No.]]&amp;"-"&amp;Table12[[#This Row],[Type of activity]]&amp;"-"&amp;Table12[[#This Row],[TargetGroup]]</f>
        <v>A2-DN1-B-Children</v>
      </c>
      <c r="G97" s="242" t="s">
        <v>914</v>
      </c>
      <c r="H97" s="242"/>
      <c r="I97" s="238" t="s">
        <v>1150</v>
      </c>
      <c r="J97" s="499"/>
      <c r="K97" s="248" t="s">
        <v>1159</v>
      </c>
      <c r="L97" s="372" t="s">
        <v>75</v>
      </c>
      <c r="M97" s="333" t="s">
        <v>1160</v>
      </c>
      <c r="N97" s="268" t="s">
        <v>1161</v>
      </c>
      <c r="O97" s="262">
        <v>1</v>
      </c>
      <c r="P97" s="262">
        <v>7</v>
      </c>
      <c r="Q97" s="262"/>
      <c r="R97" s="262"/>
      <c r="S97" s="262"/>
      <c r="T97" s="262" t="s">
        <v>1114</v>
      </c>
      <c r="U97" s="260" t="s">
        <v>1115</v>
      </c>
      <c r="V97" s="260" t="s">
        <v>1116</v>
      </c>
      <c r="W97" s="262" t="s">
        <v>1121</v>
      </c>
      <c r="X97" s="262"/>
      <c r="Y97" s="260" t="s">
        <v>1104</v>
      </c>
      <c r="Z97" s="237"/>
      <c r="AA97" s="41"/>
      <c r="AB97" s="41"/>
      <c r="AC97" s="41"/>
      <c r="AD97" s="41"/>
      <c r="AE97" s="41"/>
      <c r="AF97" s="41"/>
      <c r="AG97" s="41"/>
      <c r="AH97" s="41"/>
      <c r="AI97" s="41"/>
      <c r="AJ97" s="41"/>
      <c r="AK97" s="41"/>
      <c r="AL97" s="41"/>
      <c r="AM97" s="41"/>
      <c r="AN97" s="41"/>
    </row>
    <row r="98" spans="1:40" ht="72.75">
      <c r="A98" s="147"/>
      <c r="B98" s="234" t="s">
        <v>331</v>
      </c>
      <c r="C98" s="235" t="s">
        <v>1139</v>
      </c>
      <c r="D98" s="256" t="s">
        <v>921</v>
      </c>
      <c r="E98" s="237">
        <v>3</v>
      </c>
      <c r="F98" s="169" t="str">
        <f>""&amp;Table12[[#This Row],[TTM Stage]]&amp;Table12[[#This Row],[Task No.]]&amp;"-"&amp;Table12[[#This Row],[Type of activity]]&amp;"-"&amp;Table12[[#This Row],[TargetGroup]]</f>
        <v>A3-DN1-B-Children</v>
      </c>
      <c r="G98" s="242" t="s">
        <v>914</v>
      </c>
      <c r="H98" s="242"/>
      <c r="I98" s="238" t="s">
        <v>1150</v>
      </c>
      <c r="J98" s="499"/>
      <c r="K98" s="528" t="s">
        <v>1162</v>
      </c>
      <c r="L98" s="372" t="s">
        <v>75</v>
      </c>
      <c r="M98" s="333" t="s">
        <v>1163</v>
      </c>
      <c r="N98" s="261" t="s">
        <v>1164</v>
      </c>
      <c r="O98" s="262">
        <v>1</v>
      </c>
      <c r="P98" s="262">
        <v>7</v>
      </c>
      <c r="Q98" s="262"/>
      <c r="R98" s="262"/>
      <c r="S98" s="262"/>
      <c r="T98" s="262" t="s">
        <v>1114</v>
      </c>
      <c r="U98" s="260" t="s">
        <v>1115</v>
      </c>
      <c r="V98" s="260" t="s">
        <v>1116</v>
      </c>
      <c r="W98" s="262" t="s">
        <v>1125</v>
      </c>
      <c r="X98" s="262"/>
      <c r="Y98" s="260" t="s">
        <v>1104</v>
      </c>
      <c r="Z98" s="237"/>
      <c r="AA98" s="41"/>
      <c r="AB98" s="41"/>
      <c r="AC98" s="41"/>
      <c r="AD98" s="41"/>
      <c r="AE98" s="41"/>
      <c r="AF98" s="41"/>
      <c r="AG98" s="41"/>
      <c r="AH98" s="41"/>
      <c r="AI98" s="41"/>
      <c r="AJ98" s="41"/>
      <c r="AK98" s="41"/>
      <c r="AL98" s="41"/>
      <c r="AM98" s="41"/>
      <c r="AN98" s="41"/>
    </row>
    <row r="99" spans="1:40" ht="87">
      <c r="A99" s="147"/>
      <c r="B99" s="234" t="s">
        <v>331</v>
      </c>
      <c r="C99" s="235" t="s">
        <v>1139</v>
      </c>
      <c r="D99" s="256" t="s">
        <v>921</v>
      </c>
      <c r="E99" s="237">
        <v>4</v>
      </c>
      <c r="F99" s="169" t="str">
        <f>""&amp;Table12[[#This Row],[TTM Stage]]&amp;Table12[[#This Row],[Task No.]]&amp;"-"&amp;Table12[[#This Row],[Type of activity]]&amp;"-"&amp;Table12[[#This Row],[TargetGroup]]</f>
        <v>A4-DN1-B-Children</v>
      </c>
      <c r="G99" s="242" t="s">
        <v>914</v>
      </c>
      <c r="H99" s="242"/>
      <c r="I99" s="238" t="s">
        <v>1150</v>
      </c>
      <c r="J99" s="499"/>
      <c r="K99" s="528" t="s">
        <v>1165</v>
      </c>
      <c r="L99" s="372" t="s">
        <v>75</v>
      </c>
      <c r="M99" s="333" t="s">
        <v>1166</v>
      </c>
      <c r="N99" s="255" t="s">
        <v>1167</v>
      </c>
      <c r="O99" s="237">
        <v>1</v>
      </c>
      <c r="P99" s="237">
        <v>7</v>
      </c>
      <c r="Q99" s="237"/>
      <c r="R99" s="237"/>
      <c r="S99" s="237"/>
      <c r="T99" s="237" t="s">
        <v>1114</v>
      </c>
      <c r="U99" s="226" t="s">
        <v>1115</v>
      </c>
      <c r="V99" s="226" t="s">
        <v>1116</v>
      </c>
      <c r="W99" s="237" t="s">
        <v>1129</v>
      </c>
      <c r="X99" s="237"/>
      <c r="Y99" s="226" t="s">
        <v>1104</v>
      </c>
      <c r="Z99" s="237"/>
      <c r="AA99" s="41"/>
      <c r="AB99" s="41"/>
      <c r="AC99" s="41"/>
      <c r="AD99" s="41"/>
      <c r="AE99" s="41"/>
      <c r="AF99" s="41"/>
      <c r="AG99" s="41"/>
      <c r="AH99" s="41"/>
      <c r="AI99" s="41"/>
      <c r="AJ99" s="41"/>
      <c r="AK99" s="41"/>
      <c r="AL99" s="41"/>
      <c r="AM99" s="41"/>
      <c r="AN99" s="41"/>
    </row>
    <row r="100" spans="1:40" ht="43.5">
      <c r="A100" s="147"/>
      <c r="B100" s="234" t="s">
        <v>331</v>
      </c>
      <c r="C100" s="235" t="s">
        <v>1139</v>
      </c>
      <c r="D100" s="257" t="s">
        <v>933</v>
      </c>
      <c r="E100" s="237">
        <v>1</v>
      </c>
      <c r="F100" s="169" t="str">
        <f>""&amp;Table12[[#This Row],[TTM Stage]]&amp;Table12[[#This Row],[Task No.]]&amp;"-"&amp;Table12[[#This Row],[Type of activity]]&amp;"-"&amp;Table12[[#This Row],[TargetGroup]]</f>
        <v>M1-DN1-B-Children</v>
      </c>
      <c r="G100" s="242" t="s">
        <v>914</v>
      </c>
      <c r="H100" s="242"/>
      <c r="I100" s="238" t="s">
        <v>1150</v>
      </c>
      <c r="J100" s="499"/>
      <c r="K100" s="528" t="s">
        <v>1168</v>
      </c>
      <c r="L100" s="372" t="s">
        <v>75</v>
      </c>
      <c r="M100" s="224" t="s">
        <v>1169</v>
      </c>
      <c r="N100" s="255" t="s">
        <v>1132</v>
      </c>
      <c r="O100" s="262">
        <v>1</v>
      </c>
      <c r="P100" s="262">
        <v>7</v>
      </c>
      <c r="Q100" s="237"/>
      <c r="R100" s="237"/>
      <c r="S100" s="237"/>
      <c r="T100" s="237" t="s">
        <v>1108</v>
      </c>
      <c r="U100" s="237" t="s">
        <v>1109</v>
      </c>
      <c r="V100" s="226" t="s">
        <v>1110</v>
      </c>
      <c r="W100" s="237">
        <v>2</v>
      </c>
      <c r="X100" s="237"/>
      <c r="Y100" s="226" t="s">
        <v>1104</v>
      </c>
      <c r="Z100" s="237"/>
      <c r="AA100" s="41"/>
      <c r="AB100" s="41"/>
      <c r="AC100" s="41"/>
      <c r="AD100" s="41"/>
      <c r="AE100" s="41"/>
      <c r="AF100" s="41"/>
      <c r="AG100" s="41"/>
      <c r="AH100" s="41"/>
      <c r="AI100" s="41"/>
      <c r="AJ100" s="41"/>
      <c r="AK100" s="41"/>
      <c r="AL100" s="41"/>
      <c r="AM100" s="41"/>
      <c r="AN100" s="41"/>
    </row>
    <row r="101" spans="1:40" ht="43.5">
      <c r="A101" s="147"/>
      <c r="B101" s="234" t="s">
        <v>331</v>
      </c>
      <c r="C101" s="235" t="s">
        <v>1139</v>
      </c>
      <c r="D101" s="257" t="s">
        <v>933</v>
      </c>
      <c r="E101" s="237">
        <v>2</v>
      </c>
      <c r="F101" s="169" t="str">
        <f>""&amp;Table12[[#This Row],[TTM Stage]]&amp;Table12[[#This Row],[Task No.]]&amp;"-"&amp;Table12[[#This Row],[Type of activity]]&amp;"-"&amp;Table12[[#This Row],[TargetGroup]]</f>
        <v>M2-DN1-B-Children</v>
      </c>
      <c r="G101" s="242" t="s">
        <v>914</v>
      </c>
      <c r="H101" s="242"/>
      <c r="I101" s="238" t="s">
        <v>1150</v>
      </c>
      <c r="J101" s="499"/>
      <c r="K101" s="534" t="s">
        <v>1170</v>
      </c>
      <c r="L101" s="372" t="s">
        <v>75</v>
      </c>
      <c r="M101" s="224" t="s">
        <v>1171</v>
      </c>
      <c r="N101" s="255" t="s">
        <v>1132</v>
      </c>
      <c r="O101" s="237">
        <v>1</v>
      </c>
      <c r="P101" s="237">
        <v>7</v>
      </c>
      <c r="Q101" s="237"/>
      <c r="R101" s="237"/>
      <c r="S101" s="237"/>
      <c r="T101" s="237" t="s">
        <v>1108</v>
      </c>
      <c r="U101" s="237" t="s">
        <v>1109</v>
      </c>
      <c r="V101" s="226" t="s">
        <v>1110</v>
      </c>
      <c r="W101" s="237">
        <v>4</v>
      </c>
      <c r="X101" s="237"/>
      <c r="Y101" s="226" t="s">
        <v>1104</v>
      </c>
      <c r="Z101" s="237"/>
      <c r="AA101" s="41"/>
      <c r="AB101" s="41"/>
      <c r="AC101" s="41"/>
      <c r="AD101" s="41"/>
      <c r="AE101" s="41"/>
      <c r="AF101" s="41"/>
      <c r="AG101" s="41"/>
      <c r="AH101" s="41"/>
      <c r="AI101" s="41"/>
      <c r="AJ101" s="41"/>
      <c r="AK101" s="41"/>
      <c r="AL101" s="41"/>
      <c r="AM101" s="41"/>
      <c r="AN101" s="41"/>
    </row>
    <row r="102" spans="1:40" ht="43.5">
      <c r="A102" s="147"/>
      <c r="B102" s="234" t="s">
        <v>331</v>
      </c>
      <c r="C102" s="235" t="s">
        <v>1139</v>
      </c>
      <c r="D102" s="257" t="s">
        <v>933</v>
      </c>
      <c r="E102" s="237">
        <v>3</v>
      </c>
      <c r="F102" s="169" t="str">
        <f>""&amp;Table12[[#This Row],[TTM Stage]]&amp;Table12[[#This Row],[Task No.]]&amp;"-"&amp;Table12[[#This Row],[Type of activity]]&amp;"-"&amp;Table12[[#This Row],[TargetGroup]]</f>
        <v>M3-DN1-B-Children</v>
      </c>
      <c r="G102" s="242" t="s">
        <v>914</v>
      </c>
      <c r="H102" s="242"/>
      <c r="I102" s="238" t="s">
        <v>1150</v>
      </c>
      <c r="J102" s="499"/>
      <c r="K102" s="528" t="s">
        <v>1172</v>
      </c>
      <c r="L102" s="372" t="s">
        <v>75</v>
      </c>
      <c r="M102" s="224" t="s">
        <v>1173</v>
      </c>
      <c r="N102" s="255" t="s">
        <v>1132</v>
      </c>
      <c r="O102" s="262">
        <v>1</v>
      </c>
      <c r="P102" s="262">
        <v>7</v>
      </c>
      <c r="Q102" s="237"/>
      <c r="R102" s="237"/>
      <c r="S102" s="237"/>
      <c r="T102" s="237" t="s">
        <v>1108</v>
      </c>
      <c r="U102" s="237" t="s">
        <v>1109</v>
      </c>
      <c r="V102" s="226" t="s">
        <v>1110</v>
      </c>
      <c r="W102" s="237">
        <v>5</v>
      </c>
      <c r="X102" s="237"/>
      <c r="Y102" s="226" t="s">
        <v>1104</v>
      </c>
      <c r="Z102" s="237"/>
      <c r="AA102" s="41"/>
      <c r="AB102" s="41"/>
      <c r="AC102" s="41"/>
      <c r="AD102" s="41"/>
      <c r="AE102" s="41"/>
      <c r="AF102" s="41"/>
      <c r="AG102" s="41"/>
      <c r="AH102" s="41"/>
      <c r="AI102" s="41"/>
      <c r="AJ102" s="41"/>
      <c r="AK102" s="41"/>
      <c r="AL102" s="41"/>
      <c r="AM102" s="41"/>
      <c r="AN102" s="41"/>
    </row>
    <row r="103" spans="1:40" ht="43.5">
      <c r="A103" s="147"/>
      <c r="B103" s="544" t="s">
        <v>331</v>
      </c>
      <c r="C103" s="545" t="s">
        <v>1139</v>
      </c>
      <c r="D103" s="546" t="s">
        <v>933</v>
      </c>
      <c r="E103" s="547">
        <v>4</v>
      </c>
      <c r="F103" s="169" t="str">
        <f>""&amp;Table12[[#This Row],[TTM Stage]]&amp;Table12[[#This Row],[Task No.]]&amp;"-"&amp;Table12[[#This Row],[Type of activity]]&amp;"-"&amp;Table12[[#This Row],[TargetGroup]]</f>
        <v>M4-DN1-B-Children</v>
      </c>
      <c r="G103" s="548" t="s">
        <v>914</v>
      </c>
      <c r="H103" s="548"/>
      <c r="I103" s="549" t="s">
        <v>1150</v>
      </c>
      <c r="J103" s="550"/>
      <c r="K103" s="530" t="s">
        <v>1174</v>
      </c>
      <c r="L103" s="551" t="s">
        <v>75</v>
      </c>
      <c r="M103" s="552" t="s">
        <v>1175</v>
      </c>
      <c r="N103" s="553" t="s">
        <v>1132</v>
      </c>
      <c r="O103" s="547">
        <v>1</v>
      </c>
      <c r="P103" s="547">
        <v>7</v>
      </c>
      <c r="Q103" s="547"/>
      <c r="R103" s="547"/>
      <c r="S103" s="547"/>
      <c r="T103" s="547" t="s">
        <v>1108</v>
      </c>
      <c r="U103" s="547" t="s">
        <v>1109</v>
      </c>
      <c r="V103" s="341" t="s">
        <v>1110</v>
      </c>
      <c r="W103" s="547">
        <v>6</v>
      </c>
      <c r="X103" s="547"/>
      <c r="Y103" s="341" t="s">
        <v>1104</v>
      </c>
      <c r="Z103" s="547"/>
      <c r="AA103" s="57"/>
      <c r="AB103" s="57"/>
      <c r="AC103" s="57"/>
      <c r="AD103" s="57"/>
      <c r="AE103" s="57"/>
      <c r="AF103" s="57"/>
      <c r="AG103" s="57"/>
      <c r="AH103" s="57"/>
      <c r="AI103" s="57"/>
      <c r="AJ103" s="57"/>
      <c r="AK103" s="57"/>
      <c r="AL103" s="57"/>
      <c r="AM103" s="57"/>
      <c r="AN103" s="57"/>
    </row>
    <row r="104" spans="1:40" s="559" customFormat="1" ht="29.25">
      <c r="A104" s="126"/>
      <c r="B104" s="556" t="s">
        <v>368</v>
      </c>
      <c r="C104" s="557" t="s">
        <v>1176</v>
      </c>
      <c r="D104" s="558" t="s">
        <v>891</v>
      </c>
      <c r="E104" s="547">
        <v>1</v>
      </c>
      <c r="F104" s="169" t="str">
        <f>""&amp;Table12[[#This Row],[TTM Stage]]&amp;Table12[[#This Row],[Task No.]]&amp;"-"&amp;Table12[[#This Row],[Type of activity]]&amp;"-"&amp;Table12[[#This Row],[TargetGroup]]</f>
        <v>PC1-DN2-A-Children</v>
      </c>
      <c r="G104" s="123" t="s">
        <v>892</v>
      </c>
      <c r="H104" s="123"/>
      <c r="I104" s="124"/>
      <c r="J104" s="315"/>
      <c r="K104" s="371" t="s">
        <v>1177</v>
      </c>
      <c r="L104" s="551" t="s">
        <v>75</v>
      </c>
      <c r="M104" s="694" t="s">
        <v>1178</v>
      </c>
      <c r="N104" s="341" t="s">
        <v>1084</v>
      </c>
      <c r="O104" s="122">
        <v>1</v>
      </c>
      <c r="P104" s="122">
        <v>1</v>
      </c>
      <c r="Q104" s="122"/>
      <c r="R104" s="122"/>
      <c r="S104" s="122"/>
      <c r="T104" s="547" t="s">
        <v>1089</v>
      </c>
      <c r="U104" s="547" t="s">
        <v>1090</v>
      </c>
      <c r="V104" s="547" t="s">
        <v>1091</v>
      </c>
      <c r="W104" s="547" t="s">
        <v>1092</v>
      </c>
      <c r="X104" s="547"/>
      <c r="Y104" s="547" t="s">
        <v>1085</v>
      </c>
      <c r="Z104" s="126"/>
      <c r="AA104" s="57"/>
      <c r="AB104" s="57"/>
      <c r="AC104" s="57"/>
      <c r="AD104" s="57"/>
      <c r="AE104" s="57"/>
      <c r="AF104" s="57"/>
      <c r="AG104" s="57"/>
      <c r="AH104" s="57"/>
      <c r="AI104" s="57"/>
      <c r="AJ104" s="57"/>
      <c r="AK104" s="57"/>
      <c r="AL104" s="57"/>
      <c r="AM104" s="57"/>
      <c r="AN104" s="57"/>
    </row>
    <row r="105" spans="1:40" s="559" customFormat="1" ht="43.5">
      <c r="A105" s="126"/>
      <c r="B105" s="556" t="s">
        <v>368</v>
      </c>
      <c r="C105" s="557" t="s">
        <v>1176</v>
      </c>
      <c r="D105" s="558" t="s">
        <v>891</v>
      </c>
      <c r="E105" s="547">
        <v>2</v>
      </c>
      <c r="F105" s="169" t="str">
        <f>""&amp;Table12[[#This Row],[TTM Stage]]&amp;Table12[[#This Row],[Task No.]]&amp;"-"&amp;Table12[[#This Row],[Type of activity]]&amp;"-"&amp;Table12[[#This Row],[TargetGroup]]</f>
        <v>PC2-DN2-A-Children</v>
      </c>
      <c r="G105" s="123" t="s">
        <v>900</v>
      </c>
      <c r="H105" s="123"/>
      <c r="I105" s="124"/>
      <c r="J105" s="315"/>
      <c r="K105" s="371" t="s">
        <v>1179</v>
      </c>
      <c r="L105" s="551" t="s">
        <v>75</v>
      </c>
      <c r="M105" s="125" t="s">
        <v>1180</v>
      </c>
      <c r="N105" s="125"/>
      <c r="O105" s="122">
        <v>1</v>
      </c>
      <c r="P105" s="122">
        <v>1</v>
      </c>
      <c r="Q105" s="122"/>
      <c r="R105" s="122"/>
      <c r="S105" s="122"/>
      <c r="T105" s="122"/>
      <c r="U105" s="122"/>
      <c r="V105" s="122"/>
      <c r="W105" s="122"/>
      <c r="X105" s="122"/>
      <c r="Y105" s="122" t="s">
        <v>1085</v>
      </c>
      <c r="Z105" s="126"/>
      <c r="AA105" s="57"/>
      <c r="AB105" s="57"/>
      <c r="AC105" s="57"/>
      <c r="AD105" s="57"/>
      <c r="AE105" s="57"/>
      <c r="AF105" s="57"/>
      <c r="AG105" s="57"/>
      <c r="AH105" s="57"/>
      <c r="AI105" s="57"/>
      <c r="AJ105" s="57"/>
      <c r="AK105" s="57"/>
      <c r="AL105" s="57"/>
      <c r="AM105" s="57"/>
      <c r="AN105" s="57"/>
    </row>
    <row r="106" spans="1:40" s="543" customFormat="1" ht="57.75">
      <c r="A106" s="115"/>
      <c r="B106" s="265" t="s">
        <v>368</v>
      </c>
      <c r="C106" s="266" t="s">
        <v>1176</v>
      </c>
      <c r="D106" s="237" t="s">
        <v>899</v>
      </c>
      <c r="E106" s="237">
        <v>1</v>
      </c>
      <c r="F106" s="168" t="str">
        <f>""&amp;Table12[[#This Row],[TTM Stage]]&amp;Table12[[#This Row],[Task No.]]&amp;"-"&amp;Table12[[#This Row],[Type of activity]]&amp;"-"&amp;Table12[[#This Row],[TargetGroup]]</f>
        <v>C1-DN2-A-Children</v>
      </c>
      <c r="G106" s="112" t="s">
        <v>984</v>
      </c>
      <c r="H106" s="112"/>
      <c r="I106" s="113"/>
      <c r="J106" s="259"/>
      <c r="K106" s="519" t="s">
        <v>1181</v>
      </c>
      <c r="L106" s="372" t="s">
        <v>75</v>
      </c>
      <c r="M106" s="114" t="s">
        <v>1182</v>
      </c>
      <c r="N106" s="255" t="s">
        <v>1017</v>
      </c>
      <c r="O106" s="108">
        <v>1</v>
      </c>
      <c r="P106" s="108">
        <v>1</v>
      </c>
      <c r="Q106" s="108" t="s">
        <v>907</v>
      </c>
      <c r="R106" s="108"/>
      <c r="S106" s="108"/>
      <c r="T106" s="108" t="s">
        <v>1089</v>
      </c>
      <c r="U106" s="108"/>
      <c r="V106" s="108"/>
      <c r="W106" s="108"/>
      <c r="X106" s="108"/>
      <c r="Y106" s="108" t="s">
        <v>1085</v>
      </c>
      <c r="Z106" s="115"/>
      <c r="AA106" s="41"/>
      <c r="AB106" s="41"/>
      <c r="AC106" s="41"/>
      <c r="AD106" s="41"/>
      <c r="AE106" s="41"/>
      <c r="AF106" s="41"/>
      <c r="AG106" s="41"/>
      <c r="AH106" s="41"/>
      <c r="AI106" s="41"/>
      <c r="AJ106" s="41"/>
      <c r="AK106" s="41"/>
      <c r="AL106" s="41"/>
      <c r="AM106" s="41"/>
      <c r="AN106" s="41"/>
    </row>
    <row r="107" spans="1:40" ht="72.75">
      <c r="A107" s="147"/>
      <c r="B107" s="554" t="s">
        <v>368</v>
      </c>
      <c r="C107" s="555" t="s">
        <v>1176</v>
      </c>
      <c r="D107" s="490" t="s">
        <v>899</v>
      </c>
      <c r="E107" s="490">
        <v>2</v>
      </c>
      <c r="F107" s="522" t="str">
        <f>""&amp;Table12[[#This Row],[TTM Stage]]&amp;Table12[[#This Row],[Task No.]]&amp;"-"&amp;Table12[[#This Row],[Type of activity]]&amp;"-"&amp;Table12[[#This Row],[TargetGroup]]</f>
        <v>C2-DN2-A-Children</v>
      </c>
      <c r="G107" s="130" t="s">
        <v>900</v>
      </c>
      <c r="H107" s="130"/>
      <c r="I107" s="131"/>
      <c r="J107" s="489"/>
      <c r="K107" s="533" t="s">
        <v>1183</v>
      </c>
      <c r="L107" s="254" t="s">
        <v>75</v>
      </c>
      <c r="M107" s="132" t="s">
        <v>1184</v>
      </c>
      <c r="N107" s="132"/>
      <c r="O107" s="129">
        <v>1</v>
      </c>
      <c r="P107" s="129">
        <v>1</v>
      </c>
      <c r="Q107" s="129"/>
      <c r="R107" s="129"/>
      <c r="S107" s="129"/>
      <c r="T107" s="129"/>
      <c r="U107" s="129"/>
      <c r="V107" s="129"/>
      <c r="W107" s="129"/>
      <c r="X107" s="129"/>
      <c r="Y107" s="129" t="s">
        <v>1085</v>
      </c>
      <c r="Z107" s="133"/>
      <c r="AA107" s="39"/>
      <c r="AB107" s="39"/>
      <c r="AC107" s="39"/>
      <c r="AD107" s="39"/>
      <c r="AE107" s="39"/>
      <c r="AF107" s="39"/>
      <c r="AG107" s="39"/>
      <c r="AH107" s="39"/>
      <c r="AI107" s="39"/>
      <c r="AJ107" s="39"/>
      <c r="AK107" s="39"/>
      <c r="AL107" s="39"/>
      <c r="AM107" s="39"/>
      <c r="AN107" s="39"/>
    </row>
    <row r="108" spans="1:40" ht="57.75">
      <c r="A108" s="147"/>
      <c r="B108" s="556" t="s">
        <v>368</v>
      </c>
      <c r="C108" s="557" t="s">
        <v>1176</v>
      </c>
      <c r="D108" s="561" t="s">
        <v>908</v>
      </c>
      <c r="E108" s="547">
        <v>1</v>
      </c>
      <c r="F108" s="169" t="str">
        <f>""&amp;Table12[[#This Row],[TTM Stage]]&amp;Table12[[#This Row],[Task No.]]&amp;"-"&amp;Table12[[#This Row],[Type of activity]]&amp;"-"&amp;Table12[[#This Row],[TargetGroup]]</f>
        <v>P1-DN2-A-Children</v>
      </c>
      <c r="G108" s="123" t="s">
        <v>984</v>
      </c>
      <c r="H108" s="123"/>
      <c r="I108" s="124"/>
      <c r="J108" s="315"/>
      <c r="K108" s="316" t="s">
        <v>1185</v>
      </c>
      <c r="L108" s="551" t="s">
        <v>75</v>
      </c>
      <c r="M108" s="457" t="s">
        <v>1186</v>
      </c>
      <c r="N108" s="553" t="s">
        <v>1017</v>
      </c>
      <c r="O108" s="122">
        <v>1</v>
      </c>
      <c r="P108" s="122">
        <v>1</v>
      </c>
      <c r="Q108" s="122" t="s">
        <v>907</v>
      </c>
      <c r="R108" s="122"/>
      <c r="S108" s="122"/>
      <c r="T108" s="122" t="s">
        <v>1089</v>
      </c>
      <c r="U108" s="122"/>
      <c r="V108" s="122"/>
      <c r="W108" s="122"/>
      <c r="X108" s="122"/>
      <c r="Y108" s="122" t="s">
        <v>1085</v>
      </c>
      <c r="Z108" s="126"/>
      <c r="AA108" s="57"/>
      <c r="AB108" s="57"/>
      <c r="AC108" s="57"/>
      <c r="AD108" s="57"/>
      <c r="AE108" s="57"/>
      <c r="AF108" s="57"/>
      <c r="AG108" s="57"/>
      <c r="AH108" s="57"/>
      <c r="AI108" s="57"/>
      <c r="AJ108" s="57"/>
      <c r="AK108" s="57"/>
      <c r="AL108" s="57"/>
      <c r="AM108" s="57"/>
      <c r="AN108" s="57"/>
    </row>
    <row r="109" spans="1:40" s="559" customFormat="1" ht="144.75">
      <c r="A109" s="126"/>
      <c r="B109" s="556" t="s">
        <v>368</v>
      </c>
      <c r="C109" s="557" t="s">
        <v>1176</v>
      </c>
      <c r="D109" s="561" t="s">
        <v>908</v>
      </c>
      <c r="E109" s="547">
        <v>2</v>
      </c>
      <c r="F109" s="169" t="str">
        <f>""&amp;Table12[[#This Row],[TTM Stage]]&amp;Table12[[#This Row],[Task No.]]&amp;"-"&amp;Table12[[#This Row],[Type of activity]]&amp;"-"&amp;Table12[[#This Row],[TargetGroup]]</f>
        <v>P2-DN2-A-Children</v>
      </c>
      <c r="G109" s="123" t="s">
        <v>914</v>
      </c>
      <c r="H109" s="123"/>
      <c r="I109" s="549" t="s">
        <v>1150</v>
      </c>
      <c r="J109" s="315"/>
      <c r="K109" s="371" t="s">
        <v>1187</v>
      </c>
      <c r="L109" s="551" t="s">
        <v>75</v>
      </c>
      <c r="M109" s="551" t="s">
        <v>1188</v>
      </c>
      <c r="N109" s="567" t="s">
        <v>1189</v>
      </c>
      <c r="O109" s="122">
        <v>1</v>
      </c>
      <c r="P109" s="122">
        <v>1</v>
      </c>
      <c r="Q109" s="122"/>
      <c r="R109" s="122"/>
      <c r="S109" s="122"/>
      <c r="T109" s="547" t="s">
        <v>1108</v>
      </c>
      <c r="U109" s="547" t="s">
        <v>1109</v>
      </c>
      <c r="V109" s="341" t="s">
        <v>1110</v>
      </c>
      <c r="W109" s="547">
        <v>1</v>
      </c>
      <c r="X109" s="547"/>
      <c r="Y109" s="341" t="s">
        <v>1104</v>
      </c>
      <c r="Z109" s="126"/>
      <c r="AA109" s="57"/>
      <c r="AB109" s="57"/>
      <c r="AC109" s="57"/>
      <c r="AD109" s="57"/>
      <c r="AE109" s="57"/>
      <c r="AF109" s="57"/>
      <c r="AG109" s="57"/>
      <c r="AH109" s="57"/>
      <c r="AI109" s="57"/>
      <c r="AJ109" s="57"/>
      <c r="AK109" s="57"/>
      <c r="AL109" s="57"/>
      <c r="AM109" s="57"/>
      <c r="AN109" s="57"/>
    </row>
    <row r="110" spans="1:40" s="559" customFormat="1" ht="57.75">
      <c r="A110" s="126"/>
      <c r="B110" s="556" t="s">
        <v>368</v>
      </c>
      <c r="C110" s="557" t="s">
        <v>1176</v>
      </c>
      <c r="D110" s="569" t="s">
        <v>921</v>
      </c>
      <c r="E110" s="547">
        <v>1</v>
      </c>
      <c r="F110" s="169" t="str">
        <f>""&amp;Table12[[#This Row],[TTM Stage]]&amp;Table12[[#This Row],[Task No.]]&amp;"-"&amp;Table12[[#This Row],[Type of activity]]&amp;"-"&amp;Table12[[#This Row],[TargetGroup]]</f>
        <v>A1-DN2-A-Children</v>
      </c>
      <c r="G110" s="123" t="s">
        <v>914</v>
      </c>
      <c r="H110" s="123"/>
      <c r="I110" s="549" t="s">
        <v>1150</v>
      </c>
      <c r="J110" s="315"/>
      <c r="K110" s="371" t="s">
        <v>1190</v>
      </c>
      <c r="L110" s="551" t="s">
        <v>75</v>
      </c>
      <c r="M110" s="565" t="s">
        <v>1191</v>
      </c>
      <c r="N110" s="553" t="s">
        <v>1192</v>
      </c>
      <c r="O110" s="122">
        <v>1</v>
      </c>
      <c r="P110" s="122">
        <v>7</v>
      </c>
      <c r="Q110" s="122"/>
      <c r="R110" s="122"/>
      <c r="S110" s="122"/>
      <c r="T110" s="570" t="s">
        <v>1114</v>
      </c>
      <c r="U110" s="571" t="s">
        <v>1193</v>
      </c>
      <c r="V110" s="571" t="s">
        <v>1116</v>
      </c>
      <c r="W110" s="570" t="s">
        <v>1117</v>
      </c>
      <c r="X110" s="570"/>
      <c r="Y110" s="571" t="s">
        <v>1104</v>
      </c>
      <c r="Z110" s="126"/>
      <c r="AA110" s="57"/>
      <c r="AB110" s="57"/>
      <c r="AC110" s="57"/>
      <c r="AD110" s="57"/>
      <c r="AE110" s="57"/>
      <c r="AF110" s="57"/>
      <c r="AG110" s="57"/>
      <c r="AH110" s="57"/>
      <c r="AI110" s="57"/>
      <c r="AJ110" s="57"/>
      <c r="AK110" s="57"/>
      <c r="AL110" s="57"/>
      <c r="AM110" s="57"/>
      <c r="AN110" s="57"/>
    </row>
    <row r="111" spans="1:40" s="559" customFormat="1" ht="57.75">
      <c r="A111" s="126"/>
      <c r="B111" s="556" t="s">
        <v>368</v>
      </c>
      <c r="C111" s="557" t="s">
        <v>1176</v>
      </c>
      <c r="D111" s="569" t="s">
        <v>921</v>
      </c>
      <c r="E111" s="547">
        <v>2</v>
      </c>
      <c r="F111" s="169" t="str">
        <f>""&amp;Table12[[#This Row],[TTM Stage]]&amp;Table12[[#This Row],[Task No.]]&amp;"-"&amp;Table12[[#This Row],[Type of activity]]&amp;"-"&amp;Table12[[#This Row],[TargetGroup]]</f>
        <v>A2-DN2-A-Children</v>
      </c>
      <c r="G111" s="123" t="s">
        <v>914</v>
      </c>
      <c r="H111" s="123"/>
      <c r="I111" s="549" t="s">
        <v>1150</v>
      </c>
      <c r="J111" s="315"/>
      <c r="K111" s="371" t="s">
        <v>1194</v>
      </c>
      <c r="L111" s="551" t="s">
        <v>75</v>
      </c>
      <c r="M111" s="565" t="s">
        <v>1195</v>
      </c>
      <c r="N111" s="553" t="s">
        <v>1196</v>
      </c>
      <c r="O111" s="122">
        <v>1</v>
      </c>
      <c r="P111" s="122">
        <v>7</v>
      </c>
      <c r="Q111" s="122"/>
      <c r="R111" s="122"/>
      <c r="S111" s="122"/>
      <c r="T111" s="570" t="s">
        <v>1114</v>
      </c>
      <c r="U111" s="571" t="s">
        <v>1193</v>
      </c>
      <c r="V111" s="571" t="s">
        <v>1116</v>
      </c>
      <c r="W111" s="570" t="s">
        <v>1121</v>
      </c>
      <c r="X111" s="570"/>
      <c r="Y111" s="571" t="s">
        <v>1104</v>
      </c>
      <c r="Z111" s="126"/>
      <c r="AA111" s="57"/>
      <c r="AB111" s="57"/>
      <c r="AC111" s="57"/>
      <c r="AD111" s="57"/>
      <c r="AE111" s="57"/>
      <c r="AF111" s="57"/>
      <c r="AG111" s="57"/>
      <c r="AH111" s="57"/>
      <c r="AI111" s="57"/>
      <c r="AJ111" s="57"/>
      <c r="AK111" s="57"/>
      <c r="AL111" s="57"/>
      <c r="AM111" s="57"/>
      <c r="AN111" s="57"/>
    </row>
    <row r="112" spans="1:40" s="559" customFormat="1" ht="72.75">
      <c r="A112" s="126"/>
      <c r="B112" s="556" t="s">
        <v>368</v>
      </c>
      <c r="C112" s="557" t="s">
        <v>1176</v>
      </c>
      <c r="D112" s="569" t="s">
        <v>921</v>
      </c>
      <c r="E112" s="547">
        <v>3</v>
      </c>
      <c r="F112" s="169" t="str">
        <f>""&amp;Table12[[#This Row],[TTM Stage]]&amp;Table12[[#This Row],[Task No.]]&amp;"-"&amp;Table12[[#This Row],[Type of activity]]&amp;"-"&amp;Table12[[#This Row],[TargetGroup]]</f>
        <v>A3-DN2-A-Children</v>
      </c>
      <c r="G112" s="123" t="s">
        <v>914</v>
      </c>
      <c r="H112" s="123"/>
      <c r="I112" s="549" t="s">
        <v>1150</v>
      </c>
      <c r="J112" s="315"/>
      <c r="K112" s="371" t="s">
        <v>1197</v>
      </c>
      <c r="L112" s="551" t="s">
        <v>75</v>
      </c>
      <c r="M112" s="565" t="s">
        <v>1198</v>
      </c>
      <c r="N112" s="553" t="s">
        <v>1199</v>
      </c>
      <c r="O112" s="122">
        <v>1</v>
      </c>
      <c r="P112" s="122">
        <v>7</v>
      </c>
      <c r="Q112" s="122"/>
      <c r="R112" s="122"/>
      <c r="S112" s="122"/>
      <c r="T112" s="570" t="s">
        <v>1114</v>
      </c>
      <c r="U112" s="571" t="s">
        <v>1193</v>
      </c>
      <c r="V112" s="571" t="s">
        <v>1116</v>
      </c>
      <c r="W112" s="570" t="s">
        <v>1125</v>
      </c>
      <c r="X112" s="570"/>
      <c r="Y112" s="571" t="s">
        <v>1104</v>
      </c>
      <c r="Z112" s="126"/>
      <c r="AA112" s="57"/>
      <c r="AB112" s="57"/>
      <c r="AC112" s="57"/>
      <c r="AD112" s="57"/>
      <c r="AE112" s="57"/>
      <c r="AF112" s="57"/>
      <c r="AG112" s="57"/>
      <c r="AH112" s="57"/>
      <c r="AI112" s="57"/>
      <c r="AJ112" s="57"/>
      <c r="AK112" s="57"/>
      <c r="AL112" s="57"/>
      <c r="AM112" s="57"/>
      <c r="AN112" s="57"/>
    </row>
    <row r="113" spans="1:40" s="559" customFormat="1" ht="57.75">
      <c r="A113" s="126"/>
      <c r="B113" s="556" t="s">
        <v>368</v>
      </c>
      <c r="C113" s="557" t="s">
        <v>1176</v>
      </c>
      <c r="D113" s="569" t="s">
        <v>921</v>
      </c>
      <c r="E113" s="547">
        <v>4</v>
      </c>
      <c r="F113" s="169" t="str">
        <f>""&amp;Table12[[#This Row],[TTM Stage]]&amp;Table12[[#This Row],[Task No.]]&amp;"-"&amp;Table12[[#This Row],[Type of activity]]&amp;"-"&amp;Table12[[#This Row],[TargetGroup]]</f>
        <v>A4-DN2-A-Children</v>
      </c>
      <c r="G113" s="123" t="s">
        <v>914</v>
      </c>
      <c r="H113" s="123"/>
      <c r="I113" s="549" t="s">
        <v>1150</v>
      </c>
      <c r="J113" s="315"/>
      <c r="K113" s="371" t="s">
        <v>1200</v>
      </c>
      <c r="L113" s="551" t="s">
        <v>75</v>
      </c>
      <c r="M113" s="565" t="s">
        <v>1201</v>
      </c>
      <c r="N113" s="553" t="s">
        <v>1202</v>
      </c>
      <c r="O113" s="122">
        <v>1</v>
      </c>
      <c r="P113" s="122">
        <v>7</v>
      </c>
      <c r="Q113" s="122"/>
      <c r="R113" s="122"/>
      <c r="S113" s="122"/>
      <c r="T113" s="547" t="s">
        <v>1114</v>
      </c>
      <c r="U113" s="341" t="s">
        <v>1193</v>
      </c>
      <c r="V113" s="341" t="s">
        <v>1116</v>
      </c>
      <c r="W113" s="547" t="s">
        <v>1129</v>
      </c>
      <c r="X113" s="547"/>
      <c r="Y113" s="341" t="s">
        <v>1104</v>
      </c>
      <c r="Z113" s="126"/>
      <c r="AA113" s="57"/>
      <c r="AB113" s="57"/>
      <c r="AC113" s="57"/>
      <c r="AD113" s="57"/>
      <c r="AE113" s="57"/>
      <c r="AF113" s="57"/>
      <c r="AG113" s="57"/>
      <c r="AH113" s="57"/>
      <c r="AI113" s="57"/>
      <c r="AJ113" s="57"/>
      <c r="AK113" s="57"/>
      <c r="AL113" s="57"/>
      <c r="AM113" s="57"/>
      <c r="AN113" s="57"/>
    </row>
    <row r="114" spans="1:40" s="559" customFormat="1" ht="43.5">
      <c r="A114" s="126"/>
      <c r="B114" s="556" t="s">
        <v>368</v>
      </c>
      <c r="C114" s="557" t="s">
        <v>1176</v>
      </c>
      <c r="D114" s="546" t="s">
        <v>933</v>
      </c>
      <c r="E114" s="547">
        <v>1</v>
      </c>
      <c r="F114" s="169" t="str">
        <f>""&amp;Table12[[#This Row],[TTM Stage]]&amp;Table12[[#This Row],[Task No.]]&amp;"-"&amp;Table12[[#This Row],[Type of activity]]&amp;"-"&amp;Table12[[#This Row],[TargetGroup]]</f>
        <v>M1-DN2-A-Children</v>
      </c>
      <c r="G114" s="123" t="s">
        <v>914</v>
      </c>
      <c r="H114" s="123"/>
      <c r="I114" s="549" t="s">
        <v>1150</v>
      </c>
      <c r="J114" s="315"/>
      <c r="K114" s="371" t="s">
        <v>1203</v>
      </c>
      <c r="L114" s="551" t="s">
        <v>75</v>
      </c>
      <c r="M114" s="125" t="s">
        <v>1204</v>
      </c>
      <c r="N114" s="553" t="s">
        <v>1132</v>
      </c>
      <c r="O114" s="122">
        <v>1</v>
      </c>
      <c r="P114" s="122">
        <v>7</v>
      </c>
      <c r="Q114" s="122"/>
      <c r="R114" s="122"/>
      <c r="S114" s="122"/>
      <c r="T114" s="122" t="s">
        <v>1205</v>
      </c>
      <c r="U114" s="122" t="s">
        <v>1206</v>
      </c>
      <c r="V114" s="122" t="s">
        <v>1207</v>
      </c>
      <c r="W114" s="122">
        <v>1</v>
      </c>
      <c r="X114" s="122"/>
      <c r="Y114" s="341" t="s">
        <v>1104</v>
      </c>
      <c r="Z114" s="126"/>
      <c r="AA114" s="57"/>
      <c r="AB114" s="57"/>
      <c r="AC114" s="57"/>
      <c r="AD114" s="57"/>
      <c r="AE114" s="57"/>
      <c r="AF114" s="57"/>
      <c r="AG114" s="57"/>
      <c r="AH114" s="57"/>
      <c r="AI114" s="57"/>
      <c r="AJ114" s="57"/>
      <c r="AK114" s="57"/>
      <c r="AL114" s="57"/>
      <c r="AM114" s="57"/>
      <c r="AN114" s="57"/>
    </row>
    <row r="115" spans="1:40" s="559" customFormat="1" ht="29.25">
      <c r="A115" s="126"/>
      <c r="B115" s="556" t="s">
        <v>368</v>
      </c>
      <c r="C115" s="557" t="s">
        <v>1176</v>
      </c>
      <c r="D115" s="546" t="s">
        <v>933</v>
      </c>
      <c r="E115" s="547">
        <v>2</v>
      </c>
      <c r="F115" s="169" t="str">
        <f>""&amp;Table12[[#This Row],[TTM Stage]]&amp;Table12[[#This Row],[Task No.]]&amp;"-"&amp;Table12[[#This Row],[Type of activity]]&amp;"-"&amp;Table12[[#This Row],[TargetGroup]]</f>
        <v>M2-DN2-A-Children</v>
      </c>
      <c r="G115" s="123" t="s">
        <v>914</v>
      </c>
      <c r="H115" s="123"/>
      <c r="I115" s="549" t="s">
        <v>1150</v>
      </c>
      <c r="J115" s="315"/>
      <c r="K115" s="581" t="s">
        <v>1208</v>
      </c>
      <c r="L115" s="551" t="s">
        <v>75</v>
      </c>
      <c r="M115" s="582" t="s">
        <v>1209</v>
      </c>
      <c r="N115" s="553" t="s">
        <v>1132</v>
      </c>
      <c r="O115" s="122">
        <v>1</v>
      </c>
      <c r="P115" s="122">
        <v>7</v>
      </c>
      <c r="Q115" s="122"/>
      <c r="R115" s="122"/>
      <c r="S115" s="122"/>
      <c r="T115" s="122" t="s">
        <v>1205</v>
      </c>
      <c r="U115" s="122" t="s">
        <v>1206</v>
      </c>
      <c r="V115" s="122" t="s">
        <v>1207</v>
      </c>
      <c r="W115" s="122">
        <v>2</v>
      </c>
      <c r="X115" s="122"/>
      <c r="Y115" s="341" t="s">
        <v>1104</v>
      </c>
      <c r="Z115" s="126"/>
      <c r="AA115" s="57"/>
      <c r="AB115" s="57"/>
      <c r="AC115" s="57"/>
      <c r="AD115" s="57"/>
      <c r="AE115" s="57"/>
      <c r="AF115" s="57"/>
      <c r="AG115" s="57"/>
      <c r="AH115" s="57"/>
      <c r="AI115" s="57"/>
      <c r="AJ115" s="57"/>
      <c r="AK115" s="57"/>
      <c r="AL115" s="57"/>
      <c r="AM115" s="57"/>
      <c r="AN115" s="57"/>
    </row>
    <row r="116" spans="1:40" s="543" customFormat="1" ht="72.75">
      <c r="A116" s="115"/>
      <c r="B116" s="265" t="s">
        <v>368</v>
      </c>
      <c r="C116" s="266" t="s">
        <v>1176</v>
      </c>
      <c r="D116" s="257" t="s">
        <v>933</v>
      </c>
      <c r="E116" s="237">
        <v>3</v>
      </c>
      <c r="F116" s="168" t="str">
        <f>""&amp;Table12[[#This Row],[TTM Stage]]&amp;Table12[[#This Row],[Task No.]]&amp;"-"&amp;Table12[[#This Row],[Type of activity]]&amp;"-"&amp;Table12[[#This Row],[TargetGroup]]</f>
        <v>M3-DN2-A-Children</v>
      </c>
      <c r="G116" s="112" t="s">
        <v>914</v>
      </c>
      <c r="H116" s="112"/>
      <c r="I116" s="238" t="s">
        <v>1150</v>
      </c>
      <c r="J116" s="259"/>
      <c r="K116" s="519" t="s">
        <v>1210</v>
      </c>
      <c r="L116" s="372" t="s">
        <v>75</v>
      </c>
      <c r="M116" s="564" t="s">
        <v>1211</v>
      </c>
      <c r="N116" s="255" t="s">
        <v>1212</v>
      </c>
      <c r="O116" s="108">
        <v>1</v>
      </c>
      <c r="P116" s="108">
        <v>7</v>
      </c>
      <c r="Q116" s="108"/>
      <c r="R116" s="108"/>
      <c r="S116" s="108"/>
      <c r="T116" s="108" t="s">
        <v>1205</v>
      </c>
      <c r="U116" s="108" t="s">
        <v>1206</v>
      </c>
      <c r="V116" s="108" t="s">
        <v>1207</v>
      </c>
      <c r="W116" s="108">
        <v>3</v>
      </c>
      <c r="X116" s="108"/>
      <c r="Y116" s="226" t="s">
        <v>1104</v>
      </c>
      <c r="Z116" s="115"/>
      <c r="AA116" s="41"/>
      <c r="AB116" s="41"/>
      <c r="AC116" s="41"/>
      <c r="AD116" s="41"/>
      <c r="AE116" s="41"/>
      <c r="AF116" s="41"/>
      <c r="AG116" s="41"/>
      <c r="AH116" s="41"/>
      <c r="AI116" s="41"/>
      <c r="AJ116" s="41"/>
      <c r="AK116" s="41"/>
      <c r="AL116" s="41"/>
      <c r="AM116" s="41"/>
      <c r="AN116" s="41"/>
    </row>
    <row r="117" spans="1:40" s="486" customFormat="1" ht="43.5">
      <c r="A117" s="133"/>
      <c r="B117" s="554" t="s">
        <v>368</v>
      </c>
      <c r="C117" s="555" t="s">
        <v>1176</v>
      </c>
      <c r="D117" s="508" t="s">
        <v>933</v>
      </c>
      <c r="E117" s="490">
        <v>4</v>
      </c>
      <c r="F117" s="526" t="str">
        <f>""&amp;Table12[[#This Row],[TTM Stage]]&amp;Table12[[#This Row],[Task No.]]&amp;"-"&amp;Table12[[#This Row],[Type of activity]]&amp;"-"&amp;Table12[[#This Row],[TargetGroup]]</f>
        <v>M4-DN2-A-Children</v>
      </c>
      <c r="G117" s="130" t="s">
        <v>914</v>
      </c>
      <c r="H117" s="130"/>
      <c r="I117" s="524" t="s">
        <v>1150</v>
      </c>
      <c r="J117" s="489"/>
      <c r="K117" s="531" t="s">
        <v>1213</v>
      </c>
      <c r="L117" s="254" t="s">
        <v>75</v>
      </c>
      <c r="M117" s="267" t="s">
        <v>1214</v>
      </c>
      <c r="N117" s="560" t="s">
        <v>1132</v>
      </c>
      <c r="O117" s="129">
        <v>1</v>
      </c>
      <c r="P117" s="129">
        <v>7</v>
      </c>
      <c r="Q117" s="129"/>
      <c r="R117" s="129"/>
      <c r="S117" s="129"/>
      <c r="T117" s="129" t="s">
        <v>1205</v>
      </c>
      <c r="U117" s="129" t="s">
        <v>1206</v>
      </c>
      <c r="V117" s="129" t="s">
        <v>1207</v>
      </c>
      <c r="W117" s="129">
        <v>5</v>
      </c>
      <c r="X117" s="129"/>
      <c r="Y117" s="224" t="s">
        <v>1104</v>
      </c>
      <c r="Z117" s="133"/>
      <c r="AA117" s="39"/>
      <c r="AB117" s="39"/>
      <c r="AC117" s="39"/>
      <c r="AD117" s="39"/>
      <c r="AE117" s="39"/>
      <c r="AF117" s="39"/>
      <c r="AG117" s="39"/>
      <c r="AH117" s="39"/>
      <c r="AI117" s="39"/>
      <c r="AJ117" s="39"/>
      <c r="AK117" s="39"/>
      <c r="AL117" s="39"/>
      <c r="AM117" s="39"/>
      <c r="AN117" s="39"/>
    </row>
    <row r="118" spans="1:40" s="486" customFormat="1" ht="43.5">
      <c r="A118" s="133"/>
      <c r="B118" s="562" t="s">
        <v>385</v>
      </c>
      <c r="C118" s="563" t="s">
        <v>1215</v>
      </c>
      <c r="D118" s="487" t="s">
        <v>891</v>
      </c>
      <c r="E118" s="490">
        <v>1</v>
      </c>
      <c r="F118" s="526" t="str">
        <f>""&amp;Table12[[#This Row],[TTM Stage]]&amp;Table12[[#This Row],[Task No.]]&amp;"-"&amp;Table12[[#This Row],[Type of activity]]&amp;"-"&amp;Table12[[#This Row],[TargetGroup]]</f>
        <v>PC1-DN3-A-Children</v>
      </c>
      <c r="G118" s="130" t="s">
        <v>892</v>
      </c>
      <c r="H118" s="130"/>
      <c r="I118" s="131"/>
      <c r="J118" s="489"/>
      <c r="K118" s="531" t="s">
        <v>1216</v>
      </c>
      <c r="L118" s="254" t="s">
        <v>75</v>
      </c>
      <c r="M118" s="721" t="s">
        <v>1217</v>
      </c>
      <c r="N118" s="224" t="s">
        <v>1084</v>
      </c>
      <c r="O118" s="129">
        <v>1</v>
      </c>
      <c r="P118" s="129">
        <v>1</v>
      </c>
      <c r="Q118" s="129"/>
      <c r="R118" s="129"/>
      <c r="S118" s="129"/>
      <c r="T118" s="490" t="s">
        <v>1089</v>
      </c>
      <c r="U118" s="490" t="s">
        <v>1090</v>
      </c>
      <c r="V118" s="490" t="s">
        <v>1091</v>
      </c>
      <c r="W118" s="490" t="s">
        <v>1092</v>
      </c>
      <c r="X118" s="490"/>
      <c r="Y118" s="490" t="s">
        <v>1085</v>
      </c>
      <c r="Z118" s="133"/>
      <c r="AA118" s="39"/>
      <c r="AB118" s="39"/>
      <c r="AC118" s="39"/>
      <c r="AD118" s="39"/>
      <c r="AE118" s="39"/>
      <c r="AF118" s="39"/>
      <c r="AG118" s="39"/>
      <c r="AH118" s="39"/>
      <c r="AI118" s="39"/>
      <c r="AJ118" s="39"/>
      <c r="AK118" s="39"/>
      <c r="AL118" s="39"/>
      <c r="AM118" s="39"/>
      <c r="AN118" s="39"/>
    </row>
    <row r="119" spans="1:40" ht="43.5">
      <c r="A119" s="147"/>
      <c r="B119" s="583" t="s">
        <v>385</v>
      </c>
      <c r="C119" s="584" t="s">
        <v>1215</v>
      </c>
      <c r="D119" s="585" t="s">
        <v>891</v>
      </c>
      <c r="E119" s="574">
        <v>2</v>
      </c>
      <c r="F119" s="522" t="str">
        <f>""&amp;Table12[[#This Row],[TTM Stage]]&amp;Table12[[#This Row],[Task No.]]&amp;"-"&amp;Table12[[#This Row],[Type of activity]]&amp;"-"&amp;Table12[[#This Row],[TargetGroup]]</f>
        <v>PC2-DN3-A-Children</v>
      </c>
      <c r="G119" s="575" t="s">
        <v>892</v>
      </c>
      <c r="H119" s="575"/>
      <c r="I119" s="586"/>
      <c r="J119" s="577"/>
      <c r="K119" s="533" t="s">
        <v>1218</v>
      </c>
      <c r="L119" s="239" t="s">
        <v>75</v>
      </c>
      <c r="M119" s="388" t="s">
        <v>1219</v>
      </c>
      <c r="N119" s="578" t="s">
        <v>1024</v>
      </c>
      <c r="O119" s="579">
        <v>1</v>
      </c>
      <c r="P119" s="579">
        <v>1</v>
      </c>
      <c r="Q119" s="579"/>
      <c r="R119" s="579" t="s">
        <v>907</v>
      </c>
      <c r="S119" s="579"/>
      <c r="T119" s="574" t="s">
        <v>1089</v>
      </c>
      <c r="U119" s="574" t="s">
        <v>1090</v>
      </c>
      <c r="V119" s="574" t="s">
        <v>1091</v>
      </c>
      <c r="W119" s="574" t="s">
        <v>1092</v>
      </c>
      <c r="X119" s="574"/>
      <c r="Y119" s="552" t="s">
        <v>1085</v>
      </c>
      <c r="Z119" s="566"/>
      <c r="AA119" s="580"/>
      <c r="AB119" s="580"/>
      <c r="AC119" s="580"/>
      <c r="AD119" s="580"/>
      <c r="AE119" s="580"/>
      <c r="AF119" s="580"/>
      <c r="AG119" s="580"/>
      <c r="AH119" s="580"/>
      <c r="AI119" s="580"/>
      <c r="AJ119" s="580"/>
      <c r="AK119" s="580"/>
      <c r="AL119" s="580"/>
      <c r="AM119" s="580"/>
      <c r="AN119" s="580"/>
    </row>
    <row r="120" spans="1:40" s="559" customFormat="1" ht="29.25">
      <c r="A120" s="126"/>
      <c r="B120" s="587" t="s">
        <v>385</v>
      </c>
      <c r="C120" s="588" t="s">
        <v>1215</v>
      </c>
      <c r="D120" s="547" t="s">
        <v>899</v>
      </c>
      <c r="E120" s="547">
        <v>1</v>
      </c>
      <c r="F120" s="169" t="str">
        <f>""&amp;Table12[[#This Row],[TTM Stage]]&amp;Table12[[#This Row],[Task No.]]&amp;"-"&amp;Table12[[#This Row],[Type of activity]]&amp;"-"&amp;Table12[[#This Row],[TargetGroup]]</f>
        <v>C1-DN3-A-Children</v>
      </c>
      <c r="G120" s="123" t="s">
        <v>900</v>
      </c>
      <c r="H120" s="123"/>
      <c r="I120" s="124"/>
      <c r="J120" s="315"/>
      <c r="K120" s="371" t="s">
        <v>1220</v>
      </c>
      <c r="L120" s="551" t="s">
        <v>75</v>
      </c>
      <c r="M120" s="589" t="s">
        <v>1221</v>
      </c>
      <c r="N120" s="125"/>
      <c r="O120" s="122">
        <v>1</v>
      </c>
      <c r="P120" s="122">
        <v>1</v>
      </c>
      <c r="Q120" s="122"/>
      <c r="R120" s="122"/>
      <c r="S120" s="122"/>
      <c r="T120" s="122"/>
      <c r="U120" s="122"/>
      <c r="V120" s="122"/>
      <c r="W120" s="122"/>
      <c r="X120" s="122"/>
      <c r="Y120" s="122"/>
      <c r="Z120" s="126"/>
      <c r="AA120" s="57"/>
      <c r="AB120" s="57"/>
      <c r="AC120" s="57"/>
      <c r="AD120" s="57"/>
      <c r="AE120" s="57"/>
      <c r="AF120" s="57"/>
      <c r="AG120" s="57"/>
      <c r="AH120" s="57"/>
      <c r="AI120" s="57"/>
      <c r="AJ120" s="57"/>
      <c r="AK120" s="57"/>
      <c r="AL120" s="57"/>
      <c r="AM120" s="57"/>
      <c r="AN120" s="57"/>
    </row>
    <row r="121" spans="1:40" s="559" customFormat="1" ht="72.75">
      <c r="A121" s="126"/>
      <c r="B121" s="587" t="s">
        <v>385</v>
      </c>
      <c r="C121" s="588" t="s">
        <v>1215</v>
      </c>
      <c r="D121" s="547" t="s">
        <v>899</v>
      </c>
      <c r="E121" s="547">
        <v>2</v>
      </c>
      <c r="F121" s="169" t="str">
        <f>""&amp;Table12[[#This Row],[TTM Stage]]&amp;Table12[[#This Row],[Task No.]]&amp;"-"&amp;Table12[[#This Row],[Type of activity]]&amp;"-"&amp;Table12[[#This Row],[TargetGroup]]</f>
        <v>C2-DN3-A-Children</v>
      </c>
      <c r="G121" s="123" t="s">
        <v>1222</v>
      </c>
      <c r="H121" s="123"/>
      <c r="I121" s="124"/>
      <c r="J121" s="315"/>
      <c r="K121" s="371" t="s">
        <v>1223</v>
      </c>
      <c r="L121" s="551" t="s">
        <v>75</v>
      </c>
      <c r="M121" s="125" t="s">
        <v>1224</v>
      </c>
      <c r="N121" s="125"/>
      <c r="O121" s="122">
        <v>1</v>
      </c>
      <c r="P121" s="122">
        <v>1</v>
      </c>
      <c r="Q121" s="122"/>
      <c r="R121" s="122"/>
      <c r="S121" s="589" t="s">
        <v>1225</v>
      </c>
      <c r="T121" s="122" t="s">
        <v>1226</v>
      </c>
      <c r="U121" s="122" t="s">
        <v>1227</v>
      </c>
      <c r="V121" s="122" t="s">
        <v>919</v>
      </c>
      <c r="W121" s="122">
        <v>30</v>
      </c>
      <c r="X121" s="122"/>
      <c r="Y121" s="122" t="s">
        <v>1085</v>
      </c>
      <c r="Z121" s="126"/>
      <c r="AA121" s="57"/>
      <c r="AB121" s="57"/>
      <c r="AC121" s="57"/>
      <c r="AD121" s="57"/>
      <c r="AE121" s="57"/>
      <c r="AF121" s="57"/>
      <c r="AG121" s="57"/>
      <c r="AH121" s="57"/>
      <c r="AI121" s="57"/>
      <c r="AJ121" s="57"/>
      <c r="AK121" s="57"/>
      <c r="AL121" s="57"/>
      <c r="AM121" s="57"/>
      <c r="AN121" s="57"/>
    </row>
    <row r="122" spans="1:40" s="559" customFormat="1" ht="245.25">
      <c r="A122" s="126"/>
      <c r="B122" s="587" t="s">
        <v>385</v>
      </c>
      <c r="C122" s="588" t="s">
        <v>1215</v>
      </c>
      <c r="D122" s="561" t="s">
        <v>908</v>
      </c>
      <c r="E122" s="547">
        <v>1</v>
      </c>
      <c r="F122" s="169" t="str">
        <f>""&amp;Table12[[#This Row],[TTM Stage]]&amp;Table12[[#This Row],[Task No.]]&amp;"-"&amp;Table12[[#This Row],[Type of activity]]&amp;"-"&amp;Table12[[#This Row],[TargetGroup]]</f>
        <v>P1-DN3-A-Children</v>
      </c>
      <c r="G122" s="123" t="s">
        <v>984</v>
      </c>
      <c r="H122" s="123"/>
      <c r="I122" s="124"/>
      <c r="J122" s="315"/>
      <c r="K122" s="371" t="s">
        <v>1228</v>
      </c>
      <c r="L122" s="551" t="s">
        <v>75</v>
      </c>
      <c r="M122" s="125" t="s">
        <v>1229</v>
      </c>
      <c r="N122" s="567" t="s">
        <v>1230</v>
      </c>
      <c r="O122" s="122">
        <v>1</v>
      </c>
      <c r="P122" s="122">
        <v>1</v>
      </c>
      <c r="Q122" s="122" t="s">
        <v>907</v>
      </c>
      <c r="R122" s="122"/>
      <c r="S122" s="122"/>
      <c r="T122" s="122" t="s">
        <v>1089</v>
      </c>
      <c r="U122" s="122"/>
      <c r="V122" s="122"/>
      <c r="W122" s="122"/>
      <c r="X122" s="122"/>
      <c r="Y122" s="122"/>
      <c r="Z122" s="126"/>
      <c r="AA122" s="57"/>
      <c r="AB122" s="57"/>
      <c r="AC122" s="57"/>
      <c r="AD122" s="57"/>
      <c r="AE122" s="57"/>
      <c r="AF122" s="57"/>
      <c r="AG122" s="57"/>
      <c r="AH122" s="57"/>
      <c r="AI122" s="57"/>
      <c r="AJ122" s="57"/>
      <c r="AK122" s="57"/>
      <c r="AL122" s="57"/>
      <c r="AM122" s="57"/>
      <c r="AN122" s="57"/>
    </row>
    <row r="123" spans="1:40" s="559" customFormat="1" ht="101.25">
      <c r="A123" s="126"/>
      <c r="B123" s="587" t="s">
        <v>385</v>
      </c>
      <c r="C123" s="588" t="s">
        <v>1215</v>
      </c>
      <c r="D123" s="561" t="s">
        <v>908</v>
      </c>
      <c r="E123" s="547">
        <v>2</v>
      </c>
      <c r="F123" s="169" t="str">
        <f>""&amp;Table12[[#This Row],[TTM Stage]]&amp;Table12[[#This Row],[Task No.]]&amp;"-"&amp;Table12[[#This Row],[Type of activity]]&amp;"-"&amp;Table12[[#This Row],[TargetGroup]]</f>
        <v>P2-DN3-A-Children</v>
      </c>
      <c r="G123" s="123" t="s">
        <v>914</v>
      </c>
      <c r="H123" s="123"/>
      <c r="I123" s="549" t="s">
        <v>1150</v>
      </c>
      <c r="J123" s="315"/>
      <c r="K123" s="371" t="s">
        <v>1231</v>
      </c>
      <c r="L123" s="551" t="s">
        <v>75</v>
      </c>
      <c r="M123" s="551" t="s">
        <v>1232</v>
      </c>
      <c r="N123" s="553" t="s">
        <v>1233</v>
      </c>
      <c r="O123" s="122">
        <v>1</v>
      </c>
      <c r="P123" s="122">
        <v>1</v>
      </c>
      <c r="Q123" s="122"/>
      <c r="R123" s="122"/>
      <c r="S123" s="122"/>
      <c r="T123" s="547" t="s">
        <v>1108</v>
      </c>
      <c r="U123" s="547" t="s">
        <v>1109</v>
      </c>
      <c r="V123" s="341" t="s">
        <v>1110</v>
      </c>
      <c r="W123" s="547">
        <v>1</v>
      </c>
      <c r="X123" s="547"/>
      <c r="Y123" s="341" t="s">
        <v>1104</v>
      </c>
      <c r="Z123" s="126"/>
      <c r="AA123" s="57"/>
      <c r="AB123" s="57"/>
      <c r="AC123" s="57"/>
      <c r="AD123" s="57"/>
      <c r="AE123" s="57"/>
      <c r="AF123" s="57"/>
      <c r="AG123" s="57"/>
      <c r="AH123" s="57"/>
      <c r="AI123" s="57"/>
      <c r="AJ123" s="57"/>
      <c r="AK123" s="57"/>
      <c r="AL123" s="57"/>
      <c r="AM123" s="57"/>
      <c r="AN123" s="57"/>
    </row>
    <row r="124" spans="1:40" s="559" customFormat="1" ht="72.75">
      <c r="A124" s="126"/>
      <c r="B124" s="587" t="s">
        <v>385</v>
      </c>
      <c r="C124" s="588" t="s">
        <v>1215</v>
      </c>
      <c r="D124" s="569" t="s">
        <v>921</v>
      </c>
      <c r="E124" s="547">
        <v>1</v>
      </c>
      <c r="F124" s="169" t="str">
        <f>""&amp;Table12[[#This Row],[TTM Stage]]&amp;Table12[[#This Row],[Task No.]]&amp;"-"&amp;Table12[[#This Row],[Type of activity]]&amp;"-"&amp;Table12[[#This Row],[TargetGroup]]</f>
        <v>A1-DN3-A-Children</v>
      </c>
      <c r="G124" s="123" t="s">
        <v>914</v>
      </c>
      <c r="H124" s="123"/>
      <c r="I124" s="549" t="s">
        <v>1150</v>
      </c>
      <c r="J124" s="315"/>
      <c r="K124" s="371" t="s">
        <v>1234</v>
      </c>
      <c r="L124" s="551" t="s">
        <v>75</v>
      </c>
      <c r="M124" s="565" t="s">
        <v>1235</v>
      </c>
      <c r="N124" s="553" t="s">
        <v>1236</v>
      </c>
      <c r="O124" s="122">
        <v>1</v>
      </c>
      <c r="P124" s="122">
        <v>7</v>
      </c>
      <c r="Q124" s="122"/>
      <c r="R124" s="122"/>
      <c r="S124" s="122"/>
      <c r="T124" s="570" t="s">
        <v>1114</v>
      </c>
      <c r="U124" s="590" t="s">
        <v>1237</v>
      </c>
      <c r="V124" s="571" t="s">
        <v>1116</v>
      </c>
      <c r="W124" s="570" t="s">
        <v>1117</v>
      </c>
      <c r="X124" s="570"/>
      <c r="Y124" s="571" t="s">
        <v>1104</v>
      </c>
      <c r="Z124" s="126"/>
      <c r="AA124" s="57"/>
      <c r="AB124" s="57"/>
      <c r="AC124" s="57"/>
      <c r="AD124" s="57"/>
      <c r="AE124" s="57"/>
      <c r="AF124" s="57"/>
      <c r="AG124" s="57"/>
      <c r="AH124" s="57"/>
      <c r="AI124" s="57"/>
      <c r="AJ124" s="57"/>
      <c r="AK124" s="57"/>
      <c r="AL124" s="57"/>
      <c r="AM124" s="57"/>
      <c r="AN124" s="57"/>
    </row>
    <row r="125" spans="1:40" s="559" customFormat="1" ht="72.75">
      <c r="A125" s="126"/>
      <c r="B125" s="587" t="s">
        <v>385</v>
      </c>
      <c r="C125" s="588" t="s">
        <v>1215</v>
      </c>
      <c r="D125" s="569" t="s">
        <v>921</v>
      </c>
      <c r="E125" s="547">
        <v>2</v>
      </c>
      <c r="F125" s="169" t="str">
        <f>""&amp;Table12[[#This Row],[TTM Stage]]&amp;Table12[[#This Row],[Task No.]]&amp;"-"&amp;Table12[[#This Row],[Type of activity]]&amp;"-"&amp;Table12[[#This Row],[TargetGroup]]</f>
        <v>A2-DN3-A-Children</v>
      </c>
      <c r="G125" s="123" t="s">
        <v>914</v>
      </c>
      <c r="H125" s="123"/>
      <c r="I125" s="549" t="s">
        <v>1150</v>
      </c>
      <c r="J125" s="315"/>
      <c r="K125" s="371" t="s">
        <v>1238</v>
      </c>
      <c r="L125" s="387" t="s">
        <v>75</v>
      </c>
      <c r="M125" s="565" t="s">
        <v>1239</v>
      </c>
      <c r="N125" s="553" t="s">
        <v>1240</v>
      </c>
      <c r="O125" s="122">
        <v>1</v>
      </c>
      <c r="P125" s="122">
        <v>7</v>
      </c>
      <c r="Q125" s="122"/>
      <c r="R125" s="122"/>
      <c r="S125" s="122"/>
      <c r="T125" s="570" t="s">
        <v>1114</v>
      </c>
      <c r="U125" s="590" t="s">
        <v>1237</v>
      </c>
      <c r="V125" s="571" t="s">
        <v>1116</v>
      </c>
      <c r="W125" s="570" t="s">
        <v>1121</v>
      </c>
      <c r="X125" s="570"/>
      <c r="Y125" s="571" t="s">
        <v>1104</v>
      </c>
      <c r="Z125" s="126"/>
      <c r="AA125" s="57"/>
      <c r="AB125" s="57"/>
      <c r="AC125" s="57"/>
      <c r="AD125" s="57"/>
      <c r="AE125" s="57"/>
      <c r="AF125" s="57"/>
      <c r="AG125" s="57"/>
      <c r="AH125" s="57"/>
      <c r="AI125" s="57"/>
      <c r="AJ125" s="57"/>
      <c r="AK125" s="57"/>
      <c r="AL125" s="57"/>
      <c r="AM125" s="57"/>
      <c r="AN125" s="57"/>
    </row>
    <row r="126" spans="1:40" s="559" customFormat="1" ht="87">
      <c r="A126" s="126"/>
      <c r="B126" s="587" t="s">
        <v>385</v>
      </c>
      <c r="C126" s="588" t="s">
        <v>1215</v>
      </c>
      <c r="D126" s="569" t="s">
        <v>921</v>
      </c>
      <c r="E126" s="547">
        <v>3</v>
      </c>
      <c r="F126" s="169" t="str">
        <f>""&amp;Table12[[#This Row],[TTM Stage]]&amp;Table12[[#This Row],[Task No.]]&amp;"-"&amp;Table12[[#This Row],[Type of activity]]&amp;"-"&amp;Table12[[#This Row],[TargetGroup]]</f>
        <v>A3-DN3-A-Children</v>
      </c>
      <c r="G126" s="123" t="s">
        <v>914</v>
      </c>
      <c r="H126" s="123"/>
      <c r="I126" s="549" t="s">
        <v>1150</v>
      </c>
      <c r="J126" s="315"/>
      <c r="K126" s="371" t="s">
        <v>1241</v>
      </c>
      <c r="L126" s="387" t="s">
        <v>75</v>
      </c>
      <c r="M126" s="591" t="s">
        <v>1242</v>
      </c>
      <c r="N126" s="553" t="s">
        <v>1243</v>
      </c>
      <c r="O126" s="122">
        <v>1</v>
      </c>
      <c r="P126" s="122">
        <v>7</v>
      </c>
      <c r="Q126" s="122"/>
      <c r="R126" s="122"/>
      <c r="S126" s="122"/>
      <c r="T126" s="570" t="s">
        <v>1114</v>
      </c>
      <c r="U126" s="590" t="s">
        <v>1237</v>
      </c>
      <c r="V126" s="571" t="s">
        <v>1116</v>
      </c>
      <c r="W126" s="570" t="s">
        <v>1125</v>
      </c>
      <c r="X126" s="570"/>
      <c r="Y126" s="571" t="s">
        <v>1104</v>
      </c>
      <c r="Z126" s="126"/>
      <c r="AA126" s="57"/>
      <c r="AB126" s="57"/>
      <c r="AC126" s="57"/>
      <c r="AD126" s="57"/>
      <c r="AE126" s="57"/>
      <c r="AF126" s="57"/>
      <c r="AG126" s="57"/>
      <c r="AH126" s="57"/>
      <c r="AI126" s="57"/>
      <c r="AJ126" s="57"/>
      <c r="AK126" s="57"/>
      <c r="AL126" s="57"/>
      <c r="AM126" s="57"/>
      <c r="AN126" s="57"/>
    </row>
    <row r="127" spans="1:40" s="559" customFormat="1" ht="87">
      <c r="A127" s="126"/>
      <c r="B127" s="587" t="s">
        <v>385</v>
      </c>
      <c r="C127" s="588" t="s">
        <v>1215</v>
      </c>
      <c r="D127" s="569" t="s">
        <v>921</v>
      </c>
      <c r="E127" s="547">
        <v>4</v>
      </c>
      <c r="F127" s="169" t="str">
        <f>""&amp;Table12[[#This Row],[TTM Stage]]&amp;Table12[[#This Row],[Task No.]]&amp;"-"&amp;Table12[[#This Row],[Type of activity]]&amp;"-"&amp;Table12[[#This Row],[TargetGroup]]</f>
        <v>A4-DN3-A-Children</v>
      </c>
      <c r="G127" s="123" t="s">
        <v>914</v>
      </c>
      <c r="H127" s="123"/>
      <c r="I127" s="549" t="s">
        <v>1150</v>
      </c>
      <c r="J127" s="315"/>
      <c r="K127" s="371" t="s">
        <v>1244</v>
      </c>
      <c r="L127" s="387" t="s">
        <v>75</v>
      </c>
      <c r="M127" s="565" t="s">
        <v>1245</v>
      </c>
      <c r="N127" s="553" t="s">
        <v>1246</v>
      </c>
      <c r="O127" s="122">
        <v>1</v>
      </c>
      <c r="P127" s="122">
        <v>7</v>
      </c>
      <c r="Q127" s="122"/>
      <c r="R127" s="122"/>
      <c r="S127" s="122"/>
      <c r="T127" s="547" t="s">
        <v>1114</v>
      </c>
      <c r="U127" s="590" t="s">
        <v>1237</v>
      </c>
      <c r="V127" s="341" t="s">
        <v>1116</v>
      </c>
      <c r="W127" s="547" t="s">
        <v>1129</v>
      </c>
      <c r="X127" s="547"/>
      <c r="Y127" s="341" t="s">
        <v>1104</v>
      </c>
      <c r="Z127" s="126"/>
      <c r="AA127" s="57"/>
      <c r="AB127" s="57"/>
      <c r="AC127" s="57"/>
      <c r="AD127" s="57"/>
      <c r="AE127" s="57"/>
      <c r="AF127" s="57"/>
      <c r="AG127" s="57"/>
      <c r="AH127" s="57"/>
      <c r="AI127" s="57"/>
      <c r="AJ127" s="57"/>
      <c r="AK127" s="57"/>
      <c r="AL127" s="57"/>
      <c r="AM127" s="57"/>
      <c r="AN127" s="57"/>
    </row>
    <row r="128" spans="1:40" s="559" customFormat="1" ht="43.5">
      <c r="A128" s="126"/>
      <c r="B128" s="587" t="s">
        <v>385</v>
      </c>
      <c r="C128" s="588" t="s">
        <v>1215</v>
      </c>
      <c r="D128" s="546" t="s">
        <v>933</v>
      </c>
      <c r="E128" s="547">
        <v>1</v>
      </c>
      <c r="F128" s="169" t="str">
        <f>""&amp;Table12[[#This Row],[TTM Stage]]&amp;Table12[[#This Row],[Task No.]]&amp;"-"&amp;Table12[[#This Row],[Type of activity]]&amp;"-"&amp;Table12[[#This Row],[TargetGroup]]</f>
        <v>M1-DN3-A-Children</v>
      </c>
      <c r="G128" s="123" t="s">
        <v>914</v>
      </c>
      <c r="H128" s="123"/>
      <c r="I128" s="549" t="s">
        <v>1150</v>
      </c>
      <c r="J128" s="315"/>
      <c r="K128" s="371" t="s">
        <v>1247</v>
      </c>
      <c r="L128" s="387" t="s">
        <v>75</v>
      </c>
      <c r="M128" s="582" t="s">
        <v>1248</v>
      </c>
      <c r="N128" s="553" t="s">
        <v>1132</v>
      </c>
      <c r="O128" s="122">
        <v>1</v>
      </c>
      <c r="P128" s="122">
        <v>7</v>
      </c>
      <c r="Q128" s="122"/>
      <c r="R128" s="122"/>
      <c r="S128" s="122"/>
      <c r="T128" s="547" t="s">
        <v>1108</v>
      </c>
      <c r="U128" s="547" t="s">
        <v>1109</v>
      </c>
      <c r="V128" s="341" t="s">
        <v>1110</v>
      </c>
      <c r="W128" s="547">
        <v>1</v>
      </c>
      <c r="X128" s="547"/>
      <c r="Y128" s="341" t="s">
        <v>1104</v>
      </c>
      <c r="Z128" s="126"/>
      <c r="AA128" s="57"/>
      <c r="AB128" s="57"/>
      <c r="AC128" s="57"/>
      <c r="AD128" s="57"/>
      <c r="AE128" s="57"/>
      <c r="AF128" s="57"/>
      <c r="AG128" s="57"/>
      <c r="AH128" s="57"/>
      <c r="AI128" s="57"/>
      <c r="AJ128" s="57"/>
      <c r="AK128" s="57"/>
      <c r="AL128" s="57"/>
      <c r="AM128" s="57"/>
      <c r="AN128" s="57"/>
    </row>
    <row r="129" spans="1:40" s="559" customFormat="1" ht="101.25">
      <c r="A129" s="126"/>
      <c r="B129" s="587" t="s">
        <v>385</v>
      </c>
      <c r="C129" s="588" t="s">
        <v>1215</v>
      </c>
      <c r="D129" s="546" t="s">
        <v>933</v>
      </c>
      <c r="E129" s="547">
        <v>2</v>
      </c>
      <c r="F129" s="169" t="str">
        <f>""&amp;Table12[[#This Row],[TTM Stage]]&amp;Table12[[#This Row],[Task No.]]&amp;"-"&amp;Table12[[#This Row],[Type of activity]]&amp;"-"&amp;Table12[[#This Row],[TargetGroup]]</f>
        <v>M2-DN3-A-Children</v>
      </c>
      <c r="G129" s="123" t="s">
        <v>914</v>
      </c>
      <c r="H129" s="123"/>
      <c r="I129" s="549" t="s">
        <v>1150</v>
      </c>
      <c r="J129" s="315"/>
      <c r="K129" s="371" t="s">
        <v>1249</v>
      </c>
      <c r="L129" s="551" t="s">
        <v>75</v>
      </c>
      <c r="M129" s="582" t="s">
        <v>1250</v>
      </c>
      <c r="N129" s="553" t="s">
        <v>1251</v>
      </c>
      <c r="O129" s="122">
        <v>1</v>
      </c>
      <c r="P129" s="122">
        <v>7</v>
      </c>
      <c r="Q129" s="122"/>
      <c r="R129" s="122"/>
      <c r="S129" s="122"/>
      <c r="T129" s="547" t="s">
        <v>1108</v>
      </c>
      <c r="U129" s="547" t="s">
        <v>1109</v>
      </c>
      <c r="V129" s="341" t="s">
        <v>1110</v>
      </c>
      <c r="W129" s="547">
        <v>2</v>
      </c>
      <c r="X129" s="547"/>
      <c r="Y129" s="341" t="s">
        <v>1104</v>
      </c>
      <c r="Z129" s="126"/>
      <c r="AA129" s="57"/>
      <c r="AB129" s="57"/>
      <c r="AC129" s="57"/>
      <c r="AD129" s="57"/>
      <c r="AE129" s="57"/>
      <c r="AF129" s="57"/>
      <c r="AG129" s="57"/>
      <c r="AH129" s="57"/>
      <c r="AI129" s="57"/>
      <c r="AJ129" s="57"/>
      <c r="AK129" s="57"/>
      <c r="AL129" s="57"/>
      <c r="AM129" s="57"/>
      <c r="AN129" s="57"/>
    </row>
    <row r="130" spans="1:40" s="559" customFormat="1" ht="43.5">
      <c r="A130" s="126"/>
      <c r="B130" s="587" t="s">
        <v>385</v>
      </c>
      <c r="C130" s="588" t="s">
        <v>1215</v>
      </c>
      <c r="D130" s="546" t="s">
        <v>933</v>
      </c>
      <c r="E130" s="547">
        <v>3</v>
      </c>
      <c r="F130" s="169" t="str">
        <f>""&amp;Table12[[#This Row],[TTM Stage]]&amp;Table12[[#This Row],[Task No.]]&amp;"-"&amp;Table12[[#This Row],[Type of activity]]&amp;"-"&amp;Table12[[#This Row],[TargetGroup]]</f>
        <v>M3-DN3-A-Children</v>
      </c>
      <c r="G130" s="123" t="s">
        <v>914</v>
      </c>
      <c r="H130" s="123"/>
      <c r="I130" s="549" t="s">
        <v>1150</v>
      </c>
      <c r="J130" s="315"/>
      <c r="K130" s="371" t="s">
        <v>1252</v>
      </c>
      <c r="L130" s="551" t="s">
        <v>75</v>
      </c>
      <c r="M130" s="582" t="s">
        <v>1253</v>
      </c>
      <c r="N130" s="553" t="s">
        <v>1132</v>
      </c>
      <c r="O130" s="122">
        <v>1</v>
      </c>
      <c r="P130" s="122">
        <v>7</v>
      </c>
      <c r="Q130" s="122"/>
      <c r="R130" s="122"/>
      <c r="S130" s="122"/>
      <c r="T130" s="547" t="s">
        <v>1108</v>
      </c>
      <c r="U130" s="547" t="s">
        <v>1109</v>
      </c>
      <c r="V130" s="341" t="s">
        <v>1110</v>
      </c>
      <c r="W130" s="547">
        <v>2</v>
      </c>
      <c r="X130" s="547"/>
      <c r="Y130" s="341" t="s">
        <v>1104</v>
      </c>
      <c r="Z130" s="126"/>
      <c r="AA130" s="57"/>
      <c r="AB130" s="57"/>
      <c r="AC130" s="57"/>
      <c r="AD130" s="57"/>
      <c r="AE130" s="57"/>
      <c r="AF130" s="57"/>
      <c r="AG130" s="57"/>
      <c r="AH130" s="57"/>
      <c r="AI130" s="57"/>
      <c r="AJ130" s="57"/>
      <c r="AK130" s="57"/>
      <c r="AL130" s="57"/>
      <c r="AM130" s="57"/>
      <c r="AN130" s="57"/>
    </row>
    <row r="131" spans="1:40" s="559" customFormat="1" ht="43.5">
      <c r="A131" s="126"/>
      <c r="B131" s="587" t="s">
        <v>385</v>
      </c>
      <c r="C131" s="588" t="s">
        <v>1215</v>
      </c>
      <c r="D131" s="546" t="s">
        <v>933</v>
      </c>
      <c r="E131" s="547">
        <v>4</v>
      </c>
      <c r="F131" s="169" t="str">
        <f>""&amp;Table12[[#This Row],[TTM Stage]]&amp;Table12[[#This Row],[Task No.]]&amp;"-"&amp;Table12[[#This Row],[Type of activity]]&amp;"-"&amp;Table12[[#This Row],[TargetGroup]]</f>
        <v>M4-DN3-A-Children</v>
      </c>
      <c r="G131" s="123" t="s">
        <v>914</v>
      </c>
      <c r="H131" s="123"/>
      <c r="I131" s="549" t="s">
        <v>1150</v>
      </c>
      <c r="J131" s="315"/>
      <c r="K131" s="316" t="s">
        <v>1254</v>
      </c>
      <c r="L131" s="551" t="s">
        <v>75</v>
      </c>
      <c r="M131" s="582" t="s">
        <v>1255</v>
      </c>
      <c r="N131" s="553" t="s">
        <v>1132</v>
      </c>
      <c r="O131" s="122">
        <v>1</v>
      </c>
      <c r="P131" s="122">
        <v>7</v>
      </c>
      <c r="Q131" s="122"/>
      <c r="R131" s="122"/>
      <c r="S131" s="122"/>
      <c r="T131" s="547" t="s">
        <v>1108</v>
      </c>
      <c r="U131" s="547" t="s">
        <v>1109</v>
      </c>
      <c r="V131" s="341" t="s">
        <v>1110</v>
      </c>
      <c r="W131" s="547">
        <v>2</v>
      </c>
      <c r="X131" s="547"/>
      <c r="Y131" s="341" t="s">
        <v>1104</v>
      </c>
      <c r="Z131" s="126"/>
      <c r="AA131" s="57"/>
      <c r="AB131" s="57"/>
      <c r="AC131" s="57"/>
      <c r="AD131" s="57"/>
      <c r="AE131" s="57"/>
      <c r="AF131" s="57"/>
      <c r="AG131" s="57"/>
      <c r="AH131" s="57"/>
      <c r="AI131" s="57"/>
      <c r="AJ131" s="57"/>
      <c r="AK131" s="57"/>
      <c r="AL131" s="57"/>
      <c r="AM131" s="57"/>
      <c r="AN131" s="57"/>
    </row>
    <row r="132" spans="1:40" s="543" customFormat="1" ht="159">
      <c r="A132" s="115"/>
      <c r="B132" s="300" t="s">
        <v>403</v>
      </c>
      <c r="C132" s="301" t="s">
        <v>1256</v>
      </c>
      <c r="D132" s="236" t="s">
        <v>891</v>
      </c>
      <c r="E132" s="237">
        <v>1</v>
      </c>
      <c r="F132" s="168" t="str">
        <f>""&amp;Table12[[#This Row],[TTM Stage]]&amp;Table12[[#This Row],[Task No.]]&amp;"-"&amp;Table12[[#This Row],[Type of activity]]&amp;"-"&amp;Table12[[#This Row],[TargetGroup]]</f>
        <v>PC1-DN4-A-Children</v>
      </c>
      <c r="G132" s="112" t="s">
        <v>892</v>
      </c>
      <c r="H132" s="112"/>
      <c r="I132" s="113"/>
      <c r="J132" s="259"/>
      <c r="K132" s="519" t="s">
        <v>1257</v>
      </c>
      <c r="L132" s="372" t="s">
        <v>75</v>
      </c>
      <c r="M132" s="481" t="s">
        <v>1258</v>
      </c>
      <c r="N132" s="482" t="s">
        <v>1259</v>
      </c>
      <c r="O132" s="108">
        <v>1</v>
      </c>
      <c r="P132" s="108">
        <v>1</v>
      </c>
      <c r="Q132" s="108"/>
      <c r="R132" s="108" t="s">
        <v>907</v>
      </c>
      <c r="S132" s="108"/>
      <c r="T132" s="237" t="s">
        <v>1089</v>
      </c>
      <c r="U132" s="237" t="s">
        <v>1090</v>
      </c>
      <c r="V132" s="237" t="s">
        <v>1091</v>
      </c>
      <c r="W132" s="237" t="s">
        <v>1092</v>
      </c>
      <c r="X132" s="237"/>
      <c r="Y132" s="237" t="s">
        <v>1085</v>
      </c>
      <c r="Z132" s="115"/>
      <c r="AA132" s="41"/>
      <c r="AB132" s="41"/>
      <c r="AC132" s="41"/>
      <c r="AD132" s="41"/>
      <c r="AE132" s="41"/>
      <c r="AF132" s="41"/>
      <c r="AG132" s="41"/>
      <c r="AH132" s="41"/>
      <c r="AI132" s="41"/>
      <c r="AJ132" s="41"/>
      <c r="AK132" s="41"/>
      <c r="AL132" s="41"/>
      <c r="AM132" s="41"/>
      <c r="AN132" s="41"/>
    </row>
    <row r="133" spans="1:40" ht="43.5">
      <c r="A133" s="147"/>
      <c r="B133" s="592" t="s">
        <v>403</v>
      </c>
      <c r="C133" s="593" t="s">
        <v>1256</v>
      </c>
      <c r="D133" s="487" t="s">
        <v>891</v>
      </c>
      <c r="E133" s="490">
        <v>2</v>
      </c>
      <c r="F133" s="522" t="str">
        <f>""&amp;Table12[[#This Row],[TTM Stage]]&amp;Table12[[#This Row],[Task No.]]&amp;"-"&amp;Table12[[#This Row],[Type of activity]]&amp;"-"&amp;Table12[[#This Row],[TargetGroup]]</f>
        <v>PC2-DN4-A-Children</v>
      </c>
      <c r="G133" s="130" t="s">
        <v>903</v>
      </c>
      <c r="H133" s="130"/>
      <c r="I133" s="131"/>
      <c r="J133" s="489"/>
      <c r="K133" s="533" t="s">
        <v>1260</v>
      </c>
      <c r="L133" s="254" t="s">
        <v>75</v>
      </c>
      <c r="M133" s="132" t="s">
        <v>1261</v>
      </c>
      <c r="N133" s="132"/>
      <c r="O133" s="129">
        <v>1</v>
      </c>
      <c r="P133" s="129">
        <v>1</v>
      </c>
      <c r="Q133" s="129"/>
      <c r="R133" s="129" t="s">
        <v>907</v>
      </c>
      <c r="S133" s="129"/>
      <c r="T133" s="490" t="s">
        <v>1089</v>
      </c>
      <c r="U133" s="490" t="s">
        <v>1090</v>
      </c>
      <c r="V133" s="490" t="s">
        <v>1091</v>
      </c>
      <c r="W133" s="490" t="s">
        <v>1092</v>
      </c>
      <c r="X133" s="490"/>
      <c r="Y133" s="224" t="s">
        <v>1085</v>
      </c>
      <c r="Z133" s="133"/>
      <c r="AA133" s="39"/>
      <c r="AB133" s="39"/>
      <c r="AC133" s="39"/>
      <c r="AD133" s="39"/>
      <c r="AE133" s="39"/>
      <c r="AF133" s="39"/>
      <c r="AG133" s="39"/>
      <c r="AH133" s="39"/>
      <c r="AI133" s="39"/>
      <c r="AJ133" s="39"/>
      <c r="AK133" s="39"/>
      <c r="AL133" s="39"/>
      <c r="AM133" s="39"/>
      <c r="AN133" s="39"/>
    </row>
    <row r="134" spans="1:40" ht="29.25">
      <c r="A134" s="147"/>
      <c r="B134" s="366" t="s">
        <v>403</v>
      </c>
      <c r="C134" s="367" t="s">
        <v>1256</v>
      </c>
      <c r="D134" s="547" t="s">
        <v>899</v>
      </c>
      <c r="E134" s="547">
        <v>1</v>
      </c>
      <c r="F134" s="169" t="str">
        <f>""&amp;Table12[[#This Row],[TTM Stage]]&amp;Table12[[#This Row],[Task No.]]&amp;"-"&amp;Table12[[#This Row],[Type of activity]]&amp;"-"&amp;Table12[[#This Row],[TargetGroup]]</f>
        <v>C1-DN4-A-Children</v>
      </c>
      <c r="G134" s="123" t="s">
        <v>900</v>
      </c>
      <c r="H134" s="123"/>
      <c r="I134" s="124"/>
      <c r="J134" s="315"/>
      <c r="K134" s="533" t="s">
        <v>1187</v>
      </c>
      <c r="L134" s="551" t="s">
        <v>75</v>
      </c>
      <c r="M134" s="125" t="s">
        <v>1262</v>
      </c>
      <c r="N134" s="125"/>
      <c r="O134" s="122">
        <v>1</v>
      </c>
      <c r="P134" s="122">
        <v>1</v>
      </c>
      <c r="Q134" s="122"/>
      <c r="R134" s="122"/>
      <c r="S134" s="122"/>
      <c r="T134" s="122"/>
      <c r="U134" s="122"/>
      <c r="V134" s="122"/>
      <c r="W134" s="122"/>
      <c r="X134" s="122"/>
      <c r="Y134" s="122"/>
      <c r="Z134" s="126"/>
      <c r="AA134" s="57"/>
      <c r="AB134" s="57"/>
      <c r="AC134" s="57"/>
      <c r="AD134" s="57"/>
      <c r="AE134" s="57"/>
      <c r="AF134" s="57"/>
      <c r="AG134" s="57"/>
      <c r="AH134" s="57"/>
      <c r="AI134" s="57"/>
      <c r="AJ134" s="57"/>
      <c r="AK134" s="57"/>
      <c r="AL134" s="57"/>
      <c r="AM134" s="57"/>
      <c r="AN134" s="57"/>
    </row>
    <row r="135" spans="1:40" s="543" customFormat="1" ht="201.75">
      <c r="A135" s="115"/>
      <c r="B135" s="300" t="s">
        <v>403</v>
      </c>
      <c r="C135" s="301" t="s">
        <v>1256</v>
      </c>
      <c r="D135" s="237" t="s">
        <v>899</v>
      </c>
      <c r="E135" s="237">
        <v>2</v>
      </c>
      <c r="F135" s="168" t="str">
        <f>""&amp;Table12[[#This Row],[TTM Stage]]&amp;Table12[[#This Row],[Task No.]]&amp;"-"&amp;Table12[[#This Row],[Type of activity]]&amp;"-"&amp;Table12[[#This Row],[TargetGroup]]</f>
        <v>C2-DN4-A-Children</v>
      </c>
      <c r="G135" s="112" t="s">
        <v>1263</v>
      </c>
      <c r="H135" s="112"/>
      <c r="I135" s="113"/>
      <c r="J135" s="259"/>
      <c r="K135" s="519" t="s">
        <v>1264</v>
      </c>
      <c r="L135" s="372" t="s">
        <v>75</v>
      </c>
      <c r="M135" s="481" t="s">
        <v>1265</v>
      </c>
      <c r="N135" s="481" t="s">
        <v>1266</v>
      </c>
      <c r="O135" s="108">
        <v>1</v>
      </c>
      <c r="P135" s="108">
        <v>1</v>
      </c>
      <c r="Q135" s="108"/>
      <c r="R135" s="108"/>
      <c r="S135" s="108"/>
      <c r="T135" s="108" t="s">
        <v>1267</v>
      </c>
      <c r="U135" s="108" t="s">
        <v>1268</v>
      </c>
      <c r="V135" s="108" t="s">
        <v>1110</v>
      </c>
      <c r="W135" s="108"/>
      <c r="X135" s="108"/>
      <c r="Y135" s="108"/>
      <c r="Z135" s="115"/>
      <c r="AA135" s="41"/>
      <c r="AB135" s="41"/>
      <c r="AC135" s="41"/>
      <c r="AD135" s="41"/>
      <c r="AE135" s="41"/>
      <c r="AF135" s="41"/>
      <c r="AG135" s="41"/>
      <c r="AH135" s="41"/>
      <c r="AI135" s="41"/>
      <c r="AJ135" s="41"/>
      <c r="AK135" s="41"/>
      <c r="AL135" s="41"/>
      <c r="AM135" s="41"/>
      <c r="AN135" s="41"/>
    </row>
    <row r="136" spans="1:40" ht="57.75">
      <c r="A136" s="147"/>
      <c r="B136" s="594" t="s">
        <v>403</v>
      </c>
      <c r="C136" s="595" t="s">
        <v>1256</v>
      </c>
      <c r="D136" s="609" t="s">
        <v>908</v>
      </c>
      <c r="E136" s="574">
        <v>1</v>
      </c>
      <c r="F136" s="522" t="str">
        <f>""&amp;Table12[[#This Row],[TTM Stage]]&amp;Table12[[#This Row],[Task No.]]&amp;"-"&amp;Table12[[#This Row],[Type of activity]]&amp;"-"&amp;Table12[[#This Row],[TargetGroup]]</f>
        <v>P1-DN4-A-Children</v>
      </c>
      <c r="G136" s="575" t="s">
        <v>984</v>
      </c>
      <c r="H136" s="575"/>
      <c r="I136" s="586"/>
      <c r="J136" s="577"/>
      <c r="K136" s="381" t="s">
        <v>1269</v>
      </c>
      <c r="L136" s="239" t="s">
        <v>75</v>
      </c>
      <c r="M136" s="388" t="s">
        <v>1270</v>
      </c>
      <c r="N136" s="578" t="s">
        <v>1017</v>
      </c>
      <c r="O136" s="579">
        <v>1</v>
      </c>
      <c r="P136" s="579">
        <v>1</v>
      </c>
      <c r="Q136" s="579" t="s">
        <v>907</v>
      </c>
      <c r="R136" s="579"/>
      <c r="S136" s="579"/>
      <c r="T136" s="579" t="s">
        <v>1089</v>
      </c>
      <c r="U136" s="579"/>
      <c r="V136" s="579"/>
      <c r="W136" s="579"/>
      <c r="X136" s="579"/>
      <c r="Y136" s="579"/>
      <c r="Z136" s="566"/>
      <c r="AA136" s="580"/>
      <c r="AB136" s="580"/>
      <c r="AC136" s="580"/>
      <c r="AD136" s="580"/>
      <c r="AE136" s="580"/>
      <c r="AF136" s="580"/>
      <c r="AG136" s="580"/>
      <c r="AH136" s="580"/>
      <c r="AI136" s="580"/>
      <c r="AJ136" s="580"/>
      <c r="AK136" s="580"/>
      <c r="AL136" s="580"/>
      <c r="AM136" s="580"/>
      <c r="AN136" s="580"/>
    </row>
    <row r="137" spans="1:40" s="559" customFormat="1" ht="101.25">
      <c r="A137" s="126"/>
      <c r="B137" s="366" t="s">
        <v>403</v>
      </c>
      <c r="C137" s="367" t="s">
        <v>1256</v>
      </c>
      <c r="D137" s="561" t="s">
        <v>908</v>
      </c>
      <c r="E137" s="547">
        <v>2</v>
      </c>
      <c r="F137" s="169" t="str">
        <f>""&amp;Table12[[#This Row],[TTM Stage]]&amp;Table12[[#This Row],[Task No.]]&amp;"-"&amp;Table12[[#This Row],[Type of activity]]&amp;"-"&amp;Table12[[#This Row],[TargetGroup]]</f>
        <v>P2-DN4-A-Children</v>
      </c>
      <c r="G137" s="123" t="s">
        <v>914</v>
      </c>
      <c r="H137" s="123"/>
      <c r="I137" s="549" t="s">
        <v>1150</v>
      </c>
      <c r="J137" s="315"/>
      <c r="K137" s="371" t="s">
        <v>1271</v>
      </c>
      <c r="L137" s="551" t="s">
        <v>75</v>
      </c>
      <c r="M137" s="551" t="s">
        <v>1272</v>
      </c>
      <c r="N137" s="553" t="s">
        <v>1273</v>
      </c>
      <c r="O137" s="122">
        <v>1</v>
      </c>
      <c r="P137" s="122">
        <v>1</v>
      </c>
      <c r="Q137" s="122"/>
      <c r="R137" s="122"/>
      <c r="S137" s="122"/>
      <c r="T137" s="547" t="s">
        <v>1108</v>
      </c>
      <c r="U137" s="547" t="s">
        <v>1109</v>
      </c>
      <c r="V137" s="341" t="s">
        <v>1110</v>
      </c>
      <c r="W137" s="547">
        <v>1</v>
      </c>
      <c r="X137" s="547"/>
      <c r="Y137" s="341" t="s">
        <v>1104</v>
      </c>
      <c r="Z137" s="126"/>
      <c r="AA137" s="57"/>
      <c r="AB137" s="57"/>
      <c r="AC137" s="57"/>
      <c r="AD137" s="57"/>
      <c r="AE137" s="57"/>
      <c r="AF137" s="57"/>
      <c r="AG137" s="57"/>
      <c r="AH137" s="57"/>
      <c r="AI137" s="57"/>
      <c r="AJ137" s="57"/>
      <c r="AK137" s="57"/>
      <c r="AL137" s="57"/>
      <c r="AM137" s="57"/>
      <c r="AN137" s="57"/>
    </row>
    <row r="138" spans="1:40" s="559" customFormat="1" ht="87">
      <c r="A138" s="126"/>
      <c r="B138" s="366" t="s">
        <v>403</v>
      </c>
      <c r="C138" s="367" t="s">
        <v>1256</v>
      </c>
      <c r="D138" s="569" t="s">
        <v>921</v>
      </c>
      <c r="E138" s="547">
        <v>1</v>
      </c>
      <c r="F138" s="169" t="str">
        <f>""&amp;Table12[[#This Row],[TTM Stage]]&amp;Table12[[#This Row],[Task No.]]&amp;"-"&amp;Table12[[#This Row],[Type of activity]]&amp;"-"&amp;Table12[[#This Row],[TargetGroup]]</f>
        <v>A1-DN4-A-Children</v>
      </c>
      <c r="G138" s="123" t="s">
        <v>914</v>
      </c>
      <c r="H138" s="123"/>
      <c r="I138" s="549" t="s">
        <v>1150</v>
      </c>
      <c r="J138" s="315"/>
      <c r="K138" s="371" t="s">
        <v>1274</v>
      </c>
      <c r="L138" s="551" t="s">
        <v>75</v>
      </c>
      <c r="M138" s="565" t="s">
        <v>1275</v>
      </c>
      <c r="N138" s="553" t="s">
        <v>1276</v>
      </c>
      <c r="O138" s="122">
        <v>1</v>
      </c>
      <c r="P138" s="122">
        <v>7</v>
      </c>
      <c r="Q138" s="122"/>
      <c r="R138" s="122"/>
      <c r="S138" s="122"/>
      <c r="T138" s="122" t="s">
        <v>1277</v>
      </c>
      <c r="U138" s="122" t="s">
        <v>1278</v>
      </c>
      <c r="V138" s="571" t="s">
        <v>1116</v>
      </c>
      <c r="W138" s="570" t="s">
        <v>1117</v>
      </c>
      <c r="X138" s="122"/>
      <c r="Y138" s="341" t="s">
        <v>1104</v>
      </c>
      <c r="Z138" s="126"/>
      <c r="AA138" s="57"/>
      <c r="AB138" s="57"/>
      <c r="AC138" s="57"/>
      <c r="AD138" s="57"/>
      <c r="AE138" s="57"/>
      <c r="AF138" s="57"/>
      <c r="AG138" s="57"/>
      <c r="AH138" s="57"/>
      <c r="AI138" s="57"/>
      <c r="AJ138" s="57"/>
      <c r="AK138" s="57"/>
      <c r="AL138" s="57"/>
      <c r="AM138" s="57"/>
      <c r="AN138" s="57"/>
    </row>
    <row r="139" spans="1:40" s="543" customFormat="1" ht="72.75">
      <c r="A139" s="115"/>
      <c r="B139" s="300" t="s">
        <v>403</v>
      </c>
      <c r="C139" s="301" t="s">
        <v>1256</v>
      </c>
      <c r="D139" s="256" t="s">
        <v>921</v>
      </c>
      <c r="E139" s="237">
        <v>2</v>
      </c>
      <c r="F139" s="168" t="str">
        <f>""&amp;Table12[[#This Row],[TTM Stage]]&amp;Table12[[#This Row],[Task No.]]&amp;"-"&amp;Table12[[#This Row],[Type of activity]]&amp;"-"&amp;Table12[[#This Row],[TargetGroup]]</f>
        <v>A2-DN4-A-Children</v>
      </c>
      <c r="G139" s="112" t="s">
        <v>914</v>
      </c>
      <c r="H139" s="112"/>
      <c r="I139" s="238" t="s">
        <v>1150</v>
      </c>
      <c r="J139" s="259"/>
      <c r="K139" s="519" t="s">
        <v>1279</v>
      </c>
      <c r="L139" s="372" t="s">
        <v>75</v>
      </c>
      <c r="M139" s="568" t="s">
        <v>1280</v>
      </c>
      <c r="N139" s="255" t="s">
        <v>1281</v>
      </c>
      <c r="O139" s="108">
        <v>1</v>
      </c>
      <c r="P139" s="108">
        <v>7</v>
      </c>
      <c r="Q139" s="108"/>
      <c r="R139" s="108"/>
      <c r="S139" s="108"/>
      <c r="T139" s="108" t="s">
        <v>1277</v>
      </c>
      <c r="U139" s="108" t="s">
        <v>1278</v>
      </c>
      <c r="V139" s="260" t="s">
        <v>1116</v>
      </c>
      <c r="W139" s="262" t="s">
        <v>1121</v>
      </c>
      <c r="X139" s="108"/>
      <c r="Y139" s="226" t="s">
        <v>1104</v>
      </c>
      <c r="Z139" s="115"/>
      <c r="AA139" s="41"/>
      <c r="AB139" s="41"/>
      <c r="AC139" s="41"/>
      <c r="AD139" s="41"/>
      <c r="AE139" s="41"/>
      <c r="AF139" s="41"/>
      <c r="AG139" s="41"/>
      <c r="AH139" s="41"/>
      <c r="AI139" s="41"/>
      <c r="AJ139" s="41"/>
      <c r="AK139" s="41"/>
      <c r="AL139" s="41"/>
      <c r="AM139" s="41"/>
      <c r="AN139" s="41"/>
    </row>
    <row r="140" spans="1:40" ht="87">
      <c r="A140" s="147"/>
      <c r="B140" s="594" t="s">
        <v>403</v>
      </c>
      <c r="C140" s="595" t="s">
        <v>1256</v>
      </c>
      <c r="D140" s="596" t="s">
        <v>921</v>
      </c>
      <c r="E140" s="574">
        <v>3</v>
      </c>
      <c r="F140" s="522" t="str">
        <f>""&amp;Table12[[#This Row],[TTM Stage]]&amp;Table12[[#This Row],[Task No.]]&amp;"-"&amp;Table12[[#This Row],[Type of activity]]&amp;"-"&amp;Table12[[#This Row],[TargetGroup]]</f>
        <v>A3-DN4-A-Children</v>
      </c>
      <c r="G140" s="575" t="s">
        <v>914</v>
      </c>
      <c r="H140" s="575"/>
      <c r="I140" s="576" t="s">
        <v>1150</v>
      </c>
      <c r="J140" s="577"/>
      <c r="K140" s="533" t="s">
        <v>1282</v>
      </c>
      <c r="L140" s="239" t="s">
        <v>75</v>
      </c>
      <c r="M140" s="333" t="s">
        <v>1283</v>
      </c>
      <c r="N140" s="578" t="s">
        <v>1284</v>
      </c>
      <c r="O140" s="579">
        <v>1</v>
      </c>
      <c r="P140" s="579">
        <v>7</v>
      </c>
      <c r="Q140" s="579"/>
      <c r="R140" s="579"/>
      <c r="S140" s="579"/>
      <c r="T140" s="579" t="s">
        <v>1277</v>
      </c>
      <c r="U140" s="579" t="s">
        <v>1278</v>
      </c>
      <c r="V140" s="597" t="s">
        <v>1116</v>
      </c>
      <c r="W140" s="598" t="s">
        <v>1125</v>
      </c>
      <c r="X140" s="579"/>
      <c r="Y140" s="552" t="s">
        <v>1104</v>
      </c>
      <c r="Z140" s="566"/>
      <c r="AA140" s="580"/>
      <c r="AB140" s="580"/>
      <c r="AC140" s="580"/>
      <c r="AD140" s="580"/>
      <c r="AE140" s="580"/>
      <c r="AF140" s="580"/>
      <c r="AG140" s="580"/>
      <c r="AH140" s="580"/>
      <c r="AI140" s="580"/>
      <c r="AJ140" s="580"/>
      <c r="AK140" s="580"/>
      <c r="AL140" s="580"/>
      <c r="AM140" s="580"/>
      <c r="AN140" s="580"/>
    </row>
    <row r="141" spans="1:40" s="559" customFormat="1" ht="87">
      <c r="A141" s="126"/>
      <c r="B141" s="366" t="s">
        <v>403</v>
      </c>
      <c r="C141" s="367" t="s">
        <v>1256</v>
      </c>
      <c r="D141" s="569" t="s">
        <v>921</v>
      </c>
      <c r="E141" s="547">
        <v>4</v>
      </c>
      <c r="F141" s="169" t="str">
        <f>""&amp;Table12[[#This Row],[TTM Stage]]&amp;Table12[[#This Row],[Task No.]]&amp;"-"&amp;Table12[[#This Row],[Type of activity]]&amp;"-"&amp;Table12[[#This Row],[TargetGroup]]</f>
        <v>A4-DN4-A-Children</v>
      </c>
      <c r="G141" s="123" t="s">
        <v>914</v>
      </c>
      <c r="H141" s="123"/>
      <c r="I141" s="549" t="s">
        <v>1150</v>
      </c>
      <c r="J141" s="315"/>
      <c r="K141" s="371" t="s">
        <v>1285</v>
      </c>
      <c r="L141" s="551" t="s">
        <v>75</v>
      </c>
      <c r="M141" s="591" t="s">
        <v>1286</v>
      </c>
      <c r="N141" s="553" t="s">
        <v>1287</v>
      </c>
      <c r="O141" s="122">
        <v>1</v>
      </c>
      <c r="P141" s="122">
        <v>7</v>
      </c>
      <c r="Q141" s="122"/>
      <c r="R141" s="122"/>
      <c r="S141" s="122"/>
      <c r="T141" s="122" t="s">
        <v>1277</v>
      </c>
      <c r="U141" s="122" t="s">
        <v>1278</v>
      </c>
      <c r="V141" s="341" t="s">
        <v>1116</v>
      </c>
      <c r="W141" s="547" t="s">
        <v>1129</v>
      </c>
      <c r="X141" s="122"/>
      <c r="Y141" s="341" t="s">
        <v>1104</v>
      </c>
      <c r="Z141" s="126"/>
      <c r="AA141" s="57"/>
      <c r="AB141" s="57"/>
      <c r="AC141" s="57"/>
      <c r="AD141" s="57"/>
      <c r="AE141" s="57"/>
      <c r="AF141" s="57"/>
      <c r="AG141" s="57"/>
      <c r="AH141" s="57"/>
      <c r="AI141" s="57"/>
      <c r="AJ141" s="57"/>
      <c r="AK141" s="57"/>
      <c r="AL141" s="57"/>
      <c r="AM141" s="57"/>
      <c r="AN141" s="57"/>
    </row>
    <row r="142" spans="1:40" s="559" customFormat="1" ht="43.5">
      <c r="A142" s="126"/>
      <c r="B142" s="366" t="s">
        <v>403</v>
      </c>
      <c r="C142" s="367" t="s">
        <v>1256</v>
      </c>
      <c r="D142" s="546" t="s">
        <v>933</v>
      </c>
      <c r="E142" s="547">
        <v>1</v>
      </c>
      <c r="F142" s="169" t="str">
        <f>""&amp;Table12[[#This Row],[TTM Stage]]&amp;Table12[[#This Row],[Task No.]]&amp;"-"&amp;Table12[[#This Row],[Type of activity]]&amp;"-"&amp;Table12[[#This Row],[TargetGroup]]</f>
        <v>M1-DN4-A-Children</v>
      </c>
      <c r="G142" s="123" t="s">
        <v>914</v>
      </c>
      <c r="H142" s="123"/>
      <c r="I142" s="549" t="s">
        <v>1150</v>
      </c>
      <c r="J142" s="315"/>
      <c r="K142" s="371" t="s">
        <v>1288</v>
      </c>
      <c r="L142" s="551" t="s">
        <v>75</v>
      </c>
      <c r="M142" s="582" t="s">
        <v>1289</v>
      </c>
      <c r="N142" s="553" t="s">
        <v>1132</v>
      </c>
      <c r="O142" s="122">
        <v>1</v>
      </c>
      <c r="P142" s="122">
        <v>7</v>
      </c>
      <c r="Q142" s="122"/>
      <c r="R142" s="122"/>
      <c r="S142" s="122"/>
      <c r="T142" s="547" t="s">
        <v>1108</v>
      </c>
      <c r="U142" s="547" t="s">
        <v>1109</v>
      </c>
      <c r="V142" s="341" t="s">
        <v>1110</v>
      </c>
      <c r="W142" s="547">
        <v>1</v>
      </c>
      <c r="X142" s="547"/>
      <c r="Y142" s="341" t="s">
        <v>1104</v>
      </c>
      <c r="Z142" s="126"/>
      <c r="AA142" s="57"/>
      <c r="AB142" s="57"/>
      <c r="AC142" s="57"/>
      <c r="AD142" s="57"/>
      <c r="AE142" s="57"/>
      <c r="AF142" s="57"/>
      <c r="AG142" s="57"/>
      <c r="AH142" s="57"/>
      <c r="AI142" s="57"/>
      <c r="AJ142" s="57"/>
      <c r="AK142" s="57"/>
      <c r="AL142" s="57"/>
      <c r="AM142" s="57"/>
      <c r="AN142" s="57"/>
    </row>
    <row r="143" spans="1:40" s="559" customFormat="1" ht="43.5">
      <c r="A143" s="126"/>
      <c r="B143" s="366" t="s">
        <v>403</v>
      </c>
      <c r="C143" s="367" t="s">
        <v>1256</v>
      </c>
      <c r="D143" s="546" t="s">
        <v>933</v>
      </c>
      <c r="E143" s="547">
        <v>2</v>
      </c>
      <c r="F143" s="169" t="str">
        <f>""&amp;Table12[[#This Row],[TTM Stage]]&amp;Table12[[#This Row],[Task No.]]&amp;"-"&amp;Table12[[#This Row],[Type of activity]]&amp;"-"&amp;Table12[[#This Row],[TargetGroup]]</f>
        <v>M2-DN4-A-Children</v>
      </c>
      <c r="G143" s="123" t="s">
        <v>914</v>
      </c>
      <c r="H143" s="123"/>
      <c r="I143" s="549" t="s">
        <v>1150</v>
      </c>
      <c r="J143" s="315"/>
      <c r="K143" s="371" t="s">
        <v>1290</v>
      </c>
      <c r="L143" s="551" t="s">
        <v>75</v>
      </c>
      <c r="M143" s="599" t="s">
        <v>1291</v>
      </c>
      <c r="N143" s="553" t="s">
        <v>1132</v>
      </c>
      <c r="O143" s="122">
        <v>1</v>
      </c>
      <c r="P143" s="122">
        <v>7</v>
      </c>
      <c r="Q143" s="122"/>
      <c r="R143" s="122"/>
      <c r="S143" s="122"/>
      <c r="T143" s="547" t="s">
        <v>1108</v>
      </c>
      <c r="U143" s="547" t="s">
        <v>1109</v>
      </c>
      <c r="V143" s="341" t="s">
        <v>1110</v>
      </c>
      <c r="W143" s="547">
        <v>2</v>
      </c>
      <c r="X143" s="547"/>
      <c r="Y143" s="341" t="s">
        <v>1104</v>
      </c>
      <c r="Z143" s="126"/>
      <c r="AA143" s="57"/>
      <c r="AB143" s="57"/>
      <c r="AC143" s="57"/>
      <c r="AD143" s="57"/>
      <c r="AE143" s="57"/>
      <c r="AF143" s="57"/>
      <c r="AG143" s="57"/>
      <c r="AH143" s="57"/>
      <c r="AI143" s="57"/>
      <c r="AJ143" s="57"/>
      <c r="AK143" s="57"/>
      <c r="AL143" s="57"/>
      <c r="AM143" s="57"/>
      <c r="AN143" s="57"/>
    </row>
    <row r="144" spans="1:40" s="559" customFormat="1" ht="43.5">
      <c r="A144" s="126"/>
      <c r="B144" s="366" t="s">
        <v>403</v>
      </c>
      <c r="C144" s="367" t="s">
        <v>1256</v>
      </c>
      <c r="D144" s="546" t="s">
        <v>933</v>
      </c>
      <c r="E144" s="547">
        <v>3</v>
      </c>
      <c r="F144" s="169" t="str">
        <f>""&amp;Table12[[#This Row],[TTM Stage]]&amp;Table12[[#This Row],[Task No.]]&amp;"-"&amp;Table12[[#This Row],[Type of activity]]&amp;"-"&amp;Table12[[#This Row],[TargetGroup]]</f>
        <v>M3-DN4-A-Children</v>
      </c>
      <c r="G144" s="123" t="s">
        <v>914</v>
      </c>
      <c r="H144" s="123"/>
      <c r="I144" s="549" t="s">
        <v>1150</v>
      </c>
      <c r="J144" s="315"/>
      <c r="K144" s="371" t="s">
        <v>1292</v>
      </c>
      <c r="L144" s="551" t="s">
        <v>75</v>
      </c>
      <c r="M144" s="599" t="s">
        <v>1293</v>
      </c>
      <c r="N144" s="553" t="s">
        <v>1132</v>
      </c>
      <c r="O144" s="122">
        <v>1</v>
      </c>
      <c r="P144" s="122">
        <v>7</v>
      </c>
      <c r="Q144" s="122"/>
      <c r="R144" s="122"/>
      <c r="S144" s="122"/>
      <c r="T144" s="547" t="s">
        <v>1108</v>
      </c>
      <c r="U144" s="547" t="s">
        <v>1109</v>
      </c>
      <c r="V144" s="341" t="s">
        <v>1110</v>
      </c>
      <c r="W144" s="547">
        <v>4</v>
      </c>
      <c r="X144" s="547"/>
      <c r="Y144" s="341" t="s">
        <v>1104</v>
      </c>
      <c r="Z144" s="126"/>
      <c r="AA144" s="57"/>
      <c r="AB144" s="57"/>
      <c r="AC144" s="57"/>
      <c r="AD144" s="57"/>
      <c r="AE144" s="57"/>
      <c r="AF144" s="57"/>
      <c r="AG144" s="57"/>
      <c r="AH144" s="57"/>
      <c r="AI144" s="57"/>
      <c r="AJ144" s="57"/>
      <c r="AK144" s="57"/>
      <c r="AL144" s="57"/>
      <c r="AM144" s="57"/>
      <c r="AN144" s="57"/>
    </row>
    <row r="145" spans="1:40" s="559" customFormat="1" ht="43.5">
      <c r="A145" s="126"/>
      <c r="B145" s="366" t="s">
        <v>403</v>
      </c>
      <c r="C145" s="367" t="s">
        <v>1256</v>
      </c>
      <c r="D145" s="546" t="s">
        <v>933</v>
      </c>
      <c r="E145" s="547">
        <v>4</v>
      </c>
      <c r="F145" s="169" t="str">
        <f>""&amp;Table12[[#This Row],[TTM Stage]]&amp;Table12[[#This Row],[Task No.]]&amp;"-"&amp;Table12[[#This Row],[Type of activity]]&amp;"-"&amp;Table12[[#This Row],[TargetGroup]]</f>
        <v>M4-DN4-A-Children</v>
      </c>
      <c r="G145" s="123" t="s">
        <v>914</v>
      </c>
      <c r="H145" s="123"/>
      <c r="I145" s="549" t="s">
        <v>1150</v>
      </c>
      <c r="J145" s="315"/>
      <c r="K145" s="371" t="s">
        <v>1294</v>
      </c>
      <c r="L145" s="551" t="s">
        <v>75</v>
      </c>
      <c r="M145" s="599" t="s">
        <v>1295</v>
      </c>
      <c r="N145" s="553" t="s">
        <v>1132</v>
      </c>
      <c r="O145" s="122">
        <v>1</v>
      </c>
      <c r="P145" s="122">
        <v>7</v>
      </c>
      <c r="Q145" s="122"/>
      <c r="R145" s="122"/>
      <c r="S145" s="122"/>
      <c r="T145" s="547" t="s">
        <v>1108</v>
      </c>
      <c r="U145" s="547" t="s">
        <v>1109</v>
      </c>
      <c r="V145" s="341" t="s">
        <v>1110</v>
      </c>
      <c r="W145" s="547">
        <v>5</v>
      </c>
      <c r="X145" s="547"/>
      <c r="Y145" s="341" t="s">
        <v>1104</v>
      </c>
      <c r="Z145" s="126"/>
      <c r="AA145" s="57"/>
      <c r="AB145" s="57"/>
      <c r="AC145" s="57"/>
      <c r="AD145" s="57"/>
      <c r="AE145" s="57"/>
      <c r="AF145" s="57"/>
      <c r="AG145" s="57"/>
      <c r="AH145" s="57"/>
      <c r="AI145" s="57"/>
      <c r="AJ145" s="57"/>
      <c r="AK145" s="57"/>
      <c r="AL145" s="57"/>
      <c r="AM145" s="57"/>
      <c r="AN145" s="57"/>
    </row>
    <row r="146" spans="1:40" s="559" customFormat="1" ht="57.75">
      <c r="A146" s="126"/>
      <c r="B146" s="600" t="s">
        <v>435</v>
      </c>
      <c r="C146" s="601" t="s">
        <v>1296</v>
      </c>
      <c r="D146" s="558" t="s">
        <v>891</v>
      </c>
      <c r="E146" s="547">
        <v>1</v>
      </c>
      <c r="F146" s="169" t="str">
        <f>""&amp;Table12[[#This Row],[TTM Stage]]&amp;Table12[[#This Row],[Task No.]]&amp;"-"&amp;Table12[[#This Row],[Type of activity]]&amp;"-"&amp;Table12[[#This Row],[TargetGroup]]</f>
        <v>PC1-DN5-A-Children</v>
      </c>
      <c r="G146" s="123" t="s">
        <v>892</v>
      </c>
      <c r="H146" s="123"/>
      <c r="I146" s="124"/>
      <c r="J146" s="315"/>
      <c r="K146" s="371" t="s">
        <v>1297</v>
      </c>
      <c r="L146" s="551" t="s">
        <v>75</v>
      </c>
      <c r="M146" s="694" t="s">
        <v>1298</v>
      </c>
      <c r="N146" s="341" t="s">
        <v>1084</v>
      </c>
      <c r="O146" s="122">
        <v>1</v>
      </c>
      <c r="P146" s="122">
        <v>1</v>
      </c>
      <c r="Q146" s="122"/>
      <c r="R146" s="122"/>
      <c r="S146" s="122"/>
      <c r="T146" s="547" t="s">
        <v>1089</v>
      </c>
      <c r="U146" s="547" t="s">
        <v>1090</v>
      </c>
      <c r="V146" s="547" t="s">
        <v>1091</v>
      </c>
      <c r="W146" s="547" t="s">
        <v>1092</v>
      </c>
      <c r="X146" s="547"/>
      <c r="Y146" s="547" t="s">
        <v>1085</v>
      </c>
      <c r="Z146" s="126"/>
      <c r="AA146" s="57"/>
      <c r="AB146" s="57"/>
      <c r="AC146" s="57"/>
      <c r="AD146" s="57"/>
      <c r="AE146" s="57"/>
      <c r="AF146" s="57"/>
      <c r="AG146" s="57"/>
      <c r="AH146" s="57"/>
      <c r="AI146" s="57"/>
      <c r="AJ146" s="57"/>
      <c r="AK146" s="57"/>
      <c r="AL146" s="57"/>
      <c r="AM146" s="57"/>
      <c r="AN146" s="57"/>
    </row>
    <row r="147" spans="1:40" s="559" customFormat="1" ht="43.5">
      <c r="A147" s="126"/>
      <c r="B147" s="600" t="s">
        <v>435</v>
      </c>
      <c r="C147" s="601" t="s">
        <v>1296</v>
      </c>
      <c r="D147" s="558" t="s">
        <v>891</v>
      </c>
      <c r="E147" s="547">
        <v>2</v>
      </c>
      <c r="F147" s="169" t="str">
        <f>""&amp;Table12[[#This Row],[TTM Stage]]&amp;Table12[[#This Row],[Task No.]]&amp;"-"&amp;Table12[[#This Row],[Type of activity]]&amp;"-"&amp;Table12[[#This Row],[TargetGroup]]</f>
        <v>PC2-DN5-A-Children</v>
      </c>
      <c r="G147" s="123" t="s">
        <v>946</v>
      </c>
      <c r="H147" s="123"/>
      <c r="I147" s="124"/>
      <c r="J147" s="315"/>
      <c r="K147" s="371" t="s">
        <v>806</v>
      </c>
      <c r="L147" s="551" t="s">
        <v>75</v>
      </c>
      <c r="M147" s="125" t="s">
        <v>1299</v>
      </c>
      <c r="N147" s="553" t="s">
        <v>1300</v>
      </c>
      <c r="O147" s="122">
        <v>1</v>
      </c>
      <c r="P147" s="122">
        <v>1</v>
      </c>
      <c r="Q147" s="122"/>
      <c r="R147" s="122" t="s">
        <v>907</v>
      </c>
      <c r="S147" s="122"/>
      <c r="T147" s="547" t="s">
        <v>1089</v>
      </c>
      <c r="U147" s="547" t="s">
        <v>1090</v>
      </c>
      <c r="V147" s="547" t="s">
        <v>1091</v>
      </c>
      <c r="W147" s="547" t="s">
        <v>1092</v>
      </c>
      <c r="X147" s="547"/>
      <c r="Y147" s="341" t="s">
        <v>1085</v>
      </c>
      <c r="Z147" s="126"/>
      <c r="AA147" s="57"/>
      <c r="AB147" s="57"/>
      <c r="AC147" s="57"/>
      <c r="AD147" s="57"/>
      <c r="AE147" s="57"/>
      <c r="AF147" s="57"/>
      <c r="AG147" s="57"/>
      <c r="AH147" s="57"/>
      <c r="AI147" s="57"/>
      <c r="AJ147" s="57"/>
      <c r="AK147" s="57"/>
      <c r="AL147" s="57"/>
      <c r="AM147" s="57"/>
      <c r="AN147" s="57"/>
    </row>
    <row r="148" spans="1:40" s="559" customFormat="1" ht="87">
      <c r="A148" s="126"/>
      <c r="B148" s="600" t="s">
        <v>435</v>
      </c>
      <c r="C148" s="601" t="s">
        <v>1296</v>
      </c>
      <c r="D148" s="547" t="s">
        <v>899</v>
      </c>
      <c r="E148" s="547">
        <v>1</v>
      </c>
      <c r="F148" s="169" t="str">
        <f>""&amp;Table12[[#This Row],[TTM Stage]]&amp;Table12[[#This Row],[Task No.]]&amp;"-"&amp;Table12[[#This Row],[Type of activity]]&amp;"-"&amp;Table12[[#This Row],[TargetGroup]]</f>
        <v>C1-DN5-A-Children</v>
      </c>
      <c r="G148" s="123" t="s">
        <v>900</v>
      </c>
      <c r="H148" s="123"/>
      <c r="I148" s="124"/>
      <c r="J148" s="315"/>
      <c r="K148" s="371" t="s">
        <v>1301</v>
      </c>
      <c r="L148" s="551" t="s">
        <v>75</v>
      </c>
      <c r="M148" s="125" t="s">
        <v>1302</v>
      </c>
      <c r="N148" s="125"/>
      <c r="O148" s="122">
        <v>1</v>
      </c>
      <c r="P148" s="122">
        <v>1</v>
      </c>
      <c r="Q148" s="122"/>
      <c r="R148" s="122"/>
      <c r="S148" s="122"/>
      <c r="T148" s="122"/>
      <c r="U148" s="122"/>
      <c r="V148" s="122"/>
      <c r="W148" s="122"/>
      <c r="X148" s="122"/>
      <c r="Y148" s="122"/>
      <c r="Z148" s="126"/>
      <c r="AA148" s="57"/>
      <c r="AB148" s="57"/>
      <c r="AC148" s="57"/>
      <c r="AD148" s="57"/>
      <c r="AE148" s="57"/>
      <c r="AF148" s="57"/>
      <c r="AG148" s="57"/>
      <c r="AH148" s="57"/>
      <c r="AI148" s="57"/>
      <c r="AJ148" s="57"/>
      <c r="AK148" s="57"/>
      <c r="AL148" s="57"/>
      <c r="AM148" s="57"/>
      <c r="AN148" s="57"/>
    </row>
    <row r="149" spans="1:40" s="559" customFormat="1" ht="72.75">
      <c r="A149" s="126"/>
      <c r="B149" s="600" t="s">
        <v>435</v>
      </c>
      <c r="C149" s="601" t="s">
        <v>1296</v>
      </c>
      <c r="D149" s="547" t="s">
        <v>899</v>
      </c>
      <c r="E149" s="547">
        <v>2</v>
      </c>
      <c r="F149" s="169" t="str">
        <f>""&amp;Table12[[#This Row],[TTM Stage]]&amp;Table12[[#This Row],[Task No.]]&amp;"-"&amp;Table12[[#This Row],[Type of activity]]&amp;"-"&amp;Table12[[#This Row],[TargetGroup]]</f>
        <v>C2-DN5-A-Children</v>
      </c>
      <c r="G149" s="123" t="s">
        <v>900</v>
      </c>
      <c r="H149" s="123"/>
      <c r="I149" s="124"/>
      <c r="J149" s="315"/>
      <c r="K149" s="371" t="s">
        <v>1303</v>
      </c>
      <c r="L149" s="551" t="s">
        <v>75</v>
      </c>
      <c r="M149" s="565" t="s">
        <v>1304</v>
      </c>
      <c r="N149" s="125"/>
      <c r="O149" s="122">
        <v>1</v>
      </c>
      <c r="P149" s="122">
        <v>1</v>
      </c>
      <c r="Q149" s="122"/>
      <c r="R149" s="122"/>
      <c r="S149" s="122"/>
      <c r="T149" s="122"/>
      <c r="U149" s="122"/>
      <c r="V149" s="122"/>
      <c r="W149" s="122"/>
      <c r="X149" s="122"/>
      <c r="Y149" s="122"/>
      <c r="Z149" s="126"/>
      <c r="AA149" s="57"/>
      <c r="AB149" s="57"/>
      <c r="AC149" s="57"/>
      <c r="AD149" s="57"/>
      <c r="AE149" s="57"/>
      <c r="AF149" s="57"/>
      <c r="AG149" s="57"/>
      <c r="AH149" s="57"/>
      <c r="AI149" s="57"/>
      <c r="AJ149" s="57"/>
      <c r="AK149" s="57"/>
      <c r="AL149" s="57"/>
      <c r="AM149" s="57"/>
      <c r="AN149" s="57"/>
    </row>
    <row r="150" spans="1:40" s="559" customFormat="1" ht="72.75">
      <c r="A150" s="126"/>
      <c r="B150" s="600" t="s">
        <v>435</v>
      </c>
      <c r="C150" s="601" t="s">
        <v>1296</v>
      </c>
      <c r="D150" s="561" t="s">
        <v>908</v>
      </c>
      <c r="E150" s="547">
        <v>1</v>
      </c>
      <c r="F150" s="169" t="str">
        <f>""&amp;Table12[[#This Row],[TTM Stage]]&amp;Table12[[#This Row],[Task No.]]&amp;"-"&amp;Table12[[#This Row],[Type of activity]]&amp;"-"&amp;Table12[[#This Row],[TargetGroup]]</f>
        <v>P1-DN5-A-Children</v>
      </c>
      <c r="G150" s="123" t="s">
        <v>984</v>
      </c>
      <c r="H150" s="123"/>
      <c r="I150" s="124"/>
      <c r="J150" s="315"/>
      <c r="K150" s="371" t="s">
        <v>1305</v>
      </c>
      <c r="L150" s="551" t="s">
        <v>75</v>
      </c>
      <c r="M150" s="125" t="s">
        <v>1306</v>
      </c>
      <c r="N150" s="553" t="s">
        <v>1307</v>
      </c>
      <c r="O150" s="122">
        <v>1</v>
      </c>
      <c r="P150" s="122">
        <v>1</v>
      </c>
      <c r="Q150" s="122" t="s">
        <v>907</v>
      </c>
      <c r="R150" s="122"/>
      <c r="S150" s="122"/>
      <c r="T150" s="547" t="s">
        <v>1089</v>
      </c>
      <c r="U150" s="122"/>
      <c r="V150" s="122"/>
      <c r="W150" s="122"/>
      <c r="X150" s="122"/>
      <c r="Y150" s="122"/>
      <c r="Z150" s="126"/>
      <c r="AA150" s="57"/>
      <c r="AB150" s="57"/>
      <c r="AC150" s="57"/>
      <c r="AD150" s="57"/>
      <c r="AE150" s="57"/>
      <c r="AF150" s="57"/>
      <c r="AG150" s="57"/>
      <c r="AH150" s="57"/>
      <c r="AI150" s="57"/>
      <c r="AJ150" s="57"/>
      <c r="AK150" s="57"/>
      <c r="AL150" s="57"/>
      <c r="AM150" s="57"/>
      <c r="AN150" s="57"/>
    </row>
    <row r="151" spans="1:40" s="559" customFormat="1" ht="43.5">
      <c r="A151" s="126"/>
      <c r="B151" s="600" t="s">
        <v>435</v>
      </c>
      <c r="C151" s="601" t="s">
        <v>1296</v>
      </c>
      <c r="D151" s="561" t="s">
        <v>908</v>
      </c>
      <c r="E151" s="547">
        <v>2</v>
      </c>
      <c r="F151" s="169" t="str">
        <f>""&amp;Table12[[#This Row],[TTM Stage]]&amp;Table12[[#This Row],[Task No.]]&amp;"-"&amp;Table12[[#This Row],[Type of activity]]&amp;"-"&amp;Table12[[#This Row],[TargetGroup]]</f>
        <v>P2-DN5-A-Children</v>
      </c>
      <c r="G151" s="123" t="s">
        <v>914</v>
      </c>
      <c r="H151" s="123"/>
      <c r="I151" s="549" t="s">
        <v>1150</v>
      </c>
      <c r="J151" s="315"/>
      <c r="K151" s="371" t="s">
        <v>1308</v>
      </c>
      <c r="L151" s="551" t="s">
        <v>75</v>
      </c>
      <c r="M151" s="551" t="s">
        <v>1309</v>
      </c>
      <c r="N151" s="567" t="s">
        <v>1310</v>
      </c>
      <c r="O151" s="122">
        <v>1</v>
      </c>
      <c r="P151" s="122">
        <v>1</v>
      </c>
      <c r="Q151" s="122"/>
      <c r="R151" s="122"/>
      <c r="S151" s="122"/>
      <c r="T151" s="547" t="s">
        <v>1108</v>
      </c>
      <c r="U151" s="547" t="s">
        <v>1109</v>
      </c>
      <c r="V151" s="341" t="s">
        <v>1110</v>
      </c>
      <c r="W151" s="547">
        <v>1</v>
      </c>
      <c r="X151" s="547"/>
      <c r="Y151" s="341" t="s">
        <v>1104</v>
      </c>
      <c r="Z151" s="126"/>
      <c r="AA151" s="57"/>
      <c r="AB151" s="57"/>
      <c r="AC151" s="57"/>
      <c r="AD151" s="57"/>
      <c r="AE151" s="57"/>
      <c r="AF151" s="57"/>
      <c r="AG151" s="57"/>
      <c r="AH151" s="57"/>
      <c r="AI151" s="57"/>
      <c r="AJ151" s="57"/>
      <c r="AK151" s="57"/>
      <c r="AL151" s="57"/>
      <c r="AM151" s="57"/>
      <c r="AN151" s="57"/>
    </row>
    <row r="152" spans="1:40" s="559" customFormat="1" ht="57.75">
      <c r="A152" s="126"/>
      <c r="B152" s="600" t="s">
        <v>435</v>
      </c>
      <c r="C152" s="601" t="s">
        <v>1296</v>
      </c>
      <c r="D152" s="569" t="s">
        <v>921</v>
      </c>
      <c r="E152" s="547">
        <v>1</v>
      </c>
      <c r="F152" s="169" t="str">
        <f>""&amp;Table12[[#This Row],[TTM Stage]]&amp;Table12[[#This Row],[Task No.]]&amp;"-"&amp;Table12[[#This Row],[Type of activity]]&amp;"-"&amp;Table12[[#This Row],[TargetGroup]]</f>
        <v>A1-DN5-A-Children</v>
      </c>
      <c r="G152" s="123" t="s">
        <v>914</v>
      </c>
      <c r="H152" s="123"/>
      <c r="I152" s="549" t="s">
        <v>1150</v>
      </c>
      <c r="J152" s="315"/>
      <c r="K152" s="371" t="s">
        <v>1311</v>
      </c>
      <c r="L152" s="551" t="s">
        <v>75</v>
      </c>
      <c r="M152" s="551" t="s">
        <v>1312</v>
      </c>
      <c r="N152" s="602" t="s">
        <v>1313</v>
      </c>
      <c r="O152" s="122">
        <v>1</v>
      </c>
      <c r="P152" s="122">
        <v>7</v>
      </c>
      <c r="Q152" s="122"/>
      <c r="R152" s="122"/>
      <c r="S152" s="122"/>
      <c r="T152" s="122" t="s">
        <v>1277</v>
      </c>
      <c r="U152" s="122" t="s">
        <v>1314</v>
      </c>
      <c r="V152" s="571" t="s">
        <v>1116</v>
      </c>
      <c r="W152" s="570" t="s">
        <v>1117</v>
      </c>
      <c r="X152" s="122"/>
      <c r="Y152" s="341" t="s">
        <v>1104</v>
      </c>
      <c r="Z152" s="126"/>
      <c r="AA152" s="57"/>
      <c r="AB152" s="57"/>
      <c r="AC152" s="57"/>
      <c r="AD152" s="57"/>
      <c r="AE152" s="57"/>
      <c r="AF152" s="57"/>
      <c r="AG152" s="57"/>
      <c r="AH152" s="57"/>
      <c r="AI152" s="57"/>
      <c r="AJ152" s="57"/>
      <c r="AK152" s="57"/>
      <c r="AL152" s="57"/>
      <c r="AM152" s="57"/>
      <c r="AN152" s="57"/>
    </row>
    <row r="153" spans="1:40" s="559" customFormat="1" ht="57.75">
      <c r="A153" s="126"/>
      <c r="B153" s="600" t="s">
        <v>435</v>
      </c>
      <c r="C153" s="601" t="s">
        <v>1296</v>
      </c>
      <c r="D153" s="569" t="s">
        <v>921</v>
      </c>
      <c r="E153" s="547">
        <v>2</v>
      </c>
      <c r="F153" s="169" t="str">
        <f>""&amp;Table12[[#This Row],[TTM Stage]]&amp;Table12[[#This Row],[Task No.]]&amp;"-"&amp;Table12[[#This Row],[Type of activity]]&amp;"-"&amp;Table12[[#This Row],[TargetGroup]]</f>
        <v>A2-DN5-A-Children</v>
      </c>
      <c r="G153" s="123" t="s">
        <v>914</v>
      </c>
      <c r="H153" s="123"/>
      <c r="I153" s="549" t="s">
        <v>1150</v>
      </c>
      <c r="J153" s="315"/>
      <c r="K153" s="371" t="s">
        <v>1315</v>
      </c>
      <c r="L153" s="551" t="s">
        <v>75</v>
      </c>
      <c r="M153" s="551" t="s">
        <v>1316</v>
      </c>
      <c r="N153" s="553" t="s">
        <v>1317</v>
      </c>
      <c r="O153" s="122">
        <v>1</v>
      </c>
      <c r="P153" s="122">
        <v>7</v>
      </c>
      <c r="Q153" s="122"/>
      <c r="R153" s="122"/>
      <c r="S153" s="122"/>
      <c r="T153" s="122" t="s">
        <v>1277</v>
      </c>
      <c r="U153" s="122" t="s">
        <v>1314</v>
      </c>
      <c r="V153" s="571" t="s">
        <v>1116</v>
      </c>
      <c r="W153" s="570" t="s">
        <v>1121</v>
      </c>
      <c r="X153" s="122"/>
      <c r="Y153" s="341" t="s">
        <v>1104</v>
      </c>
      <c r="Z153" s="126"/>
      <c r="AA153" s="57"/>
      <c r="AB153" s="57"/>
      <c r="AC153" s="57"/>
      <c r="AD153" s="57"/>
      <c r="AE153" s="57"/>
      <c r="AF153" s="57"/>
      <c r="AG153" s="57"/>
      <c r="AH153" s="57"/>
      <c r="AI153" s="57"/>
      <c r="AJ153" s="57"/>
      <c r="AK153" s="57"/>
      <c r="AL153" s="57"/>
      <c r="AM153" s="57"/>
      <c r="AN153" s="57"/>
    </row>
    <row r="154" spans="1:40" s="559" customFormat="1" ht="57.75">
      <c r="A154" s="126"/>
      <c r="B154" s="600" t="s">
        <v>435</v>
      </c>
      <c r="C154" s="601" t="s">
        <v>1296</v>
      </c>
      <c r="D154" s="569" t="s">
        <v>921</v>
      </c>
      <c r="E154" s="547">
        <v>3</v>
      </c>
      <c r="F154" s="169" t="str">
        <f>""&amp;Table12[[#This Row],[TTM Stage]]&amp;Table12[[#This Row],[Task No.]]&amp;"-"&amp;Table12[[#This Row],[Type of activity]]&amp;"-"&amp;Table12[[#This Row],[TargetGroup]]</f>
        <v>A3-DN5-A-Children</v>
      </c>
      <c r="G154" s="123" t="s">
        <v>914</v>
      </c>
      <c r="H154" s="123"/>
      <c r="I154" s="549" t="s">
        <v>1150</v>
      </c>
      <c r="J154" s="315"/>
      <c r="K154" s="371" t="s">
        <v>1318</v>
      </c>
      <c r="L154" s="551" t="s">
        <v>75</v>
      </c>
      <c r="M154" s="551" t="s">
        <v>1319</v>
      </c>
      <c r="N154" s="553" t="s">
        <v>1320</v>
      </c>
      <c r="O154" s="122">
        <v>1</v>
      </c>
      <c r="P154" s="122">
        <v>7</v>
      </c>
      <c r="Q154" s="122"/>
      <c r="R154" s="122"/>
      <c r="S154" s="122"/>
      <c r="T154" s="122" t="s">
        <v>1277</v>
      </c>
      <c r="U154" s="122" t="s">
        <v>1314</v>
      </c>
      <c r="V154" s="571" t="s">
        <v>1116</v>
      </c>
      <c r="W154" s="570" t="s">
        <v>1125</v>
      </c>
      <c r="X154" s="122"/>
      <c r="Y154" s="341" t="s">
        <v>1104</v>
      </c>
      <c r="Z154" s="126"/>
      <c r="AA154" s="57"/>
      <c r="AB154" s="57"/>
      <c r="AC154" s="57"/>
      <c r="AD154" s="57"/>
      <c r="AE154" s="57"/>
      <c r="AF154" s="57"/>
      <c r="AG154" s="57"/>
      <c r="AH154" s="57"/>
      <c r="AI154" s="57"/>
      <c r="AJ154" s="57"/>
      <c r="AK154" s="57"/>
      <c r="AL154" s="57"/>
      <c r="AM154" s="57"/>
      <c r="AN154" s="57"/>
    </row>
    <row r="155" spans="1:40" s="559" customFormat="1" ht="43.5">
      <c r="A155" s="126"/>
      <c r="B155" s="600" t="s">
        <v>435</v>
      </c>
      <c r="C155" s="601" t="s">
        <v>1296</v>
      </c>
      <c r="D155" s="569" t="s">
        <v>921</v>
      </c>
      <c r="E155" s="547">
        <v>4</v>
      </c>
      <c r="F155" s="169" t="str">
        <f>""&amp;Table12[[#This Row],[TTM Stage]]&amp;Table12[[#This Row],[Task No.]]&amp;"-"&amp;Table12[[#This Row],[Type of activity]]&amp;"-"&amp;Table12[[#This Row],[TargetGroup]]</f>
        <v>A4-DN5-A-Children</v>
      </c>
      <c r="G155" s="123" t="s">
        <v>914</v>
      </c>
      <c r="H155" s="123"/>
      <c r="I155" s="549" t="s">
        <v>1150</v>
      </c>
      <c r="J155" s="315"/>
      <c r="K155" s="371" t="s">
        <v>1321</v>
      </c>
      <c r="L155" s="551" t="s">
        <v>75</v>
      </c>
      <c r="M155" s="551" t="s">
        <v>1322</v>
      </c>
      <c r="N155" s="553" t="s">
        <v>1323</v>
      </c>
      <c r="O155" s="122">
        <v>1</v>
      </c>
      <c r="P155" s="122">
        <v>7</v>
      </c>
      <c r="Q155" s="122"/>
      <c r="R155" s="122"/>
      <c r="S155" s="122"/>
      <c r="T155" s="122" t="s">
        <v>1277</v>
      </c>
      <c r="U155" s="122" t="s">
        <v>1314</v>
      </c>
      <c r="V155" s="341" t="s">
        <v>1116</v>
      </c>
      <c r="W155" s="547" t="s">
        <v>1129</v>
      </c>
      <c r="X155" s="122"/>
      <c r="Y155" s="341" t="s">
        <v>1104</v>
      </c>
      <c r="Z155" s="126"/>
      <c r="AA155" s="57"/>
      <c r="AB155" s="57"/>
      <c r="AC155" s="57"/>
      <c r="AD155" s="57"/>
      <c r="AE155" s="57"/>
      <c r="AF155" s="57"/>
      <c r="AG155" s="57"/>
      <c r="AH155" s="57"/>
      <c r="AI155" s="57"/>
      <c r="AJ155" s="57"/>
      <c r="AK155" s="57"/>
      <c r="AL155" s="57"/>
      <c r="AM155" s="57"/>
      <c r="AN155" s="57"/>
    </row>
    <row r="156" spans="1:40" s="559" customFormat="1" ht="43.5">
      <c r="A156" s="126"/>
      <c r="B156" s="600" t="s">
        <v>435</v>
      </c>
      <c r="C156" s="601" t="s">
        <v>1296</v>
      </c>
      <c r="D156" s="546" t="s">
        <v>933</v>
      </c>
      <c r="E156" s="547">
        <v>1</v>
      </c>
      <c r="F156" s="169" t="str">
        <f>""&amp;Table12[[#This Row],[TTM Stage]]&amp;Table12[[#This Row],[Task No.]]&amp;"-"&amp;Table12[[#This Row],[Type of activity]]&amp;"-"&amp;Table12[[#This Row],[TargetGroup]]</f>
        <v>M1-DN5-A-Children</v>
      </c>
      <c r="G156" s="123" t="s">
        <v>914</v>
      </c>
      <c r="H156" s="123"/>
      <c r="I156" s="549" t="s">
        <v>1150</v>
      </c>
      <c r="J156" s="315"/>
      <c r="K156" s="371" t="s">
        <v>1324</v>
      </c>
      <c r="L156" s="551" t="s">
        <v>75</v>
      </c>
      <c r="M156" s="551" t="s">
        <v>1325</v>
      </c>
      <c r="N156" s="553" t="s">
        <v>1132</v>
      </c>
      <c r="O156" s="122">
        <v>1</v>
      </c>
      <c r="P156" s="122">
        <v>7</v>
      </c>
      <c r="Q156" s="122"/>
      <c r="R156" s="122"/>
      <c r="S156" s="122"/>
      <c r="T156" s="547" t="s">
        <v>1108</v>
      </c>
      <c r="U156" s="547" t="s">
        <v>1109</v>
      </c>
      <c r="V156" s="341" t="s">
        <v>1110</v>
      </c>
      <c r="W156" s="547">
        <v>1</v>
      </c>
      <c r="X156" s="547"/>
      <c r="Y156" s="341" t="s">
        <v>1104</v>
      </c>
      <c r="Z156" s="126"/>
      <c r="AA156" s="57"/>
      <c r="AB156" s="57"/>
      <c r="AC156" s="57"/>
      <c r="AD156" s="57"/>
      <c r="AE156" s="57"/>
      <c r="AF156" s="57"/>
      <c r="AG156" s="57"/>
      <c r="AH156" s="57"/>
      <c r="AI156" s="57"/>
      <c r="AJ156" s="57"/>
      <c r="AK156" s="57"/>
      <c r="AL156" s="57"/>
      <c r="AM156" s="57"/>
      <c r="AN156" s="57"/>
    </row>
    <row r="157" spans="1:40" s="559" customFormat="1" ht="43.5">
      <c r="A157" s="126"/>
      <c r="B157" s="600" t="s">
        <v>435</v>
      </c>
      <c r="C157" s="601" t="s">
        <v>1296</v>
      </c>
      <c r="D157" s="546" t="s">
        <v>933</v>
      </c>
      <c r="E157" s="547">
        <v>2</v>
      </c>
      <c r="F157" s="169" t="str">
        <f>""&amp;Table12[[#This Row],[TTM Stage]]&amp;Table12[[#This Row],[Task No.]]&amp;"-"&amp;Table12[[#This Row],[Type of activity]]&amp;"-"&amp;Table12[[#This Row],[TargetGroup]]</f>
        <v>M2-DN5-A-Children</v>
      </c>
      <c r="G157" s="123" t="s">
        <v>914</v>
      </c>
      <c r="H157" s="123"/>
      <c r="I157" s="549" t="s">
        <v>1150</v>
      </c>
      <c r="J157" s="315"/>
      <c r="K157" s="371" t="s">
        <v>1326</v>
      </c>
      <c r="L157" s="551" t="s">
        <v>75</v>
      </c>
      <c r="M157" s="551" t="s">
        <v>1327</v>
      </c>
      <c r="N157" s="553" t="s">
        <v>1132</v>
      </c>
      <c r="O157" s="122">
        <v>1</v>
      </c>
      <c r="P157" s="122">
        <v>7</v>
      </c>
      <c r="Q157" s="122"/>
      <c r="R157" s="122"/>
      <c r="S157" s="122"/>
      <c r="T157" s="547" t="s">
        <v>1108</v>
      </c>
      <c r="U157" s="547" t="s">
        <v>1109</v>
      </c>
      <c r="V157" s="341" t="s">
        <v>1110</v>
      </c>
      <c r="W157" s="547">
        <v>2</v>
      </c>
      <c r="X157" s="547"/>
      <c r="Y157" s="341" t="s">
        <v>1104</v>
      </c>
      <c r="Z157" s="126"/>
      <c r="AA157" s="57"/>
      <c r="AB157" s="57"/>
      <c r="AC157" s="57"/>
      <c r="AD157" s="57"/>
      <c r="AE157" s="57"/>
      <c r="AF157" s="57"/>
      <c r="AG157" s="57"/>
      <c r="AH157" s="57"/>
      <c r="AI157" s="57"/>
      <c r="AJ157" s="57"/>
      <c r="AK157" s="57"/>
      <c r="AL157" s="57"/>
      <c r="AM157" s="57"/>
      <c r="AN157" s="57"/>
    </row>
    <row r="158" spans="1:40" s="543" customFormat="1" ht="43.5">
      <c r="A158" s="115"/>
      <c r="B158" s="303" t="s">
        <v>435</v>
      </c>
      <c r="C158" s="302" t="s">
        <v>1296</v>
      </c>
      <c r="D158" s="257" t="s">
        <v>933</v>
      </c>
      <c r="E158" s="237">
        <v>3</v>
      </c>
      <c r="F158" s="168" t="str">
        <f>""&amp;Table12[[#This Row],[TTM Stage]]&amp;Table12[[#This Row],[Task No.]]&amp;"-"&amp;Table12[[#This Row],[Type of activity]]&amp;"-"&amp;Table12[[#This Row],[TargetGroup]]</f>
        <v>M3-DN5-A-Children</v>
      </c>
      <c r="G158" s="112" t="s">
        <v>914</v>
      </c>
      <c r="H158" s="112"/>
      <c r="I158" s="238" t="s">
        <v>1150</v>
      </c>
      <c r="J158" s="259"/>
      <c r="K158" s="519" t="s">
        <v>1328</v>
      </c>
      <c r="L158" s="372" t="s">
        <v>75</v>
      </c>
      <c r="M158" s="372" t="s">
        <v>1329</v>
      </c>
      <c r="N158" s="255" t="s">
        <v>1132</v>
      </c>
      <c r="O158" s="108">
        <v>1</v>
      </c>
      <c r="P158" s="108">
        <v>7</v>
      </c>
      <c r="Q158" s="108"/>
      <c r="R158" s="108"/>
      <c r="S158" s="108"/>
      <c r="T158" s="237" t="s">
        <v>1108</v>
      </c>
      <c r="U158" s="237" t="s">
        <v>1109</v>
      </c>
      <c r="V158" s="226" t="s">
        <v>1110</v>
      </c>
      <c r="W158" s="237">
        <v>2</v>
      </c>
      <c r="X158" s="237"/>
      <c r="Y158" s="226" t="s">
        <v>1104</v>
      </c>
      <c r="Z158" s="115"/>
      <c r="AA158" s="41"/>
      <c r="AB158" s="41"/>
      <c r="AC158" s="41"/>
      <c r="AD158" s="41"/>
      <c r="AE158" s="41"/>
      <c r="AF158" s="41"/>
      <c r="AG158" s="41"/>
      <c r="AH158" s="41"/>
      <c r="AI158" s="41"/>
      <c r="AJ158" s="41"/>
      <c r="AK158" s="41"/>
      <c r="AL158" s="41"/>
      <c r="AM158" s="41"/>
      <c r="AN158" s="41"/>
    </row>
    <row r="159" spans="1:40" ht="43.5">
      <c r="A159" s="147"/>
      <c r="B159" s="603" t="s">
        <v>435</v>
      </c>
      <c r="C159" s="604" t="s">
        <v>1296</v>
      </c>
      <c r="D159" s="573" t="s">
        <v>933</v>
      </c>
      <c r="E159" s="574">
        <v>4</v>
      </c>
      <c r="F159" s="522" t="str">
        <f>""&amp;Table12[[#This Row],[TTM Stage]]&amp;Table12[[#This Row],[Task No.]]&amp;"-"&amp;Table12[[#This Row],[Type of activity]]&amp;"-"&amp;Table12[[#This Row],[TargetGroup]]</f>
        <v>M4-DN5-A-Children</v>
      </c>
      <c r="G159" s="575" t="s">
        <v>914</v>
      </c>
      <c r="H159" s="575"/>
      <c r="I159" s="576" t="s">
        <v>1150</v>
      </c>
      <c r="J159" s="577"/>
      <c r="K159" s="533" t="s">
        <v>1330</v>
      </c>
      <c r="L159" s="239" t="s">
        <v>75</v>
      </c>
      <c r="M159" s="310" t="s">
        <v>1331</v>
      </c>
      <c r="N159" s="578" t="s">
        <v>1132</v>
      </c>
      <c r="O159" s="579">
        <v>1</v>
      </c>
      <c r="P159" s="579">
        <v>7</v>
      </c>
      <c r="Q159" s="579"/>
      <c r="R159" s="579"/>
      <c r="S159" s="579"/>
      <c r="T159" s="574" t="s">
        <v>1108</v>
      </c>
      <c r="U159" s="574" t="s">
        <v>1109</v>
      </c>
      <c r="V159" s="552" t="s">
        <v>1110</v>
      </c>
      <c r="W159" s="574">
        <v>2</v>
      </c>
      <c r="X159" s="574"/>
      <c r="Y159" s="552" t="s">
        <v>1104</v>
      </c>
      <c r="Z159" s="566"/>
      <c r="AA159" s="580"/>
      <c r="AB159" s="580"/>
      <c r="AC159" s="580"/>
      <c r="AD159" s="580"/>
      <c r="AE159" s="580"/>
      <c r="AF159" s="580"/>
      <c r="AG159" s="580"/>
      <c r="AH159" s="580"/>
      <c r="AI159" s="580"/>
      <c r="AJ159" s="580"/>
      <c r="AK159" s="580"/>
      <c r="AL159" s="580"/>
      <c r="AM159" s="580"/>
      <c r="AN159" s="580"/>
    </row>
    <row r="160" spans="1:40" s="559" customFormat="1" ht="57.75">
      <c r="A160" s="126"/>
      <c r="B160" s="600" t="s">
        <v>435</v>
      </c>
      <c r="C160" s="601" t="s">
        <v>1332</v>
      </c>
      <c r="D160" s="558" t="s">
        <v>891</v>
      </c>
      <c r="E160" s="547">
        <v>1</v>
      </c>
      <c r="F160" s="169" t="str">
        <f>""&amp;Table12[[#This Row],[TTM Stage]]&amp;Table12[[#This Row],[Task No.]]&amp;"-"&amp;Table12[[#This Row],[Type of activity]]&amp;"-"&amp;Table12[[#This Row],[TargetGroup]]</f>
        <v>PC1-DN5-B-Children</v>
      </c>
      <c r="G160" s="123" t="s">
        <v>892</v>
      </c>
      <c r="H160" s="123"/>
      <c r="I160" s="124"/>
      <c r="J160" s="315"/>
      <c r="K160" s="371" t="s">
        <v>1333</v>
      </c>
      <c r="L160" s="551" t="s">
        <v>75</v>
      </c>
      <c r="M160" s="694" t="s">
        <v>1334</v>
      </c>
      <c r="N160" s="341" t="s">
        <v>1084</v>
      </c>
      <c r="O160" s="122">
        <v>1</v>
      </c>
      <c r="P160" s="122">
        <v>1</v>
      </c>
      <c r="Q160" s="122"/>
      <c r="R160" s="122"/>
      <c r="S160" s="122"/>
      <c r="T160" s="547" t="s">
        <v>1089</v>
      </c>
      <c r="U160" s="547" t="s">
        <v>1090</v>
      </c>
      <c r="V160" s="547" t="s">
        <v>1091</v>
      </c>
      <c r="W160" s="547" t="s">
        <v>1092</v>
      </c>
      <c r="X160" s="547"/>
      <c r="Y160" s="547" t="s">
        <v>1085</v>
      </c>
      <c r="Z160" s="126"/>
      <c r="AA160" s="57"/>
      <c r="AB160" s="57"/>
      <c r="AC160" s="57"/>
      <c r="AD160" s="57"/>
      <c r="AE160" s="57"/>
      <c r="AF160" s="57"/>
      <c r="AG160" s="57"/>
      <c r="AH160" s="57"/>
      <c r="AI160" s="57"/>
      <c r="AJ160" s="57"/>
      <c r="AK160" s="57"/>
      <c r="AL160" s="57"/>
      <c r="AM160" s="57"/>
      <c r="AN160" s="57"/>
    </row>
    <row r="161" spans="1:40" s="559" customFormat="1" ht="43.5">
      <c r="A161" s="126"/>
      <c r="B161" s="600" t="s">
        <v>435</v>
      </c>
      <c r="C161" s="601" t="s">
        <v>1332</v>
      </c>
      <c r="D161" s="558" t="s">
        <v>891</v>
      </c>
      <c r="E161" s="547">
        <v>2</v>
      </c>
      <c r="F161" s="169" t="str">
        <f>""&amp;Table12[[#This Row],[TTM Stage]]&amp;Table12[[#This Row],[Task No.]]&amp;"-"&amp;Table12[[#This Row],[Type of activity]]&amp;"-"&amp;Table12[[#This Row],[TargetGroup]]</f>
        <v>PC2-DN5-B-Children</v>
      </c>
      <c r="G161" s="123" t="s">
        <v>946</v>
      </c>
      <c r="H161" s="123"/>
      <c r="I161" s="124"/>
      <c r="J161" s="315"/>
      <c r="K161" s="371" t="s">
        <v>1335</v>
      </c>
      <c r="L161" s="551" t="s">
        <v>75</v>
      </c>
      <c r="M161" s="125" t="s">
        <v>1336</v>
      </c>
      <c r="N161" s="553" t="s">
        <v>1300</v>
      </c>
      <c r="O161" s="122">
        <v>1</v>
      </c>
      <c r="P161" s="122">
        <v>1</v>
      </c>
      <c r="Q161" s="122"/>
      <c r="R161" s="122"/>
      <c r="S161" s="122"/>
      <c r="T161" s="547" t="s">
        <v>1089</v>
      </c>
      <c r="U161" s="547" t="s">
        <v>1090</v>
      </c>
      <c r="V161" s="547" t="s">
        <v>1091</v>
      </c>
      <c r="W161" s="547" t="s">
        <v>1092</v>
      </c>
      <c r="X161" s="547"/>
      <c r="Y161" s="547" t="s">
        <v>1085</v>
      </c>
      <c r="Z161" s="126"/>
      <c r="AA161" s="57"/>
      <c r="AB161" s="57"/>
      <c r="AC161" s="57"/>
      <c r="AD161" s="57"/>
      <c r="AE161" s="57"/>
      <c r="AF161" s="57"/>
      <c r="AG161" s="57"/>
      <c r="AH161" s="57"/>
      <c r="AI161" s="57"/>
      <c r="AJ161" s="57"/>
      <c r="AK161" s="57"/>
      <c r="AL161" s="57"/>
      <c r="AM161" s="57"/>
      <c r="AN161" s="57"/>
    </row>
    <row r="162" spans="1:40" s="559" customFormat="1" ht="29.25">
      <c r="A162" s="126"/>
      <c r="B162" s="600" t="s">
        <v>435</v>
      </c>
      <c r="C162" s="601" t="s">
        <v>1332</v>
      </c>
      <c r="D162" s="547" t="s">
        <v>899</v>
      </c>
      <c r="E162" s="547">
        <v>1</v>
      </c>
      <c r="F162" s="169" t="str">
        <f>""&amp;Table12[[#This Row],[TTM Stage]]&amp;Table12[[#This Row],[Task No.]]&amp;"-"&amp;Table12[[#This Row],[Type of activity]]&amp;"-"&amp;Table12[[#This Row],[TargetGroup]]</f>
        <v>C1-DN5-B-Children</v>
      </c>
      <c r="G162" s="123" t="s">
        <v>900</v>
      </c>
      <c r="H162" s="123"/>
      <c r="I162" s="124"/>
      <c r="J162" s="315"/>
      <c r="K162" s="371" t="s">
        <v>1337</v>
      </c>
      <c r="L162" s="551" t="s">
        <v>75</v>
      </c>
      <c r="M162" s="125" t="s">
        <v>1338</v>
      </c>
      <c r="N162" s="125"/>
      <c r="O162" s="122">
        <v>1</v>
      </c>
      <c r="P162" s="122">
        <v>1</v>
      </c>
      <c r="Q162" s="122"/>
      <c r="R162" s="122"/>
      <c r="S162" s="122"/>
      <c r="T162" s="547"/>
      <c r="U162" s="122"/>
      <c r="V162" s="122"/>
      <c r="W162" s="122"/>
      <c r="X162" s="122"/>
      <c r="Y162" s="122"/>
      <c r="Z162" s="126"/>
      <c r="AA162" s="57"/>
      <c r="AB162" s="57"/>
      <c r="AC162" s="57"/>
      <c r="AD162" s="57"/>
      <c r="AE162" s="57"/>
      <c r="AF162" s="57"/>
      <c r="AG162" s="57"/>
      <c r="AH162" s="57"/>
      <c r="AI162" s="57"/>
      <c r="AJ162" s="57"/>
      <c r="AK162" s="57"/>
      <c r="AL162" s="57"/>
      <c r="AM162" s="57"/>
      <c r="AN162" s="57"/>
    </row>
    <row r="163" spans="1:40" s="559" customFormat="1" ht="72.75">
      <c r="A163" s="126"/>
      <c r="B163" s="600" t="s">
        <v>435</v>
      </c>
      <c r="C163" s="601" t="s">
        <v>1332</v>
      </c>
      <c r="D163" s="547" t="s">
        <v>899</v>
      </c>
      <c r="E163" s="547">
        <v>2</v>
      </c>
      <c r="F163" s="169" t="str">
        <f>""&amp;Table12[[#This Row],[TTM Stage]]&amp;Table12[[#This Row],[Task No.]]&amp;"-"&amp;Table12[[#This Row],[Type of activity]]&amp;"-"&amp;Table12[[#This Row],[TargetGroup]]</f>
        <v>C2-DN5-B-Children</v>
      </c>
      <c r="G163" s="123" t="s">
        <v>900</v>
      </c>
      <c r="H163" s="123"/>
      <c r="I163" s="124"/>
      <c r="J163" s="315"/>
      <c r="K163" s="371" t="s">
        <v>1339</v>
      </c>
      <c r="L163" s="551" t="s">
        <v>75</v>
      </c>
      <c r="M163" s="125" t="s">
        <v>1340</v>
      </c>
      <c r="N163" s="125"/>
      <c r="O163" s="122">
        <v>1</v>
      </c>
      <c r="P163" s="122">
        <v>1</v>
      </c>
      <c r="Q163" s="122"/>
      <c r="R163" s="122"/>
      <c r="S163" s="122"/>
      <c r="T163" s="547"/>
      <c r="U163" s="122"/>
      <c r="V163" s="122"/>
      <c r="W163" s="122"/>
      <c r="X163" s="122"/>
      <c r="Y163" s="122"/>
      <c r="Z163" s="126"/>
      <c r="AA163" s="57"/>
      <c r="AB163" s="57"/>
      <c r="AC163" s="57"/>
      <c r="AD163" s="57"/>
      <c r="AE163" s="57"/>
      <c r="AF163" s="57"/>
      <c r="AG163" s="57"/>
      <c r="AH163" s="57"/>
      <c r="AI163" s="57"/>
      <c r="AJ163" s="57"/>
      <c r="AK163" s="57"/>
      <c r="AL163" s="57"/>
      <c r="AM163" s="57"/>
      <c r="AN163" s="57"/>
    </row>
    <row r="164" spans="1:40" s="559" customFormat="1" ht="57.75">
      <c r="A164" s="126"/>
      <c r="B164" s="600" t="s">
        <v>435</v>
      </c>
      <c r="C164" s="601" t="s">
        <v>1332</v>
      </c>
      <c r="D164" s="561" t="s">
        <v>908</v>
      </c>
      <c r="E164" s="547">
        <v>1</v>
      </c>
      <c r="F164" s="169" t="str">
        <f>""&amp;Table12[[#This Row],[TTM Stage]]&amp;Table12[[#This Row],[Task No.]]&amp;"-"&amp;Table12[[#This Row],[Type of activity]]&amp;"-"&amp;Table12[[#This Row],[TargetGroup]]</f>
        <v>P1-DN5-B-Children</v>
      </c>
      <c r="G164" s="123" t="s">
        <v>903</v>
      </c>
      <c r="H164" s="123"/>
      <c r="I164" s="124"/>
      <c r="J164" s="315"/>
      <c r="K164" s="371" t="s">
        <v>1341</v>
      </c>
      <c r="L164" s="551" t="s">
        <v>75</v>
      </c>
      <c r="M164" s="565" t="s">
        <v>1342</v>
      </c>
      <c r="N164" s="553" t="s">
        <v>1017</v>
      </c>
      <c r="O164" s="122">
        <v>1</v>
      </c>
      <c r="P164" s="122">
        <v>1</v>
      </c>
      <c r="Q164" s="122" t="s">
        <v>907</v>
      </c>
      <c r="R164" s="122"/>
      <c r="S164" s="122"/>
      <c r="T164" s="547" t="s">
        <v>1089</v>
      </c>
      <c r="U164" s="122"/>
      <c r="V164" s="122"/>
      <c r="W164" s="122"/>
      <c r="X164" s="122"/>
      <c r="Y164" s="122" t="s">
        <v>1085</v>
      </c>
      <c r="Z164" s="126"/>
      <c r="AA164" s="57"/>
      <c r="AB164" s="57"/>
      <c r="AC164" s="57"/>
      <c r="AD164" s="57"/>
      <c r="AE164" s="57"/>
      <c r="AF164" s="57"/>
      <c r="AG164" s="57"/>
      <c r="AH164" s="57"/>
      <c r="AI164" s="57"/>
      <c r="AJ164" s="57"/>
      <c r="AK164" s="57"/>
      <c r="AL164" s="57"/>
      <c r="AM164" s="57"/>
      <c r="AN164" s="57"/>
    </row>
    <row r="165" spans="1:40" s="559" customFormat="1" ht="87">
      <c r="A165" s="126"/>
      <c r="B165" s="600" t="s">
        <v>435</v>
      </c>
      <c r="C165" s="601" t="s">
        <v>1332</v>
      </c>
      <c r="D165" s="561" t="s">
        <v>908</v>
      </c>
      <c r="E165" s="547">
        <v>2</v>
      </c>
      <c r="F165" s="169" t="str">
        <f>""&amp;Table12[[#This Row],[TTM Stage]]&amp;Table12[[#This Row],[Task No.]]&amp;"-"&amp;Table12[[#This Row],[Type of activity]]&amp;"-"&amp;Table12[[#This Row],[TargetGroup]]</f>
        <v>P2-DN5-B-Children</v>
      </c>
      <c r="G165" s="123" t="s">
        <v>914</v>
      </c>
      <c r="H165" s="123"/>
      <c r="I165" s="549" t="s">
        <v>1150</v>
      </c>
      <c r="J165" s="315"/>
      <c r="K165" s="371" t="s">
        <v>1343</v>
      </c>
      <c r="L165" s="551" t="s">
        <v>75</v>
      </c>
      <c r="M165" s="125" t="s">
        <v>1344</v>
      </c>
      <c r="N165" s="553" t="s">
        <v>1345</v>
      </c>
      <c r="O165" s="122">
        <v>1</v>
      </c>
      <c r="P165" s="122">
        <v>1</v>
      </c>
      <c r="Q165" s="122"/>
      <c r="R165" s="122"/>
      <c r="S165" s="122"/>
      <c r="T165" s="547" t="s">
        <v>1108</v>
      </c>
      <c r="U165" s="547" t="s">
        <v>1109</v>
      </c>
      <c r="V165" s="341" t="s">
        <v>1110</v>
      </c>
      <c r="W165" s="547">
        <v>1</v>
      </c>
      <c r="X165" s="547"/>
      <c r="Y165" s="341" t="s">
        <v>1104</v>
      </c>
      <c r="Z165" s="126"/>
      <c r="AA165" s="57"/>
      <c r="AB165" s="57"/>
      <c r="AC165" s="57"/>
      <c r="AD165" s="57"/>
      <c r="AE165" s="57"/>
      <c r="AF165" s="57"/>
      <c r="AG165" s="57"/>
      <c r="AH165" s="57"/>
      <c r="AI165" s="57"/>
      <c r="AJ165" s="57"/>
      <c r="AK165" s="57"/>
      <c r="AL165" s="57"/>
      <c r="AM165" s="57"/>
      <c r="AN165" s="57"/>
    </row>
    <row r="166" spans="1:40" s="559" customFormat="1" ht="72.75">
      <c r="A166" s="126"/>
      <c r="B166" s="600" t="s">
        <v>435</v>
      </c>
      <c r="C166" s="601" t="s">
        <v>1332</v>
      </c>
      <c r="D166" s="569" t="s">
        <v>921</v>
      </c>
      <c r="E166" s="547">
        <v>1</v>
      </c>
      <c r="F166" s="169" t="str">
        <f>""&amp;Table12[[#This Row],[TTM Stage]]&amp;Table12[[#This Row],[Task No.]]&amp;"-"&amp;Table12[[#This Row],[Type of activity]]&amp;"-"&amp;Table12[[#This Row],[TargetGroup]]</f>
        <v>A1-DN5-B-Children</v>
      </c>
      <c r="G166" s="123" t="s">
        <v>914</v>
      </c>
      <c r="H166" s="123"/>
      <c r="I166" s="549" t="s">
        <v>1150</v>
      </c>
      <c r="J166" s="315"/>
      <c r="K166" s="371" t="s">
        <v>1346</v>
      </c>
      <c r="L166" s="551" t="s">
        <v>75</v>
      </c>
      <c r="M166" s="125" t="s">
        <v>1347</v>
      </c>
      <c r="N166" s="553" t="s">
        <v>1348</v>
      </c>
      <c r="O166" s="122">
        <v>1</v>
      </c>
      <c r="P166" s="122">
        <v>7</v>
      </c>
      <c r="Q166" s="122"/>
      <c r="R166" s="122"/>
      <c r="S166" s="122"/>
      <c r="T166" s="570" t="s">
        <v>1114</v>
      </c>
      <c r="U166" s="590" t="s">
        <v>1349</v>
      </c>
      <c r="V166" s="571" t="s">
        <v>1116</v>
      </c>
      <c r="W166" s="570" t="s">
        <v>1117</v>
      </c>
      <c r="X166" s="122"/>
      <c r="Y166" s="341" t="s">
        <v>1104</v>
      </c>
      <c r="Z166" s="126"/>
      <c r="AA166" s="57"/>
      <c r="AB166" s="57"/>
      <c r="AC166" s="57"/>
      <c r="AD166" s="57"/>
      <c r="AE166" s="57"/>
      <c r="AF166" s="57"/>
      <c r="AG166" s="57"/>
      <c r="AH166" s="57"/>
      <c r="AI166" s="57"/>
      <c r="AJ166" s="57"/>
      <c r="AK166" s="57"/>
      <c r="AL166" s="57"/>
      <c r="AM166" s="57"/>
      <c r="AN166" s="57"/>
    </row>
    <row r="167" spans="1:40" s="559" customFormat="1" ht="72.75">
      <c r="A167" s="126"/>
      <c r="B167" s="600" t="s">
        <v>435</v>
      </c>
      <c r="C167" s="601" t="s">
        <v>1332</v>
      </c>
      <c r="D167" s="569" t="s">
        <v>921</v>
      </c>
      <c r="E167" s="547">
        <v>2</v>
      </c>
      <c r="F167" s="169" t="str">
        <f>""&amp;Table12[[#This Row],[TTM Stage]]&amp;Table12[[#This Row],[Task No.]]&amp;"-"&amp;Table12[[#This Row],[Type of activity]]&amp;"-"&amp;Table12[[#This Row],[TargetGroup]]</f>
        <v>A2-DN5-B-Children</v>
      </c>
      <c r="G167" s="123" t="s">
        <v>914</v>
      </c>
      <c r="H167" s="123"/>
      <c r="I167" s="549" t="s">
        <v>1150</v>
      </c>
      <c r="J167" s="315"/>
      <c r="K167" s="371" t="s">
        <v>1350</v>
      </c>
      <c r="L167" s="551" t="s">
        <v>75</v>
      </c>
      <c r="M167" s="125" t="s">
        <v>1351</v>
      </c>
      <c r="N167" s="553" t="s">
        <v>1352</v>
      </c>
      <c r="O167" s="122">
        <v>1</v>
      </c>
      <c r="P167" s="122">
        <v>7</v>
      </c>
      <c r="Q167" s="122"/>
      <c r="R167" s="122"/>
      <c r="S167" s="122"/>
      <c r="T167" s="570" t="s">
        <v>1114</v>
      </c>
      <c r="U167" s="590" t="s">
        <v>1349</v>
      </c>
      <c r="V167" s="571" t="s">
        <v>1116</v>
      </c>
      <c r="W167" s="570" t="s">
        <v>1121</v>
      </c>
      <c r="X167" s="122"/>
      <c r="Y167" s="341" t="s">
        <v>1104</v>
      </c>
      <c r="Z167" s="126"/>
      <c r="AA167" s="57"/>
      <c r="AB167" s="57"/>
      <c r="AC167" s="57"/>
      <c r="AD167" s="57"/>
      <c r="AE167" s="57"/>
      <c r="AF167" s="57"/>
      <c r="AG167" s="57"/>
      <c r="AH167" s="57"/>
      <c r="AI167" s="57"/>
      <c r="AJ167" s="57"/>
      <c r="AK167" s="57"/>
      <c r="AL167" s="57"/>
      <c r="AM167" s="57"/>
      <c r="AN167" s="57"/>
    </row>
    <row r="168" spans="1:40" s="559" customFormat="1" ht="72.75">
      <c r="A168" s="126"/>
      <c r="B168" s="600" t="s">
        <v>435</v>
      </c>
      <c r="C168" s="601" t="s">
        <v>1332</v>
      </c>
      <c r="D168" s="569" t="s">
        <v>921</v>
      </c>
      <c r="E168" s="547">
        <v>3</v>
      </c>
      <c r="F168" s="169" t="str">
        <f>""&amp;Table12[[#This Row],[TTM Stage]]&amp;Table12[[#This Row],[Task No.]]&amp;"-"&amp;Table12[[#This Row],[Type of activity]]&amp;"-"&amp;Table12[[#This Row],[TargetGroup]]</f>
        <v>A3-DN5-B-Children</v>
      </c>
      <c r="G168" s="123" t="s">
        <v>914</v>
      </c>
      <c r="H168" s="123"/>
      <c r="I168" s="549" t="s">
        <v>1150</v>
      </c>
      <c r="J168" s="315"/>
      <c r="K168" s="371" t="s">
        <v>1353</v>
      </c>
      <c r="L168" s="551" t="s">
        <v>75</v>
      </c>
      <c r="M168" s="125" t="s">
        <v>1354</v>
      </c>
      <c r="N168" s="553" t="s">
        <v>1355</v>
      </c>
      <c r="O168" s="122">
        <v>1</v>
      </c>
      <c r="P168" s="122">
        <v>7</v>
      </c>
      <c r="Q168" s="122"/>
      <c r="R168" s="122"/>
      <c r="S168" s="122"/>
      <c r="T168" s="570" t="s">
        <v>1114</v>
      </c>
      <c r="U168" s="590" t="s">
        <v>1349</v>
      </c>
      <c r="V168" s="571" t="s">
        <v>1116</v>
      </c>
      <c r="W168" s="570" t="s">
        <v>1125</v>
      </c>
      <c r="X168" s="122"/>
      <c r="Y168" s="341" t="s">
        <v>1104</v>
      </c>
      <c r="Z168" s="126"/>
      <c r="AA168" s="57"/>
      <c r="AB168" s="57"/>
      <c r="AC168" s="57"/>
      <c r="AD168" s="57"/>
      <c r="AE168" s="57"/>
      <c r="AF168" s="57"/>
      <c r="AG168" s="57"/>
      <c r="AH168" s="57"/>
      <c r="AI168" s="57"/>
      <c r="AJ168" s="57"/>
      <c r="AK168" s="57"/>
      <c r="AL168" s="57"/>
      <c r="AM168" s="57"/>
      <c r="AN168" s="57"/>
    </row>
    <row r="169" spans="1:40" s="559" customFormat="1" ht="72.75">
      <c r="A169" s="126"/>
      <c r="B169" s="600" t="s">
        <v>435</v>
      </c>
      <c r="C169" s="601" t="s">
        <v>1332</v>
      </c>
      <c r="D169" s="569" t="s">
        <v>921</v>
      </c>
      <c r="E169" s="547">
        <v>4</v>
      </c>
      <c r="F169" s="169" t="str">
        <f>""&amp;Table12[[#This Row],[TTM Stage]]&amp;Table12[[#This Row],[Task No.]]&amp;"-"&amp;Table12[[#This Row],[Type of activity]]&amp;"-"&amp;Table12[[#This Row],[TargetGroup]]</f>
        <v>A4-DN5-B-Children</v>
      </c>
      <c r="G169" s="123" t="s">
        <v>914</v>
      </c>
      <c r="H169" s="123"/>
      <c r="I169" s="549" t="s">
        <v>1150</v>
      </c>
      <c r="J169" s="315"/>
      <c r="K169" s="371" t="s">
        <v>1356</v>
      </c>
      <c r="L169" s="551" t="s">
        <v>75</v>
      </c>
      <c r="M169" s="125" t="s">
        <v>1357</v>
      </c>
      <c r="N169" s="553" t="s">
        <v>1358</v>
      </c>
      <c r="O169" s="122">
        <v>1</v>
      </c>
      <c r="P169" s="122">
        <v>7</v>
      </c>
      <c r="Q169" s="122"/>
      <c r="R169" s="122"/>
      <c r="S169" s="122"/>
      <c r="T169" s="570" t="s">
        <v>1114</v>
      </c>
      <c r="U169" s="590" t="s">
        <v>1349</v>
      </c>
      <c r="V169" s="341" t="s">
        <v>1116</v>
      </c>
      <c r="W169" s="547" t="s">
        <v>1129</v>
      </c>
      <c r="X169" s="122"/>
      <c r="Y169" s="341" t="s">
        <v>1104</v>
      </c>
      <c r="Z169" s="126"/>
      <c r="AA169" s="57"/>
      <c r="AB169" s="57"/>
      <c r="AC169" s="57"/>
      <c r="AD169" s="57"/>
      <c r="AE169" s="57"/>
      <c r="AF169" s="57"/>
      <c r="AG169" s="57"/>
      <c r="AH169" s="57"/>
      <c r="AI169" s="57"/>
      <c r="AJ169" s="57"/>
      <c r="AK169" s="57"/>
      <c r="AL169" s="57"/>
      <c r="AM169" s="57"/>
      <c r="AN169" s="57"/>
    </row>
    <row r="170" spans="1:40" s="559" customFormat="1" ht="43.5">
      <c r="A170" s="126"/>
      <c r="B170" s="600" t="s">
        <v>435</v>
      </c>
      <c r="C170" s="601" t="s">
        <v>1332</v>
      </c>
      <c r="D170" s="546" t="s">
        <v>933</v>
      </c>
      <c r="E170" s="547">
        <v>1</v>
      </c>
      <c r="F170" s="169" t="str">
        <f>""&amp;Table12[[#This Row],[TTM Stage]]&amp;Table12[[#This Row],[Task No.]]&amp;"-"&amp;Table12[[#This Row],[Type of activity]]&amp;"-"&amp;Table12[[#This Row],[TargetGroup]]</f>
        <v>M1-DN5-B-Children</v>
      </c>
      <c r="G170" s="123" t="s">
        <v>914</v>
      </c>
      <c r="H170" s="123"/>
      <c r="I170" s="549" t="s">
        <v>1150</v>
      </c>
      <c r="J170" s="315"/>
      <c r="K170" s="371" t="s">
        <v>1359</v>
      </c>
      <c r="L170" s="551" t="s">
        <v>75</v>
      </c>
      <c r="M170" s="125" t="s">
        <v>1360</v>
      </c>
      <c r="N170" s="553" t="s">
        <v>1132</v>
      </c>
      <c r="O170" s="122">
        <v>1</v>
      </c>
      <c r="P170" s="122">
        <v>7</v>
      </c>
      <c r="Q170" s="122"/>
      <c r="R170" s="122"/>
      <c r="S170" s="122"/>
      <c r="T170" s="547" t="s">
        <v>1108</v>
      </c>
      <c r="U170" s="547" t="s">
        <v>1109</v>
      </c>
      <c r="V170" s="341" t="s">
        <v>1110</v>
      </c>
      <c r="W170" s="547">
        <v>1</v>
      </c>
      <c r="X170" s="547"/>
      <c r="Y170" s="341" t="s">
        <v>1104</v>
      </c>
      <c r="Z170" s="126"/>
      <c r="AA170" s="57"/>
      <c r="AB170" s="57"/>
      <c r="AC170" s="57"/>
      <c r="AD170" s="57"/>
      <c r="AE170" s="57"/>
      <c r="AF170" s="57"/>
      <c r="AG170" s="57"/>
      <c r="AH170" s="57"/>
      <c r="AI170" s="57"/>
      <c r="AJ170" s="57"/>
      <c r="AK170" s="57"/>
      <c r="AL170" s="57"/>
      <c r="AM170" s="57"/>
      <c r="AN170" s="57"/>
    </row>
    <row r="171" spans="1:40" s="559" customFormat="1" ht="43.5">
      <c r="A171" s="126"/>
      <c r="B171" s="600" t="s">
        <v>435</v>
      </c>
      <c r="C171" s="601" t="s">
        <v>1332</v>
      </c>
      <c r="D171" s="546" t="s">
        <v>933</v>
      </c>
      <c r="E171" s="547">
        <v>2</v>
      </c>
      <c r="F171" s="169" t="str">
        <f>""&amp;Table12[[#This Row],[TTM Stage]]&amp;Table12[[#This Row],[Task No.]]&amp;"-"&amp;Table12[[#This Row],[Type of activity]]&amp;"-"&amp;Table12[[#This Row],[TargetGroup]]</f>
        <v>M2-DN5-B-Children</v>
      </c>
      <c r="G171" s="123" t="s">
        <v>914</v>
      </c>
      <c r="H171" s="123"/>
      <c r="I171" s="549" t="s">
        <v>1150</v>
      </c>
      <c r="J171" s="315"/>
      <c r="K171" s="371" t="s">
        <v>1361</v>
      </c>
      <c r="L171" s="551" t="s">
        <v>75</v>
      </c>
      <c r="M171" s="125" t="s">
        <v>1362</v>
      </c>
      <c r="N171" s="553" t="s">
        <v>1132</v>
      </c>
      <c r="O171" s="122">
        <v>1</v>
      </c>
      <c r="P171" s="122">
        <v>7</v>
      </c>
      <c r="Q171" s="122"/>
      <c r="R171" s="122"/>
      <c r="S171" s="122"/>
      <c r="T171" s="547" t="s">
        <v>1108</v>
      </c>
      <c r="U171" s="547" t="s">
        <v>1109</v>
      </c>
      <c r="V171" s="341" t="s">
        <v>1110</v>
      </c>
      <c r="W171" s="547">
        <v>3</v>
      </c>
      <c r="X171" s="547"/>
      <c r="Y171" s="341" t="s">
        <v>1104</v>
      </c>
      <c r="Z171" s="126"/>
      <c r="AA171" s="57"/>
      <c r="AB171" s="57"/>
      <c r="AC171" s="57"/>
      <c r="AD171" s="57"/>
      <c r="AE171" s="57"/>
      <c r="AF171" s="57"/>
      <c r="AG171" s="57"/>
      <c r="AH171" s="57"/>
      <c r="AI171" s="57"/>
      <c r="AJ171" s="57"/>
      <c r="AK171" s="57"/>
      <c r="AL171" s="57"/>
      <c r="AM171" s="57"/>
      <c r="AN171" s="57"/>
    </row>
    <row r="172" spans="1:40" s="559" customFormat="1" ht="43.5">
      <c r="A172" s="126"/>
      <c r="B172" s="600" t="s">
        <v>435</v>
      </c>
      <c r="C172" s="601" t="s">
        <v>1332</v>
      </c>
      <c r="D172" s="546" t="s">
        <v>933</v>
      </c>
      <c r="E172" s="547">
        <v>3</v>
      </c>
      <c r="F172" s="169" t="str">
        <f>""&amp;Table12[[#This Row],[TTM Stage]]&amp;Table12[[#This Row],[Task No.]]&amp;"-"&amp;Table12[[#This Row],[Type of activity]]&amp;"-"&amp;Table12[[#This Row],[TargetGroup]]</f>
        <v>M3-DN5-B-Children</v>
      </c>
      <c r="G172" s="123" t="s">
        <v>914</v>
      </c>
      <c r="H172" s="123"/>
      <c r="I172" s="549" t="s">
        <v>1150</v>
      </c>
      <c r="J172" s="315"/>
      <c r="K172" s="371" t="s">
        <v>1187</v>
      </c>
      <c r="L172" s="551" t="s">
        <v>75</v>
      </c>
      <c r="M172" s="125" t="s">
        <v>1363</v>
      </c>
      <c r="N172" s="553" t="s">
        <v>1132</v>
      </c>
      <c r="O172" s="122">
        <v>1</v>
      </c>
      <c r="P172" s="122">
        <v>7</v>
      </c>
      <c r="Q172" s="122"/>
      <c r="R172" s="122"/>
      <c r="S172" s="122"/>
      <c r="T172" s="547" t="s">
        <v>1108</v>
      </c>
      <c r="U172" s="547" t="s">
        <v>1109</v>
      </c>
      <c r="V172" s="341" t="s">
        <v>1110</v>
      </c>
      <c r="W172" s="547">
        <v>4</v>
      </c>
      <c r="X172" s="547"/>
      <c r="Y172" s="341" t="s">
        <v>1104</v>
      </c>
      <c r="Z172" s="126"/>
      <c r="AA172" s="57"/>
      <c r="AB172" s="57"/>
      <c r="AC172" s="57"/>
      <c r="AD172" s="57"/>
      <c r="AE172" s="57"/>
      <c r="AF172" s="57"/>
      <c r="AG172" s="57"/>
      <c r="AH172" s="57"/>
      <c r="AI172" s="57"/>
      <c r="AJ172" s="57"/>
      <c r="AK172" s="57"/>
      <c r="AL172" s="57"/>
      <c r="AM172" s="57"/>
      <c r="AN172" s="57"/>
    </row>
    <row r="173" spans="1:40" s="559" customFormat="1" ht="43.5">
      <c r="A173" s="126"/>
      <c r="B173" s="600" t="s">
        <v>435</v>
      </c>
      <c r="C173" s="601" t="s">
        <v>1332</v>
      </c>
      <c r="D173" s="546" t="s">
        <v>933</v>
      </c>
      <c r="E173" s="547">
        <v>4</v>
      </c>
      <c r="F173" s="169" t="str">
        <f>""&amp;Table12[[#This Row],[TTM Stage]]&amp;Table12[[#This Row],[Task No.]]&amp;"-"&amp;Table12[[#This Row],[Type of activity]]&amp;"-"&amp;Table12[[#This Row],[TargetGroup]]</f>
        <v>M4-DN5-B-Children</v>
      </c>
      <c r="G173" s="123" t="s">
        <v>914</v>
      </c>
      <c r="H173" s="123"/>
      <c r="I173" s="549" t="s">
        <v>1150</v>
      </c>
      <c r="J173" s="315"/>
      <c r="K173" s="371" t="s">
        <v>1364</v>
      </c>
      <c r="L173" s="551" t="s">
        <v>75</v>
      </c>
      <c r="M173" s="125" t="s">
        <v>1365</v>
      </c>
      <c r="N173" s="553" t="s">
        <v>1132</v>
      </c>
      <c r="O173" s="122">
        <v>1</v>
      </c>
      <c r="P173" s="122">
        <v>7</v>
      </c>
      <c r="Q173" s="122"/>
      <c r="R173" s="122"/>
      <c r="S173" s="122"/>
      <c r="T173" s="547" t="s">
        <v>1108</v>
      </c>
      <c r="U173" s="547" t="s">
        <v>1109</v>
      </c>
      <c r="V173" s="341" t="s">
        <v>1110</v>
      </c>
      <c r="W173" s="547">
        <v>5</v>
      </c>
      <c r="X173" s="547"/>
      <c r="Y173" s="341" t="s">
        <v>1104</v>
      </c>
      <c r="Z173" s="126"/>
      <c r="AA173" s="57"/>
      <c r="AB173" s="57"/>
      <c r="AC173" s="57"/>
      <c r="AD173" s="57"/>
      <c r="AE173" s="57"/>
      <c r="AF173" s="57"/>
      <c r="AG173" s="57"/>
      <c r="AH173" s="57"/>
      <c r="AI173" s="57"/>
      <c r="AJ173" s="57"/>
      <c r="AK173" s="57"/>
      <c r="AL173" s="57"/>
      <c r="AM173" s="57"/>
      <c r="AN173" s="57"/>
    </row>
    <row r="174" spans="1:40" s="559" customFormat="1" ht="43.5">
      <c r="A174" s="126"/>
      <c r="B174" s="605" t="s">
        <v>468</v>
      </c>
      <c r="C174" s="606" t="s">
        <v>1366</v>
      </c>
      <c r="D174" s="688" t="s">
        <v>891</v>
      </c>
      <c r="E174" s="688">
        <v>1</v>
      </c>
      <c r="F174" s="689" t="str">
        <f>""&amp;Table12[[#This Row],[TTM Stage]]&amp;Table12[[#This Row],[Task No.]]&amp;"-"&amp;Table12[[#This Row],[Type of activity]]&amp;"-"&amp;Table12[[#This Row],[TargetGroup]]</f>
        <v>PC1-DN6-A-Children</v>
      </c>
      <c r="G174" s="690" t="s">
        <v>892</v>
      </c>
      <c r="H174" s="690"/>
      <c r="I174" s="691"/>
      <c r="J174" s="692"/>
      <c r="K174" s="693" t="s">
        <v>1367</v>
      </c>
      <c r="L174" s="694" t="s">
        <v>75</v>
      </c>
      <c r="M174" s="695" t="s">
        <v>1368</v>
      </c>
      <c r="N174" s="696" t="s">
        <v>1084</v>
      </c>
      <c r="O174" s="122">
        <v>1</v>
      </c>
      <c r="P174" s="122">
        <v>1</v>
      </c>
      <c r="Q174" s="122"/>
      <c r="R174" s="122"/>
      <c r="S174" s="122"/>
      <c r="T174" s="547" t="s">
        <v>1089</v>
      </c>
      <c r="U174" s="547" t="s">
        <v>1090</v>
      </c>
      <c r="V174" s="547" t="s">
        <v>1091</v>
      </c>
      <c r="W174" s="547" t="s">
        <v>1092</v>
      </c>
      <c r="X174" s="547"/>
      <c r="Y174" s="547" t="s">
        <v>1085</v>
      </c>
      <c r="Z174" s="126"/>
      <c r="AA174" s="57"/>
      <c r="AB174" s="57"/>
      <c r="AC174" s="57"/>
      <c r="AD174" s="57"/>
      <c r="AE174" s="57"/>
      <c r="AF174" s="57"/>
      <c r="AG174" s="57"/>
      <c r="AH174" s="57"/>
      <c r="AI174" s="57"/>
      <c r="AJ174" s="57"/>
      <c r="AK174" s="57"/>
      <c r="AL174" s="57"/>
      <c r="AM174" s="57"/>
      <c r="AN174" s="57"/>
    </row>
    <row r="175" spans="1:40" s="559" customFormat="1" ht="29.25">
      <c r="A175" s="126"/>
      <c r="B175" s="605" t="s">
        <v>468</v>
      </c>
      <c r="C175" s="606" t="s">
        <v>1366</v>
      </c>
      <c r="D175" s="558" t="s">
        <v>891</v>
      </c>
      <c r="E175" s="547">
        <v>2</v>
      </c>
      <c r="F175" s="169" t="str">
        <f>""&amp;Table12[[#This Row],[TTM Stage]]&amp;Table12[[#This Row],[Task No.]]&amp;"-"&amp;Table12[[#This Row],[Type of activity]]&amp;"-"&amp;Table12[[#This Row],[TargetGroup]]</f>
        <v>PC2-DN6-A-Children</v>
      </c>
      <c r="G175" s="123" t="s">
        <v>946</v>
      </c>
      <c r="H175" s="123"/>
      <c r="I175" s="124"/>
      <c r="J175" s="315"/>
      <c r="K175" s="371" t="s">
        <v>1369</v>
      </c>
      <c r="L175" s="551" t="s">
        <v>75</v>
      </c>
      <c r="M175" s="125" t="s">
        <v>1370</v>
      </c>
      <c r="N175" s="553" t="s">
        <v>1300</v>
      </c>
      <c r="O175" s="122">
        <v>1</v>
      </c>
      <c r="P175" s="122">
        <v>1</v>
      </c>
      <c r="Q175" s="122"/>
      <c r="R175" s="122"/>
      <c r="S175" s="122"/>
      <c r="T175" s="547" t="s">
        <v>1089</v>
      </c>
      <c r="U175" s="547" t="s">
        <v>1090</v>
      </c>
      <c r="V175" s="547" t="s">
        <v>1091</v>
      </c>
      <c r="W175" s="547" t="s">
        <v>1092</v>
      </c>
      <c r="X175" s="547"/>
      <c r="Y175" s="547" t="s">
        <v>1085</v>
      </c>
      <c r="Z175" s="126"/>
      <c r="AA175" s="57"/>
      <c r="AB175" s="57"/>
      <c r="AC175" s="57"/>
      <c r="AD175" s="57"/>
      <c r="AE175" s="57"/>
      <c r="AF175" s="57"/>
      <c r="AG175" s="57"/>
      <c r="AH175" s="57"/>
      <c r="AI175" s="57"/>
      <c r="AJ175" s="57"/>
      <c r="AK175" s="57"/>
      <c r="AL175" s="57"/>
      <c r="AM175" s="57"/>
      <c r="AN175" s="57"/>
    </row>
    <row r="176" spans="1:40" s="559" customFormat="1" ht="29.25">
      <c r="A176" s="126"/>
      <c r="B176" s="605" t="s">
        <v>468</v>
      </c>
      <c r="C176" s="606" t="s">
        <v>1366</v>
      </c>
      <c r="D176" s="547" t="s">
        <v>899</v>
      </c>
      <c r="E176" s="547">
        <v>1</v>
      </c>
      <c r="F176" s="169" t="str">
        <f>""&amp;Table12[[#This Row],[TTM Stage]]&amp;Table12[[#This Row],[Task No.]]&amp;"-"&amp;Table12[[#This Row],[Type of activity]]&amp;"-"&amp;Table12[[#This Row],[TargetGroup]]</f>
        <v>C1-DN6-A-Children</v>
      </c>
      <c r="G176" s="123" t="s">
        <v>900</v>
      </c>
      <c r="H176" s="123"/>
      <c r="I176" s="124"/>
      <c r="J176" s="315"/>
      <c r="K176" s="371" t="s">
        <v>1371</v>
      </c>
      <c r="L176" s="551" t="s">
        <v>75</v>
      </c>
      <c r="M176" s="125" t="s">
        <v>1372</v>
      </c>
      <c r="N176" s="125"/>
      <c r="O176" s="122">
        <v>1</v>
      </c>
      <c r="P176" s="122">
        <v>1</v>
      </c>
      <c r="Q176" s="122"/>
      <c r="R176" s="122"/>
      <c r="S176" s="122"/>
      <c r="T176" s="122"/>
      <c r="U176" s="122"/>
      <c r="V176" s="122"/>
      <c r="W176" s="122"/>
      <c r="X176" s="122"/>
      <c r="Y176" s="122"/>
      <c r="Z176" s="126"/>
      <c r="AA176" s="57"/>
      <c r="AB176" s="57"/>
      <c r="AC176" s="57"/>
      <c r="AD176" s="57"/>
      <c r="AE176" s="57"/>
      <c r="AF176" s="57"/>
      <c r="AG176" s="57"/>
      <c r="AH176" s="57"/>
      <c r="AI176" s="57"/>
      <c r="AJ176" s="57"/>
      <c r="AK176" s="57"/>
      <c r="AL176" s="57"/>
      <c r="AM176" s="57"/>
      <c r="AN176" s="57"/>
    </row>
    <row r="177" spans="1:40" s="559" customFormat="1" ht="87">
      <c r="A177" s="126"/>
      <c r="B177" s="605" t="s">
        <v>468</v>
      </c>
      <c r="C177" s="606" t="s">
        <v>1366</v>
      </c>
      <c r="D177" s="547" t="s">
        <v>899</v>
      </c>
      <c r="E177" s="547">
        <v>2</v>
      </c>
      <c r="F177" s="169" t="str">
        <f>""&amp;Table12[[#This Row],[TTM Stage]]&amp;Table12[[#This Row],[Task No.]]&amp;"-"&amp;Table12[[#This Row],[Type of activity]]&amp;"-"&amp;Table12[[#This Row],[TargetGroup]]</f>
        <v>C2-DN6-A-Children</v>
      </c>
      <c r="G177" s="123" t="s">
        <v>900</v>
      </c>
      <c r="H177" s="123"/>
      <c r="I177" s="124"/>
      <c r="J177" s="315"/>
      <c r="K177" s="371" t="s">
        <v>1373</v>
      </c>
      <c r="L177" s="551" t="s">
        <v>75</v>
      </c>
      <c r="M177" s="125" t="s">
        <v>1374</v>
      </c>
      <c r="N177" s="125"/>
      <c r="O177" s="122">
        <v>1</v>
      </c>
      <c r="P177" s="122">
        <v>1</v>
      </c>
      <c r="Q177" s="122"/>
      <c r="R177" s="122"/>
      <c r="S177" s="122"/>
      <c r="T177" s="122"/>
      <c r="U177" s="122"/>
      <c r="V177" s="122"/>
      <c r="W177" s="122"/>
      <c r="X177" s="122"/>
      <c r="Y177" s="122"/>
      <c r="Z177" s="126"/>
      <c r="AA177" s="57"/>
      <c r="AB177" s="57"/>
      <c r="AC177" s="57"/>
      <c r="AD177" s="57"/>
      <c r="AE177" s="57"/>
      <c r="AF177" s="57"/>
      <c r="AG177" s="57"/>
      <c r="AH177" s="57"/>
      <c r="AI177" s="57"/>
      <c r="AJ177" s="57"/>
      <c r="AK177" s="57"/>
      <c r="AL177" s="57"/>
      <c r="AM177" s="57"/>
      <c r="AN177" s="57"/>
    </row>
    <row r="178" spans="1:40" s="559" customFormat="1" ht="57.75">
      <c r="A178" s="126"/>
      <c r="B178" s="605" t="s">
        <v>468</v>
      </c>
      <c r="C178" s="606" t="s">
        <v>1366</v>
      </c>
      <c r="D178" s="561" t="s">
        <v>908</v>
      </c>
      <c r="E178" s="547">
        <v>1</v>
      </c>
      <c r="F178" s="169" t="str">
        <f>""&amp;Table12[[#This Row],[TTM Stage]]&amp;Table12[[#This Row],[Task No.]]&amp;"-"&amp;Table12[[#This Row],[Type of activity]]&amp;"-"&amp;Table12[[#This Row],[TargetGroup]]</f>
        <v>P1-DN6-A-Children</v>
      </c>
      <c r="G178" s="123" t="s">
        <v>984</v>
      </c>
      <c r="H178" s="123"/>
      <c r="I178" s="549" t="s">
        <v>1150</v>
      </c>
      <c r="J178" s="315"/>
      <c r="K178" s="371" t="s">
        <v>1375</v>
      </c>
      <c r="L178" s="551" t="s">
        <v>75</v>
      </c>
      <c r="M178" s="125" t="s">
        <v>1376</v>
      </c>
      <c r="N178" s="553" t="s">
        <v>1017</v>
      </c>
      <c r="O178" s="122">
        <v>1</v>
      </c>
      <c r="P178" s="122">
        <v>1</v>
      </c>
      <c r="Q178" s="122" t="s">
        <v>907</v>
      </c>
      <c r="R178" s="122"/>
      <c r="S178" s="122"/>
      <c r="T178" s="547" t="s">
        <v>1089</v>
      </c>
      <c r="U178" s="122"/>
      <c r="V178" s="122"/>
      <c r="W178" s="122"/>
      <c r="X178" s="122"/>
      <c r="Y178" s="122"/>
      <c r="Z178" s="126"/>
      <c r="AA178" s="57"/>
      <c r="AB178" s="57"/>
      <c r="AC178" s="57"/>
      <c r="AD178" s="57"/>
      <c r="AE178" s="57"/>
      <c r="AF178" s="57"/>
      <c r="AG178" s="57"/>
      <c r="AH178" s="57"/>
      <c r="AI178" s="57"/>
      <c r="AJ178" s="57"/>
      <c r="AK178" s="57"/>
      <c r="AL178" s="57"/>
      <c r="AM178" s="57"/>
      <c r="AN178" s="57"/>
    </row>
    <row r="179" spans="1:40" s="559" customFormat="1" ht="57.75">
      <c r="A179" s="126"/>
      <c r="B179" s="605" t="s">
        <v>468</v>
      </c>
      <c r="C179" s="606" t="s">
        <v>1366</v>
      </c>
      <c r="D179" s="561" t="s">
        <v>908</v>
      </c>
      <c r="E179" s="547">
        <v>2</v>
      </c>
      <c r="F179" s="169" t="str">
        <f>""&amp;Table12[[#This Row],[TTM Stage]]&amp;Table12[[#This Row],[Task No.]]&amp;"-"&amp;Table12[[#This Row],[Type of activity]]&amp;"-"&amp;Table12[[#This Row],[TargetGroup]]</f>
        <v>P2-DN6-A-Children</v>
      </c>
      <c r="G179" s="123" t="s">
        <v>914</v>
      </c>
      <c r="H179" s="123"/>
      <c r="I179" s="549" t="s">
        <v>1150</v>
      </c>
      <c r="J179" s="315"/>
      <c r="K179" s="371" t="s">
        <v>1377</v>
      </c>
      <c r="L179" s="551" t="s">
        <v>75</v>
      </c>
      <c r="M179" s="125" t="s">
        <v>1378</v>
      </c>
      <c r="N179" s="553" t="s">
        <v>1379</v>
      </c>
      <c r="O179" s="122">
        <v>1</v>
      </c>
      <c r="P179" s="122">
        <v>1</v>
      </c>
      <c r="Q179" s="122"/>
      <c r="R179" s="122"/>
      <c r="S179" s="122"/>
      <c r="T179" s="547" t="s">
        <v>1108</v>
      </c>
      <c r="U179" s="547" t="s">
        <v>1109</v>
      </c>
      <c r="V179" s="341" t="s">
        <v>1110</v>
      </c>
      <c r="W179" s="547">
        <v>1</v>
      </c>
      <c r="X179" s="547"/>
      <c r="Y179" s="341" t="s">
        <v>1104</v>
      </c>
      <c r="Z179" s="126"/>
      <c r="AA179" s="57"/>
      <c r="AB179" s="57"/>
      <c r="AC179" s="57"/>
      <c r="AD179" s="57"/>
      <c r="AE179" s="57"/>
      <c r="AF179" s="57"/>
      <c r="AG179" s="57"/>
      <c r="AH179" s="57"/>
      <c r="AI179" s="57"/>
      <c r="AJ179" s="57"/>
      <c r="AK179" s="57"/>
      <c r="AL179" s="57"/>
      <c r="AM179" s="57"/>
      <c r="AN179" s="57"/>
    </row>
    <row r="180" spans="1:40" s="559" customFormat="1" ht="29.25">
      <c r="A180" s="126"/>
      <c r="B180" s="605" t="s">
        <v>468</v>
      </c>
      <c r="C180" s="606" t="s">
        <v>1366</v>
      </c>
      <c r="D180" s="569" t="s">
        <v>921</v>
      </c>
      <c r="E180" s="547">
        <v>1</v>
      </c>
      <c r="F180" s="169" t="str">
        <f>""&amp;Table12[[#This Row],[TTM Stage]]&amp;Table12[[#This Row],[Task No.]]&amp;"-"&amp;Table12[[#This Row],[Type of activity]]&amp;"-"&amp;Table12[[#This Row],[TargetGroup]]</f>
        <v>A1-DN6-A-Children</v>
      </c>
      <c r="G180" s="123" t="s">
        <v>914</v>
      </c>
      <c r="H180" s="123"/>
      <c r="I180" s="549" t="s">
        <v>1150</v>
      </c>
      <c r="J180" s="315"/>
      <c r="K180" s="371" t="s">
        <v>1380</v>
      </c>
      <c r="L180" s="551" t="s">
        <v>75</v>
      </c>
      <c r="M180" s="125" t="s">
        <v>1381</v>
      </c>
      <c r="N180" s="553" t="s">
        <v>1382</v>
      </c>
      <c r="O180" s="122">
        <v>1</v>
      </c>
      <c r="P180" s="122">
        <v>7</v>
      </c>
      <c r="Q180" s="122"/>
      <c r="R180" s="122"/>
      <c r="S180" s="122"/>
      <c r="T180" s="122" t="s">
        <v>1277</v>
      </c>
      <c r="U180" s="122" t="s">
        <v>1278</v>
      </c>
      <c r="V180" s="571" t="s">
        <v>1116</v>
      </c>
      <c r="W180" s="570" t="s">
        <v>1117</v>
      </c>
      <c r="X180" s="122"/>
      <c r="Y180" s="341" t="s">
        <v>1104</v>
      </c>
      <c r="Z180" s="126"/>
      <c r="AA180" s="57"/>
      <c r="AB180" s="57"/>
      <c r="AC180" s="57"/>
      <c r="AD180" s="57"/>
      <c r="AE180" s="57"/>
      <c r="AF180" s="57"/>
      <c r="AG180" s="57"/>
      <c r="AH180" s="57"/>
      <c r="AI180" s="57"/>
      <c r="AJ180" s="57"/>
      <c r="AK180" s="57"/>
      <c r="AL180" s="57"/>
      <c r="AM180" s="57"/>
      <c r="AN180" s="57"/>
    </row>
    <row r="181" spans="1:40" s="559" customFormat="1" ht="29.25">
      <c r="A181" s="126"/>
      <c r="B181" s="605" t="s">
        <v>468</v>
      </c>
      <c r="C181" s="606" t="s">
        <v>1366</v>
      </c>
      <c r="D181" s="569" t="s">
        <v>921</v>
      </c>
      <c r="E181" s="547">
        <v>2</v>
      </c>
      <c r="F181" s="169" t="str">
        <f>""&amp;Table12[[#This Row],[TTM Stage]]&amp;Table12[[#This Row],[Task No.]]&amp;"-"&amp;Table12[[#This Row],[Type of activity]]&amp;"-"&amp;Table12[[#This Row],[TargetGroup]]</f>
        <v>A2-DN6-A-Children</v>
      </c>
      <c r="G181" s="123" t="s">
        <v>914</v>
      </c>
      <c r="H181" s="123"/>
      <c r="I181" s="549" t="s">
        <v>1150</v>
      </c>
      <c r="J181" s="315"/>
      <c r="K181" s="371" t="s">
        <v>1383</v>
      </c>
      <c r="L181" s="551" t="s">
        <v>75</v>
      </c>
      <c r="M181" s="125" t="s">
        <v>1384</v>
      </c>
      <c r="N181" s="553" t="s">
        <v>1385</v>
      </c>
      <c r="O181" s="122">
        <v>1</v>
      </c>
      <c r="P181" s="122">
        <v>7</v>
      </c>
      <c r="Q181" s="122"/>
      <c r="R181" s="122"/>
      <c r="S181" s="122"/>
      <c r="T181" s="122" t="s">
        <v>1277</v>
      </c>
      <c r="U181" s="122" t="s">
        <v>1278</v>
      </c>
      <c r="V181" s="571" t="s">
        <v>1116</v>
      </c>
      <c r="W181" s="570" t="s">
        <v>1121</v>
      </c>
      <c r="X181" s="122"/>
      <c r="Y181" s="341" t="s">
        <v>1104</v>
      </c>
      <c r="Z181" s="126"/>
      <c r="AA181" s="57"/>
      <c r="AB181" s="57"/>
      <c r="AC181" s="57"/>
      <c r="AD181" s="57"/>
      <c r="AE181" s="57"/>
      <c r="AF181" s="57"/>
      <c r="AG181" s="57"/>
      <c r="AH181" s="57"/>
      <c r="AI181" s="57"/>
      <c r="AJ181" s="57"/>
      <c r="AK181" s="57"/>
      <c r="AL181" s="57"/>
      <c r="AM181" s="57"/>
      <c r="AN181" s="57"/>
    </row>
    <row r="182" spans="1:40" s="559" customFormat="1" ht="57.75">
      <c r="A182" s="126"/>
      <c r="B182" s="605" t="s">
        <v>468</v>
      </c>
      <c r="C182" s="606" t="s">
        <v>1366</v>
      </c>
      <c r="D182" s="569" t="s">
        <v>921</v>
      </c>
      <c r="E182" s="547">
        <v>3</v>
      </c>
      <c r="F182" s="169" t="str">
        <f>""&amp;Table12[[#This Row],[TTM Stage]]&amp;Table12[[#This Row],[Task No.]]&amp;"-"&amp;Table12[[#This Row],[Type of activity]]&amp;"-"&amp;Table12[[#This Row],[TargetGroup]]</f>
        <v>A3-DN6-A-Children</v>
      </c>
      <c r="G182" s="123" t="s">
        <v>914</v>
      </c>
      <c r="H182" s="123"/>
      <c r="I182" s="549" t="s">
        <v>1150</v>
      </c>
      <c r="J182" s="315"/>
      <c r="K182" s="371" t="s">
        <v>1386</v>
      </c>
      <c r="L182" s="551" t="s">
        <v>75</v>
      </c>
      <c r="M182" s="125" t="s">
        <v>1387</v>
      </c>
      <c r="N182" s="553" t="s">
        <v>1388</v>
      </c>
      <c r="O182" s="122">
        <v>1</v>
      </c>
      <c r="P182" s="122">
        <v>7</v>
      </c>
      <c r="Q182" s="122"/>
      <c r="R182" s="122"/>
      <c r="S182" s="122"/>
      <c r="T182" s="122" t="s">
        <v>1277</v>
      </c>
      <c r="U182" s="122" t="s">
        <v>1278</v>
      </c>
      <c r="V182" s="571" t="s">
        <v>1116</v>
      </c>
      <c r="W182" s="570" t="s">
        <v>1125</v>
      </c>
      <c r="X182" s="122"/>
      <c r="Y182" s="341" t="s">
        <v>1104</v>
      </c>
      <c r="Z182" s="126"/>
      <c r="AA182" s="57"/>
      <c r="AB182" s="57"/>
      <c r="AC182" s="57"/>
      <c r="AD182" s="57"/>
      <c r="AE182" s="57"/>
      <c r="AF182" s="57"/>
      <c r="AG182" s="57"/>
      <c r="AH182" s="57"/>
      <c r="AI182" s="57"/>
      <c r="AJ182" s="57"/>
      <c r="AK182" s="57"/>
      <c r="AL182" s="57"/>
      <c r="AM182" s="57"/>
      <c r="AN182" s="57"/>
    </row>
    <row r="183" spans="1:40" s="559" customFormat="1" ht="57.75">
      <c r="A183" s="126"/>
      <c r="B183" s="605" t="s">
        <v>468</v>
      </c>
      <c r="C183" s="606" t="s">
        <v>1366</v>
      </c>
      <c r="D183" s="569" t="s">
        <v>921</v>
      </c>
      <c r="E183" s="547">
        <v>4</v>
      </c>
      <c r="F183" s="169" t="str">
        <f>""&amp;Table12[[#This Row],[TTM Stage]]&amp;Table12[[#This Row],[Task No.]]&amp;"-"&amp;Table12[[#This Row],[Type of activity]]&amp;"-"&amp;Table12[[#This Row],[TargetGroup]]</f>
        <v>A4-DN6-A-Children</v>
      </c>
      <c r="G183" s="123" t="s">
        <v>914</v>
      </c>
      <c r="H183" s="123"/>
      <c r="I183" s="549" t="s">
        <v>1150</v>
      </c>
      <c r="J183" s="315"/>
      <c r="K183" s="371" t="s">
        <v>1389</v>
      </c>
      <c r="L183" s="551" t="s">
        <v>75</v>
      </c>
      <c r="M183" s="125" t="s">
        <v>1390</v>
      </c>
      <c r="N183" s="553" t="s">
        <v>1391</v>
      </c>
      <c r="O183" s="122">
        <v>1</v>
      </c>
      <c r="P183" s="122">
        <v>14</v>
      </c>
      <c r="Q183" s="122"/>
      <c r="R183" s="122"/>
      <c r="S183" s="122"/>
      <c r="T183" s="122" t="s">
        <v>1277</v>
      </c>
      <c r="U183" s="122" t="s">
        <v>1278</v>
      </c>
      <c r="V183" s="341" t="s">
        <v>1116</v>
      </c>
      <c r="W183" s="547" t="s">
        <v>1129</v>
      </c>
      <c r="X183" s="122"/>
      <c r="Y183" s="341" t="s">
        <v>1104</v>
      </c>
      <c r="Z183" s="126"/>
      <c r="AA183" s="57"/>
      <c r="AB183" s="57"/>
      <c r="AC183" s="57"/>
      <c r="AD183" s="57"/>
      <c r="AE183" s="57"/>
      <c r="AF183" s="57"/>
      <c r="AG183" s="57"/>
      <c r="AH183" s="57"/>
      <c r="AI183" s="57"/>
      <c r="AJ183" s="57"/>
      <c r="AK183" s="57"/>
      <c r="AL183" s="57"/>
      <c r="AM183" s="57"/>
      <c r="AN183" s="57"/>
    </row>
    <row r="184" spans="1:40" s="559" customFormat="1" ht="29.25">
      <c r="A184" s="126"/>
      <c r="B184" s="605" t="s">
        <v>468</v>
      </c>
      <c r="C184" s="606" t="s">
        <v>1366</v>
      </c>
      <c r="D184" s="546" t="s">
        <v>933</v>
      </c>
      <c r="E184" s="547">
        <v>1</v>
      </c>
      <c r="F184" s="169" t="str">
        <f>""&amp;Table12[[#This Row],[TTM Stage]]&amp;Table12[[#This Row],[Task No.]]&amp;"-"&amp;Table12[[#This Row],[Type of activity]]&amp;"-"&amp;Table12[[#This Row],[TargetGroup]]</f>
        <v>M1-DN6-A-Children</v>
      </c>
      <c r="G184" s="123" t="s">
        <v>914</v>
      </c>
      <c r="H184" s="123"/>
      <c r="I184" s="549" t="s">
        <v>1150</v>
      </c>
      <c r="J184" s="315"/>
      <c r="K184" s="371" t="s">
        <v>1392</v>
      </c>
      <c r="L184" s="551" t="s">
        <v>75</v>
      </c>
      <c r="M184" s="125" t="s">
        <v>1393</v>
      </c>
      <c r="N184" s="602" t="s">
        <v>1132</v>
      </c>
      <c r="O184" s="122">
        <v>1</v>
      </c>
      <c r="P184" s="122">
        <v>7</v>
      </c>
      <c r="Q184" s="122"/>
      <c r="R184" s="122"/>
      <c r="S184" s="122"/>
      <c r="T184" s="547" t="s">
        <v>1108</v>
      </c>
      <c r="U184" s="547" t="s">
        <v>1109</v>
      </c>
      <c r="V184" s="341" t="s">
        <v>1110</v>
      </c>
      <c r="W184" s="547">
        <v>1</v>
      </c>
      <c r="X184" s="547"/>
      <c r="Y184" s="341" t="s">
        <v>1104</v>
      </c>
      <c r="Z184" s="126"/>
      <c r="AA184" s="57"/>
      <c r="AB184" s="57"/>
      <c r="AC184" s="57"/>
      <c r="AD184" s="57"/>
      <c r="AE184" s="57"/>
      <c r="AF184" s="57"/>
      <c r="AG184" s="57"/>
      <c r="AH184" s="57"/>
      <c r="AI184" s="57"/>
      <c r="AJ184" s="57"/>
      <c r="AK184" s="57"/>
      <c r="AL184" s="57"/>
      <c r="AM184" s="57"/>
      <c r="AN184" s="57"/>
    </row>
    <row r="185" spans="1:40" s="559" customFormat="1" ht="43.5">
      <c r="A185" s="126"/>
      <c r="B185" s="605" t="s">
        <v>468</v>
      </c>
      <c r="C185" s="606" t="s">
        <v>1366</v>
      </c>
      <c r="D185" s="546" t="s">
        <v>933</v>
      </c>
      <c r="E185" s="547">
        <v>2</v>
      </c>
      <c r="F185" s="169" t="str">
        <f>""&amp;Table12[[#This Row],[TTM Stage]]&amp;Table12[[#This Row],[Task No.]]&amp;"-"&amp;Table12[[#This Row],[Type of activity]]&amp;"-"&amp;Table12[[#This Row],[TargetGroup]]</f>
        <v>M2-DN6-A-Children</v>
      </c>
      <c r="G185" s="123" t="s">
        <v>914</v>
      </c>
      <c r="H185" s="123"/>
      <c r="I185" s="549" t="s">
        <v>1150</v>
      </c>
      <c r="J185" s="315"/>
      <c r="K185" s="371" t="s">
        <v>1330</v>
      </c>
      <c r="L185" s="551" t="s">
        <v>75</v>
      </c>
      <c r="M185" s="582" t="s">
        <v>1394</v>
      </c>
      <c r="N185" s="602" t="s">
        <v>1132</v>
      </c>
      <c r="O185" s="122">
        <v>1</v>
      </c>
      <c r="P185" s="122">
        <v>7</v>
      </c>
      <c r="Q185" s="122"/>
      <c r="R185" s="122"/>
      <c r="S185" s="122"/>
      <c r="T185" s="547" t="s">
        <v>1108</v>
      </c>
      <c r="U185" s="547" t="s">
        <v>1109</v>
      </c>
      <c r="V185" s="341" t="s">
        <v>1110</v>
      </c>
      <c r="W185" s="547">
        <v>2</v>
      </c>
      <c r="X185" s="547"/>
      <c r="Y185" s="341" t="s">
        <v>1104</v>
      </c>
      <c r="Z185" s="126"/>
      <c r="AA185" s="57"/>
      <c r="AB185" s="57"/>
      <c r="AC185" s="57"/>
      <c r="AD185" s="57"/>
      <c r="AE185" s="57"/>
      <c r="AF185" s="57"/>
      <c r="AG185" s="57"/>
      <c r="AH185" s="57"/>
      <c r="AI185" s="57"/>
      <c r="AJ185" s="57"/>
      <c r="AK185" s="57"/>
      <c r="AL185" s="57"/>
      <c r="AM185" s="57"/>
      <c r="AN185" s="57"/>
    </row>
    <row r="186" spans="1:40" s="559" customFormat="1" ht="43.5">
      <c r="A186" s="126"/>
      <c r="B186" s="605" t="s">
        <v>468</v>
      </c>
      <c r="C186" s="606" t="s">
        <v>1366</v>
      </c>
      <c r="D186" s="546" t="s">
        <v>933</v>
      </c>
      <c r="E186" s="547">
        <v>3</v>
      </c>
      <c r="F186" s="314" t="str">
        <f>""&amp;Table12[[#This Row],[TTM Stage]]&amp;Table12[[#This Row],[Task No.]]&amp;"-"&amp;Table12[[#This Row],[Type of activity]]&amp;"-"&amp;Table12[[#This Row],[TargetGroup]]</f>
        <v>M3-DN6-A-Children</v>
      </c>
      <c r="G186" s="123" t="s">
        <v>914</v>
      </c>
      <c r="H186" s="123"/>
      <c r="I186" s="549" t="s">
        <v>1150</v>
      </c>
      <c r="J186" s="315"/>
      <c r="K186" s="371" t="s">
        <v>1395</v>
      </c>
      <c r="L186" s="551" t="s">
        <v>75</v>
      </c>
      <c r="M186" s="582" t="s">
        <v>1396</v>
      </c>
      <c r="N186" s="602" t="s">
        <v>1132</v>
      </c>
      <c r="O186" s="122">
        <v>1</v>
      </c>
      <c r="P186" s="122">
        <v>7</v>
      </c>
      <c r="Q186" s="122"/>
      <c r="R186" s="122"/>
      <c r="S186" s="122"/>
      <c r="T186" s="547" t="s">
        <v>1108</v>
      </c>
      <c r="U186" s="547" t="s">
        <v>1109</v>
      </c>
      <c r="V186" s="341" t="s">
        <v>1110</v>
      </c>
      <c r="W186" s="547">
        <v>2</v>
      </c>
      <c r="X186" s="547"/>
      <c r="Y186" s="341" t="s">
        <v>1104</v>
      </c>
      <c r="Z186" s="126"/>
      <c r="AA186" s="57"/>
      <c r="AB186" s="57"/>
      <c r="AC186" s="57"/>
      <c r="AD186" s="57"/>
      <c r="AE186" s="57"/>
      <c r="AF186" s="57"/>
      <c r="AG186" s="57"/>
      <c r="AH186" s="57"/>
      <c r="AI186" s="57"/>
      <c r="AJ186" s="57"/>
      <c r="AK186" s="57"/>
      <c r="AL186" s="57"/>
      <c r="AM186" s="57"/>
      <c r="AN186" s="57"/>
    </row>
    <row r="187" spans="1:40" s="543" customFormat="1" ht="43.5">
      <c r="A187" s="115"/>
      <c r="B187" s="304" t="s">
        <v>468</v>
      </c>
      <c r="C187" s="305" t="s">
        <v>1366</v>
      </c>
      <c r="D187" s="257" t="s">
        <v>933</v>
      </c>
      <c r="E187" s="237">
        <v>4</v>
      </c>
      <c r="F187" s="258" t="str">
        <f>""&amp;Table12[[#This Row],[TTM Stage]]&amp;Table12[[#This Row],[Task No.]]&amp;"-"&amp;Table12[[#This Row],[Type of activity]]&amp;"-"&amp;Table12[[#This Row],[TargetGroup]]</f>
        <v>M4-DN6-A-Children</v>
      </c>
      <c r="G187" s="112" t="s">
        <v>914</v>
      </c>
      <c r="H187" s="112"/>
      <c r="I187" s="238" t="s">
        <v>1150</v>
      </c>
      <c r="J187" s="259"/>
      <c r="K187" s="519" t="s">
        <v>1397</v>
      </c>
      <c r="L187" s="372" t="s">
        <v>75</v>
      </c>
      <c r="M187" s="572" t="s">
        <v>1398</v>
      </c>
      <c r="N187" s="313" t="s">
        <v>1132</v>
      </c>
      <c r="O187" s="108">
        <v>1</v>
      </c>
      <c r="P187" s="108">
        <v>14</v>
      </c>
      <c r="Q187" s="108"/>
      <c r="R187" s="108"/>
      <c r="S187" s="108"/>
      <c r="T187" s="237" t="s">
        <v>1108</v>
      </c>
      <c r="U187" s="237" t="s">
        <v>1109</v>
      </c>
      <c r="V187" s="226" t="s">
        <v>1110</v>
      </c>
      <c r="W187" s="237">
        <v>4</v>
      </c>
      <c r="X187" s="237"/>
      <c r="Y187" s="226" t="s">
        <v>1104</v>
      </c>
      <c r="Z187" s="115"/>
      <c r="AA187" s="41"/>
      <c r="AB187" s="41"/>
      <c r="AC187" s="41"/>
      <c r="AD187" s="41"/>
      <c r="AE187" s="41"/>
      <c r="AF187" s="41"/>
      <c r="AG187" s="41"/>
      <c r="AH187" s="41"/>
      <c r="AI187" s="41"/>
      <c r="AJ187" s="41"/>
      <c r="AK187" s="41"/>
      <c r="AL187" s="41"/>
      <c r="AM187" s="41"/>
      <c r="AN187" s="41"/>
    </row>
    <row r="188" spans="1:40" ht="57.75">
      <c r="A188" s="147"/>
      <c r="B188" s="607" t="s">
        <v>485</v>
      </c>
      <c r="C188" s="608" t="s">
        <v>1399</v>
      </c>
      <c r="D188" s="697" t="s">
        <v>891</v>
      </c>
      <c r="E188" s="697">
        <v>1</v>
      </c>
      <c r="F188" s="698" t="str">
        <f>""&amp;Table12[[#This Row],[TTM Stage]]&amp;Table12[[#This Row],[Task No.]]&amp;"-"&amp;Table12[[#This Row],[Type of activity]]&amp;"-"&amp;Table12[[#This Row],[TargetGroup]]</f>
        <v>PC1-DN7-A-Children</v>
      </c>
      <c r="G188" s="699" t="s">
        <v>892</v>
      </c>
      <c r="H188" s="699"/>
      <c r="I188" s="700"/>
      <c r="J188" s="701"/>
      <c r="K188" s="702" t="s">
        <v>1400</v>
      </c>
      <c r="L188" s="703" t="s">
        <v>75</v>
      </c>
      <c r="M188" s="704" t="s">
        <v>1401</v>
      </c>
      <c r="N188" s="705" t="s">
        <v>1402</v>
      </c>
      <c r="O188" s="129">
        <v>1</v>
      </c>
      <c r="P188" s="579"/>
      <c r="Q188" s="579"/>
      <c r="R188" s="579"/>
      <c r="S188" s="579"/>
      <c r="T188" s="579"/>
      <c r="U188" s="579"/>
      <c r="V188" s="579"/>
      <c r="W188" s="579"/>
      <c r="X188" s="579"/>
      <c r="Y188" s="579"/>
      <c r="Z188" s="566"/>
      <c r="AA188" s="39"/>
      <c r="AB188" s="39"/>
      <c r="AC188" s="39"/>
      <c r="AD188" s="39"/>
      <c r="AE188" s="39"/>
      <c r="AF188" s="39"/>
      <c r="AG188" s="39"/>
      <c r="AH188" s="39"/>
      <c r="AI188" s="39"/>
      <c r="AJ188" s="39"/>
      <c r="AK188" s="39"/>
      <c r="AL188" s="39"/>
      <c r="AM188" s="39"/>
      <c r="AN188" s="39"/>
    </row>
    <row r="189" spans="1:40" ht="108" customHeight="1">
      <c r="A189" s="147"/>
      <c r="B189" s="318" t="s">
        <v>485</v>
      </c>
      <c r="C189" s="317" t="s">
        <v>1399</v>
      </c>
      <c r="D189" s="319" t="s">
        <v>891</v>
      </c>
      <c r="E189" s="122">
        <v>2</v>
      </c>
      <c r="F189" s="314" t="str">
        <f>""&amp;Table12[[#This Row],[TTM Stage]]&amp;Table12[[#This Row],[Task No.]]&amp;"-"&amp;Table12[[#This Row],[Type of activity]]&amp;"-"&amp;Table12[[#This Row],[TargetGroup]]</f>
        <v>PC2-DN7-A-Children</v>
      </c>
      <c r="G189" s="123" t="s">
        <v>903</v>
      </c>
      <c r="H189" s="123"/>
      <c r="I189" s="124"/>
      <c r="J189" s="315"/>
      <c r="K189" s="373" t="s">
        <v>1403</v>
      </c>
      <c r="L189" s="245" t="s">
        <v>75</v>
      </c>
      <c r="M189" s="114" t="s">
        <v>1404</v>
      </c>
      <c r="N189" s="369" t="s">
        <v>1017</v>
      </c>
      <c r="O189" s="108">
        <v>1</v>
      </c>
      <c r="P189" s="122"/>
      <c r="Q189" s="122"/>
      <c r="R189" s="122"/>
      <c r="S189" s="122"/>
      <c r="T189" s="122"/>
      <c r="U189" s="122"/>
      <c r="V189" s="122"/>
      <c r="W189" s="122"/>
      <c r="X189" s="122"/>
      <c r="Y189" s="122"/>
      <c r="Z189" s="126"/>
      <c r="AA189" s="41"/>
      <c r="AB189" s="41"/>
      <c r="AC189" s="41"/>
      <c r="AD189" s="41"/>
      <c r="AE189" s="41"/>
      <c r="AF189" s="41"/>
      <c r="AG189" s="41"/>
      <c r="AH189" s="41"/>
      <c r="AI189" s="41"/>
      <c r="AJ189" s="41"/>
      <c r="AK189" s="41"/>
      <c r="AL189" s="41"/>
      <c r="AM189" s="41"/>
      <c r="AN189" s="41"/>
    </row>
    <row r="190" spans="1:40" ht="130.5">
      <c r="A190" s="147"/>
      <c r="B190" s="318" t="s">
        <v>485</v>
      </c>
      <c r="C190" s="317" t="s">
        <v>1399</v>
      </c>
      <c r="D190" s="108" t="s">
        <v>899</v>
      </c>
      <c r="E190" s="108">
        <v>1</v>
      </c>
      <c r="F190" s="258" t="str">
        <f>""&amp;Table12[[#This Row],[TTM Stage]]&amp;Table12[[#This Row],[Task No.]]&amp;"-"&amp;Table12[[#This Row],[Type of activity]]&amp;"-"&amp;Table12[[#This Row],[TargetGroup]]</f>
        <v>C1-DN7-A-Children</v>
      </c>
      <c r="G190" s="112" t="s">
        <v>900</v>
      </c>
      <c r="H190" s="112"/>
      <c r="I190" s="113"/>
      <c r="J190" s="259"/>
      <c r="K190" s="373" t="s">
        <v>1405</v>
      </c>
      <c r="L190" s="372" t="s">
        <v>75</v>
      </c>
      <c r="M190" s="368" t="s">
        <v>1406</v>
      </c>
      <c r="N190" s="313" t="s">
        <v>1407</v>
      </c>
      <c r="O190" s="108">
        <v>1</v>
      </c>
      <c r="P190" s="108"/>
      <c r="Q190" s="108"/>
      <c r="R190" s="108"/>
      <c r="S190" s="108"/>
      <c r="T190" s="108"/>
      <c r="U190" s="108"/>
      <c r="V190" s="108"/>
      <c r="W190" s="108"/>
      <c r="X190" s="108"/>
      <c r="Y190" s="108"/>
      <c r="Z190" s="115"/>
      <c r="AA190" s="41"/>
      <c r="AB190" s="41"/>
      <c r="AC190" s="41"/>
      <c r="AD190" s="41"/>
      <c r="AE190" s="41"/>
      <c r="AF190" s="41"/>
      <c r="AG190" s="41"/>
      <c r="AH190" s="41"/>
      <c r="AI190" s="41"/>
      <c r="AJ190" s="41"/>
      <c r="AK190" s="41"/>
      <c r="AL190" s="41"/>
      <c r="AM190" s="41"/>
      <c r="AN190" s="41"/>
    </row>
    <row r="191" spans="1:40" ht="57.75">
      <c r="A191" s="147"/>
      <c r="B191" s="318" t="s">
        <v>485</v>
      </c>
      <c r="C191" s="317" t="s">
        <v>1399</v>
      </c>
      <c r="D191" s="108" t="s">
        <v>899</v>
      </c>
      <c r="E191" s="108">
        <v>2</v>
      </c>
      <c r="F191" s="258" t="str">
        <f>""&amp;Table12[[#This Row],[TTM Stage]]&amp;Table12[[#This Row],[Task No.]]&amp;"-"&amp;Table12[[#This Row],[Type of activity]]&amp;"-"&amp;Table12[[#This Row],[TargetGroup]]</f>
        <v>C2-DN7-A-Children</v>
      </c>
      <c r="G191" s="112" t="s">
        <v>900</v>
      </c>
      <c r="H191" s="112"/>
      <c r="I191" s="113"/>
      <c r="J191" s="259"/>
      <c r="K191" s="373" t="s">
        <v>1408</v>
      </c>
      <c r="L191" s="372" t="s">
        <v>75</v>
      </c>
      <c r="M191" s="114" t="s">
        <v>1409</v>
      </c>
      <c r="N191" s="132"/>
      <c r="O191" s="108">
        <v>1</v>
      </c>
      <c r="P191" s="108"/>
      <c r="Q191" s="108"/>
      <c r="R191" s="108"/>
      <c r="S191" s="108"/>
      <c r="T191" s="108"/>
      <c r="U191" s="108"/>
      <c r="V191" s="108"/>
      <c r="W191" s="108"/>
      <c r="X191" s="108"/>
      <c r="Y191" s="108"/>
      <c r="Z191" s="115"/>
      <c r="AA191" s="41"/>
      <c r="AB191" s="41"/>
      <c r="AC191" s="41"/>
      <c r="AD191" s="41"/>
      <c r="AE191" s="41"/>
      <c r="AF191" s="41"/>
      <c r="AG191" s="41"/>
      <c r="AH191" s="41"/>
      <c r="AI191" s="41"/>
      <c r="AJ191" s="41"/>
      <c r="AK191" s="41"/>
      <c r="AL191" s="41"/>
      <c r="AM191" s="41"/>
      <c r="AN191" s="41"/>
    </row>
    <row r="192" spans="1:40" ht="43.5">
      <c r="A192" s="147"/>
      <c r="B192" s="318" t="s">
        <v>485</v>
      </c>
      <c r="C192" s="317" t="s">
        <v>1399</v>
      </c>
      <c r="D192" s="320" t="s">
        <v>908</v>
      </c>
      <c r="E192" s="108">
        <v>1</v>
      </c>
      <c r="F192" s="258" t="str">
        <f>""&amp;Table12[[#This Row],[TTM Stage]]&amp;Table12[[#This Row],[Task No.]]&amp;"-"&amp;Table12[[#This Row],[Type of activity]]&amp;"-"&amp;Table12[[#This Row],[TargetGroup]]</f>
        <v>P1-DN7-A-Children</v>
      </c>
      <c r="G192" s="112" t="s">
        <v>962</v>
      </c>
      <c r="H192" s="112"/>
      <c r="I192" s="113"/>
      <c r="J192" s="259"/>
      <c r="K192" s="199" t="s">
        <v>1410</v>
      </c>
      <c r="L192" s="372" t="s">
        <v>75</v>
      </c>
      <c r="M192" s="114" t="s">
        <v>1411</v>
      </c>
      <c r="N192" s="369" t="s">
        <v>1017</v>
      </c>
      <c r="O192" s="108">
        <v>1</v>
      </c>
      <c r="P192" s="108"/>
      <c r="Q192" s="108"/>
      <c r="R192" s="108"/>
      <c r="S192" s="108"/>
      <c r="T192" s="108"/>
      <c r="U192" s="108"/>
      <c r="V192" s="108"/>
      <c r="W192" s="108"/>
      <c r="X192" s="108"/>
      <c r="Y192" s="108"/>
      <c r="Z192" s="115"/>
      <c r="AA192" s="41"/>
      <c r="AB192" s="41"/>
      <c r="AC192" s="41"/>
      <c r="AD192" s="41"/>
      <c r="AE192" s="41"/>
      <c r="AF192" s="41"/>
      <c r="AG192" s="41"/>
      <c r="AH192" s="41"/>
      <c r="AI192" s="41"/>
      <c r="AJ192" s="41"/>
      <c r="AK192" s="41"/>
      <c r="AL192" s="41"/>
      <c r="AM192" s="41"/>
      <c r="AN192" s="41"/>
    </row>
    <row r="193" spans="1:40" ht="43.5">
      <c r="A193" s="147"/>
      <c r="B193" s="318" t="s">
        <v>485</v>
      </c>
      <c r="C193" s="317" t="s">
        <v>1399</v>
      </c>
      <c r="D193" s="320" t="s">
        <v>908</v>
      </c>
      <c r="E193" s="108">
        <v>2</v>
      </c>
      <c r="F193" s="258" t="str">
        <f>""&amp;Table12[[#This Row],[TTM Stage]]&amp;Table12[[#This Row],[Task No.]]&amp;"-"&amp;Table12[[#This Row],[Type of activity]]&amp;"-"&amp;Table12[[#This Row],[TargetGroup]]</f>
        <v>P2-DN7-A-Children</v>
      </c>
      <c r="G193" s="112" t="s">
        <v>984</v>
      </c>
      <c r="H193" s="112"/>
      <c r="I193" s="113"/>
      <c r="J193" s="259"/>
      <c r="K193" s="370" t="s">
        <v>1412</v>
      </c>
      <c r="L193" s="372" t="s">
        <v>75</v>
      </c>
      <c r="M193" s="114" t="s">
        <v>1413</v>
      </c>
      <c r="N193" s="369" t="s">
        <v>1017</v>
      </c>
      <c r="O193" s="108">
        <v>1</v>
      </c>
      <c r="P193" s="108"/>
      <c r="Q193" s="108"/>
      <c r="R193" s="108"/>
      <c r="S193" s="108"/>
      <c r="T193" s="108"/>
      <c r="U193" s="108"/>
      <c r="V193" s="108"/>
      <c r="W193" s="108"/>
      <c r="X193" s="108"/>
      <c r="Y193" s="108"/>
      <c r="Z193" s="115"/>
      <c r="AA193" s="41"/>
      <c r="AB193" s="41"/>
      <c r="AC193" s="41"/>
      <c r="AD193" s="41"/>
      <c r="AE193" s="41"/>
      <c r="AF193" s="41"/>
      <c r="AG193" s="41"/>
      <c r="AH193" s="41"/>
      <c r="AI193" s="41"/>
      <c r="AJ193" s="41"/>
      <c r="AK193" s="41"/>
      <c r="AL193" s="41"/>
      <c r="AM193" s="41"/>
      <c r="AN193" s="41"/>
    </row>
    <row r="194" spans="1:40" ht="43.5">
      <c r="A194" s="147"/>
      <c r="B194" s="318" t="s">
        <v>485</v>
      </c>
      <c r="C194" s="317" t="s">
        <v>1399</v>
      </c>
      <c r="D194" s="321" t="s">
        <v>921</v>
      </c>
      <c r="E194" s="108">
        <v>1</v>
      </c>
      <c r="F194" s="258" t="str">
        <f>""&amp;Table12[[#This Row],[TTM Stage]]&amp;Table12[[#This Row],[Task No.]]&amp;"-"&amp;Table12[[#This Row],[Type of activity]]&amp;"-"&amp;Table12[[#This Row],[TargetGroup]]</f>
        <v>A1-DN7-A-Children</v>
      </c>
      <c r="G194" s="112" t="s">
        <v>962</v>
      </c>
      <c r="H194" s="112"/>
      <c r="I194" s="238" t="s">
        <v>1150</v>
      </c>
      <c r="J194" s="259"/>
      <c r="K194" s="316" t="s">
        <v>1414</v>
      </c>
      <c r="L194" s="372" t="s">
        <v>75</v>
      </c>
      <c r="M194" s="329" t="s">
        <v>1415</v>
      </c>
      <c r="N194" s="114"/>
      <c r="O194" s="108">
        <v>1</v>
      </c>
      <c r="P194" s="108"/>
      <c r="Q194" s="108"/>
      <c r="R194" s="108"/>
      <c r="S194" s="108"/>
      <c r="T194" s="108"/>
      <c r="U194" s="108"/>
      <c r="V194" s="108"/>
      <c r="W194" s="108"/>
      <c r="X194" s="108"/>
      <c r="Y194" s="108"/>
      <c r="Z194" s="115"/>
      <c r="AA194" s="41"/>
      <c r="AB194" s="41"/>
      <c r="AC194" s="41"/>
      <c r="AD194" s="41"/>
      <c r="AE194" s="41"/>
      <c r="AF194" s="41"/>
      <c r="AG194" s="41"/>
      <c r="AH194" s="41"/>
      <c r="AI194" s="41"/>
      <c r="AJ194" s="41"/>
      <c r="AK194" s="41"/>
      <c r="AL194" s="41"/>
      <c r="AM194" s="41"/>
      <c r="AN194" s="41"/>
    </row>
    <row r="195" spans="1:40" ht="43.5">
      <c r="A195" s="147"/>
      <c r="B195" s="318" t="s">
        <v>485</v>
      </c>
      <c r="C195" s="317" t="s">
        <v>1399</v>
      </c>
      <c r="D195" s="321" t="s">
        <v>921</v>
      </c>
      <c r="E195" s="108">
        <v>2</v>
      </c>
      <c r="F195" s="258" t="str">
        <f>""&amp;Table12[[#This Row],[TTM Stage]]&amp;Table12[[#This Row],[Task No.]]&amp;"-"&amp;Table12[[#This Row],[Type of activity]]&amp;"-"&amp;Table12[[#This Row],[TargetGroup]]</f>
        <v>A2-DN7-A-Children</v>
      </c>
      <c r="G195" s="112" t="s">
        <v>962</v>
      </c>
      <c r="H195" s="112"/>
      <c r="I195" s="113"/>
      <c r="J195" s="259"/>
      <c r="K195" s="375" t="s">
        <v>1416</v>
      </c>
      <c r="L195" s="245" t="s">
        <v>75</v>
      </c>
      <c r="M195" s="374" t="s">
        <v>1417</v>
      </c>
      <c r="N195" s="309"/>
      <c r="O195" s="108">
        <v>1</v>
      </c>
      <c r="P195" s="108"/>
      <c r="Q195" s="108"/>
      <c r="R195" s="108"/>
      <c r="S195" s="108"/>
      <c r="T195" s="108"/>
      <c r="U195" s="108"/>
      <c r="V195" s="108"/>
      <c r="W195" s="108"/>
      <c r="X195" s="108"/>
      <c r="Y195" s="108"/>
      <c r="Z195" s="115"/>
      <c r="AA195" s="41"/>
      <c r="AB195" s="41"/>
      <c r="AC195" s="41"/>
      <c r="AD195" s="41"/>
      <c r="AE195" s="41"/>
      <c r="AF195" s="41"/>
      <c r="AG195" s="41"/>
      <c r="AH195" s="41"/>
      <c r="AI195" s="41"/>
      <c r="AJ195" s="41"/>
      <c r="AK195" s="41"/>
      <c r="AL195" s="41"/>
      <c r="AM195" s="41"/>
      <c r="AN195" s="41"/>
    </row>
    <row r="196" spans="1:40" ht="43.5">
      <c r="A196" s="147"/>
      <c r="B196" s="318" t="s">
        <v>485</v>
      </c>
      <c r="C196" s="317" t="s">
        <v>1399</v>
      </c>
      <c r="D196" s="321" t="s">
        <v>921</v>
      </c>
      <c r="E196" s="108">
        <v>3</v>
      </c>
      <c r="F196" s="258" t="str">
        <f>""&amp;Table12[[#This Row],[TTM Stage]]&amp;Table12[[#This Row],[Task No.]]&amp;"-"&amp;Table12[[#This Row],[Type of activity]]&amp;"-"&amp;Table12[[#This Row],[TargetGroup]]</f>
        <v>A3-DN7-A-Children</v>
      </c>
      <c r="G196" s="112" t="s">
        <v>984</v>
      </c>
      <c r="H196" s="112"/>
      <c r="I196" s="113"/>
      <c r="J196" s="259"/>
      <c r="K196" s="370" t="s">
        <v>1418</v>
      </c>
      <c r="L196" s="372" t="s">
        <v>75</v>
      </c>
      <c r="M196" s="329" t="s">
        <v>1419</v>
      </c>
      <c r="N196" s="369" t="s">
        <v>1017</v>
      </c>
      <c r="O196" s="108">
        <v>1</v>
      </c>
      <c r="P196" s="108"/>
      <c r="Q196" s="108"/>
      <c r="R196" s="108"/>
      <c r="S196" s="108"/>
      <c r="T196" s="108"/>
      <c r="U196" s="108"/>
      <c r="V196" s="108"/>
      <c r="W196" s="108"/>
      <c r="X196" s="108"/>
      <c r="Y196" s="108"/>
      <c r="Z196" s="115"/>
      <c r="AA196" s="41"/>
      <c r="AB196" s="41"/>
      <c r="AC196" s="41"/>
      <c r="AD196" s="41"/>
      <c r="AE196" s="41"/>
      <c r="AF196" s="41"/>
      <c r="AG196" s="41"/>
      <c r="AH196" s="41"/>
      <c r="AI196" s="41"/>
      <c r="AJ196" s="41"/>
      <c r="AK196" s="41"/>
      <c r="AL196" s="41"/>
      <c r="AM196" s="41"/>
      <c r="AN196" s="41"/>
    </row>
    <row r="197" spans="1:40" ht="43.5">
      <c r="A197" s="147"/>
      <c r="B197" s="318" t="s">
        <v>485</v>
      </c>
      <c r="C197" s="317" t="s">
        <v>1399</v>
      </c>
      <c r="D197" s="321" t="s">
        <v>921</v>
      </c>
      <c r="E197" s="108">
        <v>4</v>
      </c>
      <c r="F197" s="258" t="str">
        <f>""&amp;Table12[[#This Row],[TTM Stage]]&amp;Table12[[#This Row],[Task No.]]&amp;"-"&amp;Table12[[#This Row],[Type of activity]]&amp;"-"&amp;Table12[[#This Row],[TargetGroup]]</f>
        <v>A4-DN7-A-Children</v>
      </c>
      <c r="G197" s="112" t="s">
        <v>962</v>
      </c>
      <c r="H197" s="112"/>
      <c r="I197" s="113"/>
      <c r="J197" s="259"/>
      <c r="K197" s="380" t="s">
        <v>1420</v>
      </c>
      <c r="L197" s="245" t="s">
        <v>75</v>
      </c>
      <c r="M197" s="378" t="s">
        <v>1421</v>
      </c>
      <c r="N197" s="309"/>
      <c r="O197" s="108">
        <v>1</v>
      </c>
      <c r="P197" s="108"/>
      <c r="Q197" s="108"/>
      <c r="R197" s="108"/>
      <c r="S197" s="108"/>
      <c r="T197" s="108"/>
      <c r="U197" s="108"/>
      <c r="V197" s="108"/>
      <c r="W197" s="108"/>
      <c r="X197" s="108"/>
      <c r="Y197" s="108"/>
      <c r="Z197" s="115"/>
      <c r="AA197" s="41"/>
      <c r="AB197" s="41"/>
      <c r="AC197" s="41"/>
      <c r="AD197" s="41"/>
      <c r="AE197" s="41"/>
      <c r="AF197" s="41"/>
      <c r="AG197" s="41"/>
      <c r="AH197" s="41"/>
      <c r="AI197" s="41"/>
      <c r="AJ197" s="41"/>
      <c r="AK197" s="41"/>
      <c r="AL197" s="41"/>
      <c r="AM197" s="41"/>
      <c r="AN197" s="41"/>
    </row>
    <row r="198" spans="1:40" ht="15">
      <c r="A198" s="147"/>
      <c r="B198" s="318" t="s">
        <v>485</v>
      </c>
      <c r="C198" s="317" t="s">
        <v>1399</v>
      </c>
      <c r="D198" s="322" t="s">
        <v>933</v>
      </c>
      <c r="E198" s="108">
        <v>1</v>
      </c>
      <c r="F198" s="258" t="str">
        <f>""&amp;Table12[[#This Row],[TTM Stage]]&amp;Table12[[#This Row],[Task No.]]&amp;"-"&amp;Table12[[#This Row],[Type of activity]]&amp;"-"&amp;Table12[[#This Row],[TargetGroup]]</f>
        <v>M1-DN7-A-Children</v>
      </c>
      <c r="G198" s="112" t="s">
        <v>962</v>
      </c>
      <c r="H198" s="112"/>
      <c r="I198" s="113"/>
      <c r="J198" s="259"/>
      <c r="K198" s="379" t="s">
        <v>1422</v>
      </c>
      <c r="L198" s="245" t="s">
        <v>75</v>
      </c>
      <c r="M198" s="377" t="s">
        <v>1423</v>
      </c>
      <c r="N198" s="309"/>
      <c r="O198" s="108">
        <v>1</v>
      </c>
      <c r="P198" s="108"/>
      <c r="Q198" s="108"/>
      <c r="R198" s="108"/>
      <c r="S198" s="108"/>
      <c r="T198" s="108"/>
      <c r="U198" s="108"/>
      <c r="V198" s="108"/>
      <c r="W198" s="108"/>
      <c r="X198" s="108"/>
      <c r="Y198" s="108"/>
      <c r="Z198" s="115"/>
      <c r="AA198" s="41"/>
      <c r="AB198" s="41"/>
      <c r="AC198" s="41"/>
      <c r="AD198" s="41"/>
      <c r="AE198" s="41"/>
      <c r="AF198" s="41"/>
      <c r="AG198" s="41"/>
      <c r="AH198" s="41"/>
      <c r="AI198" s="41"/>
      <c r="AJ198" s="41"/>
      <c r="AK198" s="41"/>
      <c r="AL198" s="41"/>
      <c r="AM198" s="41"/>
      <c r="AN198" s="41"/>
    </row>
    <row r="199" spans="1:40" ht="29.25">
      <c r="A199" s="147"/>
      <c r="B199" s="318" t="s">
        <v>485</v>
      </c>
      <c r="C199" s="317" t="s">
        <v>1399</v>
      </c>
      <c r="D199" s="322" t="s">
        <v>933</v>
      </c>
      <c r="E199" s="108">
        <v>2</v>
      </c>
      <c r="F199" s="258" t="str">
        <f>""&amp;Table12[[#This Row],[TTM Stage]]&amp;Table12[[#This Row],[Task No.]]&amp;"-"&amp;Table12[[#This Row],[Type of activity]]&amp;"-"&amp;Table12[[#This Row],[TargetGroup]]</f>
        <v>M2-DN7-A-Children</v>
      </c>
      <c r="G199" s="112" t="s">
        <v>962</v>
      </c>
      <c r="H199" s="112"/>
      <c r="I199" s="113"/>
      <c r="J199" s="259"/>
      <c r="K199" s="380" t="s">
        <v>1424</v>
      </c>
      <c r="L199" s="245" t="s">
        <v>75</v>
      </c>
      <c r="M199" s="377" t="s">
        <v>1425</v>
      </c>
      <c r="N199" s="309"/>
      <c r="O199" s="108">
        <v>1</v>
      </c>
      <c r="P199" s="108"/>
      <c r="Q199" s="108"/>
      <c r="R199" s="108"/>
      <c r="S199" s="108"/>
      <c r="T199" s="108"/>
      <c r="U199" s="108"/>
      <c r="V199" s="108"/>
      <c r="W199" s="108"/>
      <c r="X199" s="108"/>
      <c r="Y199" s="108"/>
      <c r="Z199" s="115"/>
      <c r="AA199" s="41"/>
      <c r="AB199" s="41"/>
      <c r="AC199" s="41"/>
      <c r="AD199" s="41"/>
      <c r="AE199" s="41"/>
      <c r="AF199" s="41"/>
      <c r="AG199" s="41"/>
      <c r="AH199" s="41"/>
      <c r="AI199" s="41"/>
      <c r="AJ199" s="41"/>
      <c r="AK199" s="41"/>
      <c r="AL199" s="41"/>
      <c r="AM199" s="41"/>
      <c r="AN199" s="41"/>
    </row>
    <row r="200" spans="1:40" ht="57.75">
      <c r="A200" s="147"/>
      <c r="B200" s="318" t="s">
        <v>485</v>
      </c>
      <c r="C200" s="317" t="s">
        <v>1399</v>
      </c>
      <c r="D200" s="322" t="s">
        <v>933</v>
      </c>
      <c r="E200" s="108">
        <v>3</v>
      </c>
      <c r="F200" s="258" t="str">
        <f>""&amp;Table12[[#This Row],[TTM Stage]]&amp;Table12[[#This Row],[Task No.]]&amp;"-"&amp;Table12[[#This Row],[Type of activity]]&amp;"-"&amp;Table12[[#This Row],[TargetGroup]]</f>
        <v>M3-DN7-A-Children</v>
      </c>
      <c r="G200" s="112" t="s">
        <v>984</v>
      </c>
      <c r="H200" s="112"/>
      <c r="I200" s="113"/>
      <c r="J200" s="259"/>
      <c r="K200" s="380" t="s">
        <v>1426</v>
      </c>
      <c r="L200" s="245" t="s">
        <v>75</v>
      </c>
      <c r="M200" s="376" t="s">
        <v>1427</v>
      </c>
      <c r="N200" s="369" t="s">
        <v>1017</v>
      </c>
      <c r="O200" s="108">
        <v>1</v>
      </c>
      <c r="P200" s="108"/>
      <c r="Q200" s="108"/>
      <c r="R200" s="108"/>
      <c r="S200" s="108"/>
      <c r="T200" s="108"/>
      <c r="U200" s="108"/>
      <c r="V200" s="108"/>
      <c r="W200" s="108"/>
      <c r="X200" s="108"/>
      <c r="Y200" s="108"/>
      <c r="Z200" s="115"/>
      <c r="AA200" s="41"/>
      <c r="AB200" s="41"/>
      <c r="AC200" s="41"/>
      <c r="AD200" s="41"/>
      <c r="AE200" s="41"/>
      <c r="AF200" s="41"/>
      <c r="AG200" s="41"/>
      <c r="AH200" s="41"/>
      <c r="AI200" s="41"/>
      <c r="AJ200" s="41"/>
      <c r="AK200" s="41"/>
      <c r="AL200" s="41"/>
      <c r="AM200" s="41"/>
      <c r="AN200" s="41"/>
    </row>
    <row r="201" spans="1:40" ht="15">
      <c r="A201" s="147"/>
      <c r="B201" s="318" t="s">
        <v>485</v>
      </c>
      <c r="C201" s="317" t="s">
        <v>1399</v>
      </c>
      <c r="D201" s="322" t="s">
        <v>933</v>
      </c>
      <c r="E201" s="108">
        <v>4</v>
      </c>
      <c r="F201" s="258" t="str">
        <f>""&amp;Table12[[#This Row],[TTM Stage]]&amp;Table12[[#This Row],[Task No.]]&amp;"-"&amp;Table12[[#This Row],[Type of activity]]&amp;"-"&amp;Table12[[#This Row],[TargetGroup]]</f>
        <v>M4-DN7-A-Children</v>
      </c>
      <c r="G201" s="112" t="s">
        <v>962</v>
      </c>
      <c r="H201" s="112"/>
      <c r="I201" s="113"/>
      <c r="J201" s="259"/>
      <c r="K201" s="375" t="s">
        <v>1428</v>
      </c>
      <c r="L201" s="245" t="s">
        <v>75</v>
      </c>
      <c r="M201" s="377" t="s">
        <v>1425</v>
      </c>
      <c r="N201" s="309"/>
      <c r="O201" s="108">
        <v>1</v>
      </c>
      <c r="P201" s="108"/>
      <c r="Q201" s="108"/>
      <c r="R201" s="108"/>
      <c r="S201" s="108"/>
      <c r="T201" s="108"/>
      <c r="U201" s="108"/>
      <c r="V201" s="108"/>
      <c r="W201" s="108"/>
      <c r="X201" s="108"/>
      <c r="Y201" s="108"/>
      <c r="Z201" s="115"/>
      <c r="AA201" s="41"/>
      <c r="AB201" s="41"/>
      <c r="AC201" s="41"/>
      <c r="AD201" s="41"/>
      <c r="AE201" s="41"/>
      <c r="AF201" s="41"/>
      <c r="AG201" s="41"/>
      <c r="AH201" s="41"/>
      <c r="AI201" s="41"/>
      <c r="AJ201" s="41"/>
      <c r="AK201" s="41"/>
      <c r="AL201" s="41"/>
      <c r="AM201" s="41"/>
      <c r="AN201" s="41"/>
    </row>
    <row r="202" spans="1:40" ht="43.5">
      <c r="A202" s="147"/>
      <c r="B202" s="359" t="s">
        <v>502</v>
      </c>
      <c r="C202" s="360" t="s">
        <v>1429</v>
      </c>
      <c r="D202" s="706" t="s">
        <v>891</v>
      </c>
      <c r="E202" s="707">
        <v>1</v>
      </c>
      <c r="F202" s="689" t="str">
        <f>""&amp;Table12[[#This Row],[TTM Stage]]&amp;Table12[[#This Row],[Task No.]]&amp;"-"&amp;Table12[[#This Row],[Type of activity]]&amp;"-"&amp;Table12[[#This Row],[TargetGroup]]</f>
        <v>PC1-DN8-A-Children</v>
      </c>
      <c r="G202" s="690" t="s">
        <v>892</v>
      </c>
      <c r="H202" s="690"/>
      <c r="I202" s="691"/>
      <c r="J202" s="692"/>
      <c r="K202" s="708" t="s">
        <v>1430</v>
      </c>
      <c r="L202" s="709" t="s">
        <v>75</v>
      </c>
      <c r="M202" s="710" t="s">
        <v>1431</v>
      </c>
      <c r="N202" s="711" t="s">
        <v>1084</v>
      </c>
      <c r="O202" s="108">
        <v>1</v>
      </c>
      <c r="P202" s="122"/>
      <c r="Q202" s="122"/>
      <c r="R202" s="122"/>
      <c r="S202" s="122"/>
      <c r="T202" s="122"/>
      <c r="U202" s="122"/>
      <c r="V202" s="122"/>
      <c r="W202" s="122"/>
      <c r="X202" s="122"/>
      <c r="Y202" s="122"/>
      <c r="Z202" s="126"/>
      <c r="AA202" s="41"/>
      <c r="AB202" s="41"/>
      <c r="AC202" s="41"/>
      <c r="AD202" s="41"/>
      <c r="AE202" s="41"/>
      <c r="AF202" s="41"/>
      <c r="AG202" s="41"/>
      <c r="AH202" s="41"/>
      <c r="AI202" s="41"/>
      <c r="AJ202" s="41"/>
      <c r="AK202" s="41"/>
      <c r="AL202" s="41"/>
      <c r="AM202" s="41"/>
      <c r="AN202" s="41"/>
    </row>
    <row r="203" spans="1:40" ht="54.75" customHeight="1">
      <c r="A203" s="147"/>
      <c r="B203" s="359" t="s">
        <v>502</v>
      </c>
      <c r="C203" s="360" t="s">
        <v>1429</v>
      </c>
      <c r="D203" s="236" t="s">
        <v>891</v>
      </c>
      <c r="E203" s="122">
        <v>2</v>
      </c>
      <c r="F203" s="258" t="str">
        <f>""&amp;Table12[[#This Row],[TTM Stage]]&amp;Table12[[#This Row],[Task No.]]&amp;"-"&amp;Table12[[#This Row],[Type of activity]]&amp;"-"&amp;Table12[[#This Row],[TargetGroup]]</f>
        <v>PC2-DN8-A-Children</v>
      </c>
      <c r="G203" s="112" t="s">
        <v>946</v>
      </c>
      <c r="H203" s="112"/>
      <c r="I203" s="113"/>
      <c r="J203" s="259"/>
      <c r="K203" s="199" t="s">
        <v>1432</v>
      </c>
      <c r="L203" s="372" t="s">
        <v>75</v>
      </c>
      <c r="M203" s="114" t="s">
        <v>1433</v>
      </c>
      <c r="N203" s="255" t="s">
        <v>1300</v>
      </c>
      <c r="O203" s="108">
        <v>1</v>
      </c>
      <c r="P203" s="108"/>
      <c r="Q203" s="108"/>
      <c r="R203" s="108"/>
      <c r="S203" s="108"/>
      <c r="T203" s="108"/>
      <c r="U203" s="108"/>
      <c r="V203" s="108"/>
      <c r="W203" s="108"/>
      <c r="X203" s="108"/>
      <c r="Y203" s="108"/>
      <c r="Z203" s="115"/>
      <c r="AA203" s="41"/>
      <c r="AB203" s="41"/>
      <c r="AC203" s="41"/>
      <c r="AD203" s="41"/>
      <c r="AE203" s="41"/>
      <c r="AF203" s="41"/>
      <c r="AG203" s="41"/>
      <c r="AH203" s="41"/>
      <c r="AI203" s="41"/>
      <c r="AJ203" s="41"/>
      <c r="AK203" s="41"/>
      <c r="AL203" s="41"/>
      <c r="AM203" s="41"/>
      <c r="AN203" s="41"/>
    </row>
    <row r="204" spans="1:40" ht="57.75">
      <c r="A204" s="147"/>
      <c r="B204" s="359" t="s">
        <v>502</v>
      </c>
      <c r="C204" s="360" t="s">
        <v>1429</v>
      </c>
      <c r="D204" s="237" t="s">
        <v>899</v>
      </c>
      <c r="E204" s="108">
        <v>1</v>
      </c>
      <c r="F204" s="258" t="str">
        <f>""&amp;Table12[[#This Row],[TTM Stage]]&amp;Table12[[#This Row],[Task No.]]&amp;"-"&amp;Table12[[#This Row],[Type of activity]]&amp;"-"&amp;Table12[[#This Row],[TargetGroup]]</f>
        <v>C1-DN8-A-Children</v>
      </c>
      <c r="G204" s="112" t="s">
        <v>900</v>
      </c>
      <c r="H204" s="112"/>
      <c r="I204" s="113"/>
      <c r="J204" s="259"/>
      <c r="K204" s="316" t="s">
        <v>1434</v>
      </c>
      <c r="L204" s="372" t="s">
        <v>75</v>
      </c>
      <c r="M204" s="114" t="s">
        <v>1435</v>
      </c>
      <c r="N204" s="114"/>
      <c r="O204" s="108">
        <v>1</v>
      </c>
      <c r="P204" s="108"/>
      <c r="Q204" s="108"/>
      <c r="R204" s="108"/>
      <c r="S204" s="108"/>
      <c r="T204" s="108"/>
      <c r="U204" s="108"/>
      <c r="V204" s="108"/>
      <c r="W204" s="108"/>
      <c r="X204" s="108"/>
      <c r="Y204" s="108"/>
      <c r="Z204" s="115"/>
      <c r="AA204" s="41"/>
      <c r="AB204" s="41"/>
      <c r="AC204" s="41"/>
      <c r="AD204" s="41"/>
      <c r="AE204" s="41"/>
      <c r="AF204" s="41"/>
      <c r="AG204" s="41"/>
      <c r="AH204" s="41"/>
      <c r="AI204" s="41"/>
      <c r="AJ204" s="41"/>
      <c r="AK204" s="41"/>
      <c r="AL204" s="41"/>
      <c r="AM204" s="41"/>
      <c r="AN204" s="41"/>
    </row>
    <row r="205" spans="1:40" ht="87">
      <c r="A205" s="147"/>
      <c r="B205" s="359" t="s">
        <v>502</v>
      </c>
      <c r="C205" s="360" t="s">
        <v>1429</v>
      </c>
      <c r="D205" s="237" t="s">
        <v>899</v>
      </c>
      <c r="E205" s="108">
        <v>2</v>
      </c>
      <c r="F205" s="258" t="str">
        <f>""&amp;Table12[[#This Row],[TTM Stage]]&amp;Table12[[#This Row],[Task No.]]&amp;"-"&amp;Table12[[#This Row],[Type of activity]]&amp;"-"&amp;Table12[[#This Row],[TargetGroup]]</f>
        <v>C2-DN8-A-Children</v>
      </c>
      <c r="G205" s="112" t="s">
        <v>900</v>
      </c>
      <c r="H205" s="112"/>
      <c r="I205" s="113"/>
      <c r="J205" s="259"/>
      <c r="K205" s="382" t="s">
        <v>1436</v>
      </c>
      <c r="L205" s="372" t="s">
        <v>75</v>
      </c>
      <c r="M205" s="114" t="s">
        <v>1437</v>
      </c>
      <c r="N205" s="114"/>
      <c r="O205" s="108">
        <v>1</v>
      </c>
      <c r="P205" s="108"/>
      <c r="Q205" s="108"/>
      <c r="R205" s="108"/>
      <c r="S205" s="108"/>
      <c r="T205" s="108"/>
      <c r="U205" s="108"/>
      <c r="V205" s="108"/>
      <c r="W205" s="108"/>
      <c r="X205" s="108"/>
      <c r="Y205" s="108"/>
      <c r="Z205" s="115"/>
      <c r="AA205" s="41"/>
      <c r="AB205" s="41"/>
      <c r="AC205" s="41"/>
      <c r="AD205" s="41"/>
      <c r="AE205" s="41"/>
      <c r="AF205" s="41"/>
      <c r="AG205" s="41"/>
      <c r="AH205" s="41"/>
      <c r="AI205" s="41"/>
      <c r="AJ205" s="41"/>
      <c r="AK205" s="41"/>
      <c r="AL205" s="41"/>
      <c r="AM205" s="41"/>
      <c r="AN205" s="41"/>
    </row>
    <row r="206" spans="1:40" ht="43.5">
      <c r="A206" s="147"/>
      <c r="B206" s="359" t="s">
        <v>502</v>
      </c>
      <c r="C206" s="360" t="s">
        <v>1429</v>
      </c>
      <c r="D206" s="247" t="s">
        <v>908</v>
      </c>
      <c r="E206" s="108">
        <v>1</v>
      </c>
      <c r="F206" s="258" t="str">
        <f>""&amp;Table12[[#This Row],[TTM Stage]]&amp;Table12[[#This Row],[Task No.]]&amp;"-"&amp;Table12[[#This Row],[Type of activity]]&amp;"-"&amp;Table12[[#This Row],[TargetGroup]]</f>
        <v>P1-DN8-A-Children</v>
      </c>
      <c r="G206" s="112" t="s">
        <v>903</v>
      </c>
      <c r="H206" s="112"/>
      <c r="I206" s="113"/>
      <c r="J206" s="259"/>
      <c r="K206" s="383" t="s">
        <v>1438</v>
      </c>
      <c r="L206" s="372" t="s">
        <v>75</v>
      </c>
      <c r="M206" s="114" t="s">
        <v>1439</v>
      </c>
      <c r="N206" s="369" t="s">
        <v>1017</v>
      </c>
      <c r="O206" s="108">
        <v>1</v>
      </c>
      <c r="P206" s="108"/>
      <c r="Q206" s="108"/>
      <c r="R206" s="108"/>
      <c r="S206" s="108"/>
      <c r="T206" s="108"/>
      <c r="U206" s="108"/>
      <c r="V206" s="108"/>
      <c r="W206" s="108"/>
      <c r="X206" s="108"/>
      <c r="Y206" s="108"/>
      <c r="Z206" s="115"/>
      <c r="AA206" s="41"/>
      <c r="AB206" s="41"/>
      <c r="AC206" s="41"/>
      <c r="AD206" s="41"/>
      <c r="AE206" s="41"/>
      <c r="AF206" s="41"/>
      <c r="AG206" s="41"/>
      <c r="AH206" s="41"/>
      <c r="AI206" s="41"/>
      <c r="AJ206" s="41"/>
      <c r="AK206" s="41"/>
      <c r="AL206" s="41"/>
      <c r="AM206" s="41"/>
      <c r="AN206" s="41"/>
    </row>
    <row r="207" spans="1:40" ht="29.25">
      <c r="A207" s="147"/>
      <c r="B207" s="359" t="s">
        <v>502</v>
      </c>
      <c r="C207" s="360" t="s">
        <v>1429</v>
      </c>
      <c r="D207" s="247" t="s">
        <v>908</v>
      </c>
      <c r="E207" s="108">
        <v>2</v>
      </c>
      <c r="F207" s="258" t="str">
        <f>""&amp;Table12[[#This Row],[TTM Stage]]&amp;Table12[[#This Row],[Task No.]]&amp;"-"&amp;Table12[[#This Row],[Type of activity]]&amp;"-"&amp;Table12[[#This Row],[TargetGroup]]</f>
        <v>P2-DN8-A-Children</v>
      </c>
      <c r="G207" s="112" t="s">
        <v>957</v>
      </c>
      <c r="H207" s="112"/>
      <c r="I207" s="113"/>
      <c r="J207" s="259"/>
      <c r="K207" s="199" t="s">
        <v>1440</v>
      </c>
      <c r="L207" s="372" t="s">
        <v>75</v>
      </c>
      <c r="M207" s="384" t="s">
        <v>1441</v>
      </c>
      <c r="N207" s="114"/>
      <c r="O207" s="108">
        <v>1</v>
      </c>
      <c r="P207" s="108"/>
      <c r="Q207" s="108"/>
      <c r="R207" s="108"/>
      <c r="S207" s="108"/>
      <c r="T207" s="108"/>
      <c r="U207" s="108"/>
      <c r="V207" s="108"/>
      <c r="W207" s="108"/>
      <c r="X207" s="108"/>
      <c r="Y207" s="108"/>
      <c r="Z207" s="115"/>
      <c r="AA207" s="41"/>
      <c r="AB207" s="41"/>
      <c r="AC207" s="41"/>
      <c r="AD207" s="41"/>
      <c r="AE207" s="41"/>
      <c r="AF207" s="41"/>
      <c r="AG207" s="41"/>
      <c r="AH207" s="41"/>
      <c r="AI207" s="41"/>
      <c r="AJ207" s="41"/>
      <c r="AK207" s="41"/>
      <c r="AL207" s="41"/>
      <c r="AM207" s="41"/>
      <c r="AN207" s="41"/>
    </row>
    <row r="208" spans="1:40" ht="43.5">
      <c r="A208" s="147"/>
      <c r="B208" s="359" t="s">
        <v>502</v>
      </c>
      <c r="C208" s="360" t="s">
        <v>1429</v>
      </c>
      <c r="D208" s="256" t="s">
        <v>921</v>
      </c>
      <c r="E208" s="108">
        <v>1</v>
      </c>
      <c r="F208" s="258" t="str">
        <f>""&amp;Table12[[#This Row],[TTM Stage]]&amp;Table12[[#This Row],[Task No.]]&amp;"-"&amp;Table12[[#This Row],[Type of activity]]&amp;"-"&amp;Table12[[#This Row],[TargetGroup]]</f>
        <v>A1-DN8-A-Children</v>
      </c>
      <c r="G208" s="112" t="s">
        <v>984</v>
      </c>
      <c r="H208" s="112"/>
      <c r="I208" s="113"/>
      <c r="J208" s="259"/>
      <c r="K208" s="199" t="s">
        <v>1442</v>
      </c>
      <c r="L208" s="245" t="s">
        <v>75</v>
      </c>
      <c r="M208" s="377" t="s">
        <v>1443</v>
      </c>
      <c r="N208" s="385" t="s">
        <v>1444</v>
      </c>
      <c r="O208" s="108">
        <v>1</v>
      </c>
      <c r="P208" s="108"/>
      <c r="Q208" s="108"/>
      <c r="R208" s="108"/>
      <c r="S208" s="108"/>
      <c r="T208" s="108"/>
      <c r="U208" s="108"/>
      <c r="V208" s="108"/>
      <c r="W208" s="108"/>
      <c r="X208" s="108"/>
      <c r="Y208" s="108"/>
      <c r="Z208" s="115"/>
      <c r="AA208" s="41"/>
      <c r="AB208" s="41"/>
      <c r="AC208" s="41"/>
      <c r="AD208" s="41"/>
      <c r="AE208" s="41"/>
      <c r="AF208" s="41"/>
      <c r="AG208" s="41"/>
      <c r="AH208" s="41"/>
      <c r="AI208" s="41"/>
      <c r="AJ208" s="41"/>
      <c r="AK208" s="41"/>
      <c r="AL208" s="41"/>
      <c r="AM208" s="41"/>
      <c r="AN208" s="41"/>
    </row>
    <row r="209" spans="1:40" ht="15">
      <c r="A209" s="147"/>
      <c r="B209" s="359" t="s">
        <v>502</v>
      </c>
      <c r="C209" s="360" t="s">
        <v>1429</v>
      </c>
      <c r="D209" s="256" t="s">
        <v>921</v>
      </c>
      <c r="E209" s="108">
        <v>2</v>
      </c>
      <c r="F209" s="258" t="str">
        <f>""&amp;Table12[[#This Row],[TTM Stage]]&amp;Table12[[#This Row],[Task No.]]&amp;"-"&amp;Table12[[#This Row],[Type of activity]]&amp;"-"&amp;Table12[[#This Row],[TargetGroup]]</f>
        <v>A2-DN8-A-Children</v>
      </c>
      <c r="G209" s="112" t="s">
        <v>962</v>
      </c>
      <c r="H209" s="112"/>
      <c r="I209" s="113"/>
      <c r="J209" s="259"/>
      <c r="K209" s="199" t="s">
        <v>1445</v>
      </c>
      <c r="L209" s="245" t="s">
        <v>75</v>
      </c>
      <c r="M209" s="377" t="s">
        <v>1446</v>
      </c>
      <c r="N209" s="309"/>
      <c r="O209" s="108">
        <v>1</v>
      </c>
      <c r="P209" s="108"/>
      <c r="Q209" s="108"/>
      <c r="R209" s="108"/>
      <c r="S209" s="108"/>
      <c r="T209" s="108"/>
      <c r="U209" s="108"/>
      <c r="V209" s="108"/>
      <c r="W209" s="108"/>
      <c r="X209" s="108"/>
      <c r="Y209" s="108"/>
      <c r="Z209" s="115"/>
      <c r="AA209" s="41"/>
      <c r="AB209" s="41"/>
      <c r="AC209" s="41"/>
      <c r="AD209" s="41"/>
      <c r="AE209" s="41"/>
      <c r="AF209" s="41"/>
      <c r="AG209" s="41"/>
      <c r="AH209" s="41"/>
      <c r="AI209" s="41"/>
      <c r="AJ209" s="41"/>
      <c r="AK209" s="41"/>
      <c r="AL209" s="41"/>
      <c r="AM209" s="41"/>
      <c r="AN209" s="41"/>
    </row>
    <row r="210" spans="1:40" ht="15">
      <c r="A210" s="147"/>
      <c r="B210" s="359" t="s">
        <v>502</v>
      </c>
      <c r="C210" s="360" t="s">
        <v>1429</v>
      </c>
      <c r="D210" s="256" t="s">
        <v>921</v>
      </c>
      <c r="E210" s="108">
        <v>3</v>
      </c>
      <c r="F210" s="258" t="str">
        <f>""&amp;Table12[[#This Row],[TTM Stage]]&amp;Table12[[#This Row],[Task No.]]&amp;"-"&amp;Table12[[#This Row],[Type of activity]]&amp;"-"&amp;Table12[[#This Row],[TargetGroup]]</f>
        <v>A3-DN8-A-Children</v>
      </c>
      <c r="G210" s="112" t="s">
        <v>962</v>
      </c>
      <c r="H210" s="112"/>
      <c r="I210" s="113"/>
      <c r="J210" s="259"/>
      <c r="K210" s="199" t="s">
        <v>1447</v>
      </c>
      <c r="L210" s="245" t="s">
        <v>75</v>
      </c>
      <c r="M210" s="377" t="s">
        <v>1448</v>
      </c>
      <c r="N210" s="309"/>
      <c r="O210" s="108">
        <v>1</v>
      </c>
      <c r="P210" s="108"/>
      <c r="Q210" s="108"/>
      <c r="R210" s="108"/>
      <c r="S210" s="108"/>
      <c r="T210" s="108"/>
      <c r="U210" s="108"/>
      <c r="V210" s="108"/>
      <c r="W210" s="108"/>
      <c r="X210" s="108"/>
      <c r="Y210" s="108"/>
      <c r="Z210" s="115"/>
      <c r="AA210" s="41"/>
      <c r="AB210" s="41"/>
      <c r="AC210" s="41"/>
      <c r="AD210" s="41"/>
      <c r="AE210" s="41"/>
      <c r="AF210" s="41"/>
      <c r="AG210" s="41"/>
      <c r="AH210" s="41"/>
      <c r="AI210" s="41"/>
      <c r="AJ210" s="41"/>
      <c r="AK210" s="41"/>
      <c r="AL210" s="41"/>
      <c r="AM210" s="41"/>
      <c r="AN210" s="41"/>
    </row>
    <row r="211" spans="1:40" ht="29.25">
      <c r="A211" s="147"/>
      <c r="B211" s="359" t="s">
        <v>502</v>
      </c>
      <c r="C211" s="360" t="s">
        <v>1429</v>
      </c>
      <c r="D211" s="256" t="s">
        <v>921</v>
      </c>
      <c r="E211" s="108">
        <v>4</v>
      </c>
      <c r="F211" s="258" t="str">
        <f>""&amp;Table12[[#This Row],[TTM Stage]]&amp;Table12[[#This Row],[Task No.]]&amp;"-"&amp;Table12[[#This Row],[Type of activity]]&amp;"-"&amp;Table12[[#This Row],[TargetGroup]]</f>
        <v>A4-DN8-A-Children</v>
      </c>
      <c r="G211" s="112" t="s">
        <v>962</v>
      </c>
      <c r="H211" s="112"/>
      <c r="I211" s="113"/>
      <c r="J211" s="259"/>
      <c r="K211" s="199" t="s">
        <v>1449</v>
      </c>
      <c r="L211" s="245" t="s">
        <v>75</v>
      </c>
      <c r="M211" s="377" t="s">
        <v>1450</v>
      </c>
      <c r="N211" s="309"/>
      <c r="O211" s="108">
        <v>1</v>
      </c>
      <c r="P211" s="108"/>
      <c r="Q211" s="108"/>
      <c r="R211" s="108"/>
      <c r="S211" s="108"/>
      <c r="T211" s="108"/>
      <c r="U211" s="108"/>
      <c r="V211" s="108"/>
      <c r="W211" s="108"/>
      <c r="X211" s="108"/>
      <c r="Y211" s="108"/>
      <c r="Z211" s="115"/>
      <c r="AA211" s="41"/>
      <c r="AB211" s="41"/>
      <c r="AC211" s="41"/>
      <c r="AD211" s="41"/>
      <c r="AE211" s="41"/>
      <c r="AF211" s="41"/>
      <c r="AG211" s="41"/>
      <c r="AH211" s="41"/>
      <c r="AI211" s="41"/>
      <c r="AJ211" s="41"/>
      <c r="AK211" s="41"/>
      <c r="AL211" s="41"/>
      <c r="AM211" s="41"/>
      <c r="AN211" s="41"/>
    </row>
    <row r="212" spans="1:40" ht="29.25">
      <c r="A212" s="147"/>
      <c r="B212" s="359" t="s">
        <v>502</v>
      </c>
      <c r="C212" s="360" t="s">
        <v>1429</v>
      </c>
      <c r="D212" s="257" t="s">
        <v>933</v>
      </c>
      <c r="E212" s="108">
        <v>1</v>
      </c>
      <c r="F212" s="258" t="str">
        <f>""&amp;Table12[[#This Row],[TTM Stage]]&amp;Table12[[#This Row],[Task No.]]&amp;"-"&amp;Table12[[#This Row],[Type of activity]]&amp;"-"&amp;Table12[[#This Row],[TargetGroup]]</f>
        <v>M1-DN8-A-Children</v>
      </c>
      <c r="G212" s="112" t="s">
        <v>962</v>
      </c>
      <c r="H212" s="112"/>
      <c r="I212" s="113"/>
      <c r="J212" s="259"/>
      <c r="K212" s="199" t="s">
        <v>1451</v>
      </c>
      <c r="L212" s="372" t="s">
        <v>75</v>
      </c>
      <c r="M212" s="377" t="s">
        <v>1452</v>
      </c>
      <c r="N212" s="114"/>
      <c r="O212" s="108">
        <v>1</v>
      </c>
      <c r="P212" s="108"/>
      <c r="Q212" s="108"/>
      <c r="R212" s="108"/>
      <c r="S212" s="108"/>
      <c r="T212" s="108"/>
      <c r="U212" s="108"/>
      <c r="V212" s="108"/>
      <c r="W212" s="108"/>
      <c r="X212" s="108"/>
      <c r="Y212" s="108"/>
      <c r="Z212" s="115"/>
      <c r="AA212" s="41"/>
      <c r="AB212" s="41"/>
      <c r="AC212" s="41"/>
      <c r="AD212" s="41"/>
      <c r="AE212" s="41"/>
      <c r="AF212" s="41"/>
      <c r="AG212" s="41"/>
      <c r="AH212" s="41"/>
      <c r="AI212" s="41"/>
      <c r="AJ212" s="41"/>
      <c r="AK212" s="41"/>
      <c r="AL212" s="41"/>
      <c r="AM212" s="41"/>
      <c r="AN212" s="41"/>
    </row>
    <row r="213" spans="1:40" ht="15">
      <c r="A213" s="147"/>
      <c r="B213" s="359" t="s">
        <v>502</v>
      </c>
      <c r="C213" s="360" t="s">
        <v>1429</v>
      </c>
      <c r="D213" s="257" t="s">
        <v>933</v>
      </c>
      <c r="E213" s="108">
        <v>2</v>
      </c>
      <c r="F213" s="258" t="str">
        <f>""&amp;Table12[[#This Row],[TTM Stage]]&amp;Table12[[#This Row],[Task No.]]&amp;"-"&amp;Table12[[#This Row],[Type of activity]]&amp;"-"&amp;Table12[[#This Row],[TargetGroup]]</f>
        <v>M2-DN8-A-Children</v>
      </c>
      <c r="G213" s="112" t="s">
        <v>962</v>
      </c>
      <c r="H213" s="112"/>
      <c r="I213" s="113"/>
      <c r="J213" s="259"/>
      <c r="K213" s="199" t="s">
        <v>1453</v>
      </c>
      <c r="L213" s="372" t="s">
        <v>75</v>
      </c>
      <c r="M213" s="377" t="s">
        <v>1454</v>
      </c>
      <c r="N213" s="114"/>
      <c r="O213" s="108">
        <v>1</v>
      </c>
      <c r="P213" s="108"/>
      <c r="Q213" s="108"/>
      <c r="R213" s="108"/>
      <c r="S213" s="108"/>
      <c r="T213" s="108"/>
      <c r="U213" s="108"/>
      <c r="V213" s="108"/>
      <c r="W213" s="108"/>
      <c r="X213" s="108"/>
      <c r="Y213" s="108"/>
      <c r="Z213" s="115"/>
      <c r="AA213" s="41"/>
      <c r="AB213" s="41"/>
      <c r="AC213" s="41"/>
      <c r="AD213" s="41"/>
      <c r="AE213" s="41"/>
      <c r="AF213" s="41"/>
      <c r="AG213" s="41"/>
      <c r="AH213" s="41"/>
      <c r="AI213" s="41"/>
      <c r="AJ213" s="41"/>
      <c r="AK213" s="41"/>
      <c r="AL213" s="41"/>
      <c r="AM213" s="41"/>
      <c r="AN213" s="41"/>
    </row>
    <row r="214" spans="1:40" ht="15">
      <c r="A214" s="147"/>
      <c r="B214" s="359" t="s">
        <v>502</v>
      </c>
      <c r="C214" s="360" t="s">
        <v>1429</v>
      </c>
      <c r="D214" s="257" t="s">
        <v>933</v>
      </c>
      <c r="E214" s="108">
        <v>3</v>
      </c>
      <c r="F214" s="258" t="str">
        <f>""&amp;Table12[[#This Row],[TTM Stage]]&amp;Table12[[#This Row],[Task No.]]&amp;"-"&amp;Table12[[#This Row],[Type of activity]]&amp;"-"&amp;Table12[[#This Row],[TargetGroup]]</f>
        <v>M3-DN8-A-Children</v>
      </c>
      <c r="G214" s="112" t="s">
        <v>962</v>
      </c>
      <c r="H214" s="112"/>
      <c r="I214" s="113"/>
      <c r="J214" s="259"/>
      <c r="K214" s="199" t="s">
        <v>828</v>
      </c>
      <c r="L214" s="372" t="s">
        <v>75</v>
      </c>
      <c r="M214" s="377" t="s">
        <v>1455</v>
      </c>
      <c r="N214" s="114"/>
      <c r="O214" s="108">
        <v>1</v>
      </c>
      <c r="P214" s="108"/>
      <c r="Q214" s="108"/>
      <c r="R214" s="108"/>
      <c r="S214" s="108"/>
      <c r="T214" s="108"/>
      <c r="U214" s="108"/>
      <c r="V214" s="108"/>
      <c r="W214" s="108"/>
      <c r="X214" s="108"/>
      <c r="Y214" s="108"/>
      <c r="Z214" s="115"/>
      <c r="AA214" s="41"/>
      <c r="AB214" s="41"/>
      <c r="AC214" s="41"/>
      <c r="AD214" s="41"/>
      <c r="AE214" s="41"/>
      <c r="AF214" s="41"/>
      <c r="AG214" s="41"/>
      <c r="AH214" s="41"/>
      <c r="AI214" s="41"/>
      <c r="AJ214" s="41"/>
      <c r="AK214" s="41"/>
      <c r="AL214" s="41"/>
      <c r="AM214" s="41"/>
      <c r="AN214" s="41"/>
    </row>
    <row r="215" spans="1:40" ht="15">
      <c r="A215" s="147"/>
      <c r="B215" s="359" t="s">
        <v>502</v>
      </c>
      <c r="C215" s="360" t="s">
        <v>1429</v>
      </c>
      <c r="D215" s="257" t="s">
        <v>933</v>
      </c>
      <c r="E215" s="108">
        <v>4</v>
      </c>
      <c r="F215" s="258" t="str">
        <f>""&amp;Table12[[#This Row],[TTM Stage]]&amp;Table12[[#This Row],[Task No.]]&amp;"-"&amp;Table12[[#This Row],[Type of activity]]&amp;"-"&amp;Table12[[#This Row],[TargetGroup]]</f>
        <v>M4-DN8-A-Children</v>
      </c>
      <c r="G215" s="112" t="s">
        <v>962</v>
      </c>
      <c r="H215" s="112"/>
      <c r="I215" s="113"/>
      <c r="J215" s="259"/>
      <c r="K215" s="199" t="s">
        <v>1456</v>
      </c>
      <c r="L215" s="372" t="s">
        <v>75</v>
      </c>
      <c r="M215" s="377" t="s">
        <v>1457</v>
      </c>
      <c r="N215" s="114"/>
      <c r="O215" s="108">
        <v>1</v>
      </c>
      <c r="P215" s="108"/>
      <c r="Q215" s="108"/>
      <c r="R215" s="108"/>
      <c r="S215" s="108"/>
      <c r="T215" s="108"/>
      <c r="U215" s="108"/>
      <c r="V215" s="108"/>
      <c r="W215" s="108"/>
      <c r="X215" s="108"/>
      <c r="Y215" s="108"/>
      <c r="Z215" s="115"/>
      <c r="AA215" s="41"/>
      <c r="AB215" s="41"/>
      <c r="AC215" s="41"/>
      <c r="AD215" s="41"/>
      <c r="AE215" s="41"/>
      <c r="AF215" s="41"/>
      <c r="AG215" s="41"/>
      <c r="AH215" s="41"/>
      <c r="AI215" s="41"/>
      <c r="AJ215" s="41"/>
      <c r="AK215" s="41"/>
      <c r="AL215" s="41"/>
      <c r="AM215" s="41"/>
      <c r="AN215" s="41"/>
    </row>
    <row r="216" spans="1:40" ht="43.5">
      <c r="A216" s="147"/>
      <c r="B216" s="359" t="s">
        <v>520</v>
      </c>
      <c r="C216" s="360" t="s">
        <v>1458</v>
      </c>
      <c r="D216" s="706" t="s">
        <v>891</v>
      </c>
      <c r="E216" s="707">
        <v>1</v>
      </c>
      <c r="F216" s="689" t="str">
        <f>""&amp;Table12[[#This Row],[TTM Stage]]&amp;Table12[[#This Row],[Task No.]]&amp;"-"&amp;Table12[[#This Row],[Type of activity]]&amp;"-"&amp;Table12[[#This Row],[TargetGroup]]</f>
        <v>PC1-DN9-A-Children</v>
      </c>
      <c r="G216" s="690" t="s">
        <v>892</v>
      </c>
      <c r="H216" s="690"/>
      <c r="I216" s="691"/>
      <c r="J216" s="692"/>
      <c r="K216" s="712" t="s">
        <v>1459</v>
      </c>
      <c r="L216" s="709" t="s">
        <v>75</v>
      </c>
      <c r="M216" s="710" t="s">
        <v>1460</v>
      </c>
      <c r="N216" s="711" t="s">
        <v>1084</v>
      </c>
      <c r="O216" s="108">
        <v>1</v>
      </c>
      <c r="P216" s="122"/>
      <c r="Q216" s="122"/>
      <c r="R216" s="122"/>
      <c r="S216" s="122"/>
      <c r="T216" s="122"/>
      <c r="U216" s="122"/>
      <c r="V216" s="122"/>
      <c r="W216" s="122"/>
      <c r="X216" s="122"/>
      <c r="Y216" s="122"/>
      <c r="Z216" s="126"/>
      <c r="AA216" s="41"/>
      <c r="AB216" s="41"/>
      <c r="AC216" s="41"/>
      <c r="AD216" s="41"/>
      <c r="AE216" s="41"/>
      <c r="AF216" s="41"/>
      <c r="AG216" s="41"/>
      <c r="AH216" s="41"/>
      <c r="AI216" s="41"/>
      <c r="AJ216" s="41"/>
      <c r="AK216" s="41"/>
      <c r="AL216" s="41"/>
      <c r="AM216" s="41"/>
      <c r="AN216" s="41"/>
    </row>
    <row r="217" spans="1:40" ht="43.5">
      <c r="A217" s="147"/>
      <c r="B217" s="361" t="s">
        <v>520</v>
      </c>
      <c r="C217" s="360" t="s">
        <v>1458</v>
      </c>
      <c r="D217" s="236" t="s">
        <v>891</v>
      </c>
      <c r="E217" s="122">
        <v>2</v>
      </c>
      <c r="F217" s="258" t="str">
        <f>""&amp;Table12[[#This Row],[TTM Stage]]&amp;Table12[[#This Row],[Task No.]]&amp;"-"&amp;Table12[[#This Row],[Type of activity]]&amp;"-"&amp;Table12[[#This Row],[TargetGroup]]</f>
        <v>PC2-DN9-A-Children</v>
      </c>
      <c r="G217" s="112" t="s">
        <v>962</v>
      </c>
      <c r="H217" s="112"/>
      <c r="I217" s="113"/>
      <c r="J217" s="259"/>
      <c r="K217" s="199" t="s">
        <v>1461</v>
      </c>
      <c r="L217" s="372" t="s">
        <v>75</v>
      </c>
      <c r="M217" s="114" t="s">
        <v>1462</v>
      </c>
      <c r="N217" s="255" t="s">
        <v>1300</v>
      </c>
      <c r="O217" s="108">
        <v>1</v>
      </c>
      <c r="P217" s="108"/>
      <c r="Q217" s="108"/>
      <c r="R217" s="108"/>
      <c r="S217" s="108"/>
      <c r="T217" s="108"/>
      <c r="U217" s="108"/>
      <c r="V217" s="108"/>
      <c r="W217" s="108"/>
      <c r="X217" s="108"/>
      <c r="Y217" s="108"/>
      <c r="Z217" s="115"/>
      <c r="AA217" s="41"/>
      <c r="AB217" s="41"/>
      <c r="AC217" s="41"/>
      <c r="AD217" s="41"/>
      <c r="AE217" s="41"/>
      <c r="AF217" s="41"/>
      <c r="AG217" s="41"/>
      <c r="AH217" s="41"/>
      <c r="AI217" s="41"/>
      <c r="AJ217" s="41"/>
      <c r="AK217" s="41"/>
      <c r="AL217" s="41"/>
      <c r="AM217" s="41"/>
      <c r="AN217" s="41"/>
    </row>
    <row r="218" spans="1:40" ht="57.75">
      <c r="A218" s="147"/>
      <c r="B218" s="361" t="s">
        <v>520</v>
      </c>
      <c r="C218" s="360" t="s">
        <v>1458</v>
      </c>
      <c r="D218" s="237" t="s">
        <v>899</v>
      </c>
      <c r="E218" s="108">
        <v>1</v>
      </c>
      <c r="F218" s="258" t="str">
        <f>""&amp;Table12[[#This Row],[TTM Stage]]&amp;Table12[[#This Row],[Task No.]]&amp;"-"&amp;Table12[[#This Row],[Type of activity]]&amp;"-"&amp;Table12[[#This Row],[TargetGroup]]</f>
        <v>C1-DN9-A-Children</v>
      </c>
      <c r="G218" s="112" t="s">
        <v>900</v>
      </c>
      <c r="H218" s="112"/>
      <c r="I218" s="113"/>
      <c r="J218" s="259"/>
      <c r="K218" s="199" t="s">
        <v>1463</v>
      </c>
      <c r="L218" s="372" t="s">
        <v>75</v>
      </c>
      <c r="M218" s="114" t="s">
        <v>1464</v>
      </c>
      <c r="N218" s="114"/>
      <c r="O218" s="108">
        <v>1</v>
      </c>
      <c r="P218" s="108"/>
      <c r="Q218" s="108"/>
      <c r="R218" s="108"/>
      <c r="S218" s="108"/>
      <c r="T218" s="108"/>
      <c r="U218" s="108"/>
      <c r="V218" s="108"/>
      <c r="W218" s="108"/>
      <c r="X218" s="108"/>
      <c r="Y218" s="108"/>
      <c r="Z218" s="115"/>
      <c r="AA218" s="41"/>
      <c r="AB218" s="41"/>
      <c r="AC218" s="41"/>
      <c r="AD218" s="41"/>
      <c r="AE218" s="41"/>
      <c r="AF218" s="41"/>
      <c r="AG218" s="41"/>
      <c r="AH218" s="41"/>
      <c r="AI218" s="41"/>
      <c r="AJ218" s="41"/>
      <c r="AK218" s="41"/>
      <c r="AL218" s="41"/>
      <c r="AM218" s="41"/>
      <c r="AN218" s="41"/>
    </row>
    <row r="219" spans="1:40" ht="57.75">
      <c r="A219" s="147"/>
      <c r="B219" s="361" t="s">
        <v>520</v>
      </c>
      <c r="C219" s="360" t="s">
        <v>1458</v>
      </c>
      <c r="D219" s="237" t="s">
        <v>899</v>
      </c>
      <c r="E219" s="108">
        <v>2</v>
      </c>
      <c r="F219" s="258" t="str">
        <f>""&amp;Table12[[#This Row],[TTM Stage]]&amp;Table12[[#This Row],[Task No.]]&amp;"-"&amp;Table12[[#This Row],[Type of activity]]&amp;"-"&amp;Table12[[#This Row],[TargetGroup]]</f>
        <v>C2-DN9-A-Children</v>
      </c>
      <c r="G219" s="112" t="s">
        <v>900</v>
      </c>
      <c r="H219" s="112"/>
      <c r="I219" s="113"/>
      <c r="J219" s="259"/>
      <c r="K219" s="199" t="s">
        <v>1465</v>
      </c>
      <c r="L219" s="372" t="s">
        <v>75</v>
      </c>
      <c r="M219" s="114" t="s">
        <v>1466</v>
      </c>
      <c r="N219" s="114"/>
      <c r="O219" s="108">
        <v>1</v>
      </c>
      <c r="P219" s="108"/>
      <c r="Q219" s="108"/>
      <c r="R219" s="108"/>
      <c r="S219" s="108"/>
      <c r="T219" s="108"/>
      <c r="U219" s="108"/>
      <c r="V219" s="108"/>
      <c r="W219" s="108"/>
      <c r="X219" s="108"/>
      <c r="Y219" s="108"/>
      <c r="Z219" s="115"/>
      <c r="AA219" s="41"/>
      <c r="AB219" s="41"/>
      <c r="AC219" s="41"/>
      <c r="AD219" s="41"/>
      <c r="AE219" s="41"/>
      <c r="AF219" s="41"/>
      <c r="AG219" s="41"/>
      <c r="AH219" s="41"/>
      <c r="AI219" s="41"/>
      <c r="AJ219" s="41"/>
      <c r="AK219" s="41"/>
      <c r="AL219" s="41"/>
      <c r="AM219" s="41"/>
      <c r="AN219" s="41"/>
    </row>
    <row r="220" spans="1:40" ht="43.5">
      <c r="A220" s="147"/>
      <c r="B220" s="361" t="s">
        <v>520</v>
      </c>
      <c r="C220" s="360" t="s">
        <v>1458</v>
      </c>
      <c r="D220" s="247" t="s">
        <v>908</v>
      </c>
      <c r="E220" s="108">
        <v>1</v>
      </c>
      <c r="F220" s="258" t="str">
        <f>""&amp;Table12[[#This Row],[TTM Stage]]&amp;Table12[[#This Row],[Task No.]]&amp;"-"&amp;Table12[[#This Row],[Type of activity]]&amp;"-"&amp;Table12[[#This Row],[TargetGroup]]</f>
        <v>P1-DN9-A-Children</v>
      </c>
      <c r="G220" s="112" t="s">
        <v>903</v>
      </c>
      <c r="H220" s="112"/>
      <c r="I220" s="113"/>
      <c r="J220" s="259"/>
      <c r="K220" s="199" t="s">
        <v>1467</v>
      </c>
      <c r="L220" s="372" t="s">
        <v>75</v>
      </c>
      <c r="M220" s="125" t="s">
        <v>1468</v>
      </c>
      <c r="N220" s="386" t="s">
        <v>1444</v>
      </c>
      <c r="O220" s="108">
        <v>1</v>
      </c>
      <c r="P220" s="108"/>
      <c r="Q220" s="108"/>
      <c r="R220" s="108"/>
      <c r="S220" s="108"/>
      <c r="T220" s="108"/>
      <c r="U220" s="108"/>
      <c r="V220" s="108"/>
      <c r="W220" s="108"/>
      <c r="X220" s="108"/>
      <c r="Y220" s="108"/>
      <c r="Z220" s="115"/>
      <c r="AA220" s="41"/>
      <c r="AB220" s="41"/>
      <c r="AC220" s="41"/>
      <c r="AD220" s="41"/>
      <c r="AE220" s="41"/>
      <c r="AF220" s="41"/>
      <c r="AG220" s="41"/>
      <c r="AH220" s="41"/>
      <c r="AI220" s="41"/>
      <c r="AJ220" s="41"/>
      <c r="AK220" s="41"/>
      <c r="AL220" s="41"/>
      <c r="AM220" s="41"/>
      <c r="AN220" s="41"/>
    </row>
    <row r="221" spans="1:40" ht="43.5">
      <c r="A221" s="147"/>
      <c r="B221" s="361" t="s">
        <v>520</v>
      </c>
      <c r="C221" s="360" t="s">
        <v>1458</v>
      </c>
      <c r="D221" s="247" t="s">
        <v>908</v>
      </c>
      <c r="E221" s="108">
        <v>2</v>
      </c>
      <c r="F221" s="258" t="str">
        <f>""&amp;Table12[[#This Row],[TTM Stage]]&amp;Table12[[#This Row],[Task No.]]&amp;"-"&amp;Table12[[#This Row],[Type of activity]]&amp;"-"&amp;Table12[[#This Row],[TargetGroup]]</f>
        <v>P2-DN9-A-Children</v>
      </c>
      <c r="G221" s="112" t="s">
        <v>984</v>
      </c>
      <c r="H221" s="112"/>
      <c r="I221" s="113"/>
      <c r="J221" s="259"/>
      <c r="K221" s="199" t="s">
        <v>1469</v>
      </c>
      <c r="L221" s="245" t="s">
        <v>75</v>
      </c>
      <c r="M221" s="388" t="s">
        <v>1470</v>
      </c>
      <c r="N221" s="386" t="s">
        <v>1444</v>
      </c>
      <c r="O221" s="108">
        <v>1</v>
      </c>
      <c r="P221" s="108"/>
      <c r="Q221" s="108"/>
      <c r="R221" s="108"/>
      <c r="S221" s="108"/>
      <c r="T221" s="108"/>
      <c r="U221" s="108"/>
      <c r="V221" s="108"/>
      <c r="W221" s="108"/>
      <c r="X221" s="108"/>
      <c r="Y221" s="108"/>
      <c r="Z221" s="115"/>
      <c r="AA221" s="41"/>
      <c r="AB221" s="41"/>
      <c r="AC221" s="41"/>
      <c r="AD221" s="41"/>
      <c r="AE221" s="41"/>
      <c r="AF221" s="41"/>
      <c r="AG221" s="41"/>
      <c r="AH221" s="41"/>
      <c r="AI221" s="41"/>
      <c r="AJ221" s="41"/>
      <c r="AK221" s="41"/>
      <c r="AL221" s="41"/>
      <c r="AM221" s="41"/>
      <c r="AN221" s="41"/>
    </row>
    <row r="222" spans="1:40" ht="43.5">
      <c r="A222" s="147"/>
      <c r="B222" s="361" t="s">
        <v>520</v>
      </c>
      <c r="C222" s="360" t="s">
        <v>1458</v>
      </c>
      <c r="D222" s="256" t="s">
        <v>921</v>
      </c>
      <c r="E222" s="108">
        <v>1</v>
      </c>
      <c r="F222" s="258" t="str">
        <f>""&amp;Table12[[#This Row],[TTM Stage]]&amp;Table12[[#This Row],[Task No.]]&amp;"-"&amp;Table12[[#This Row],[Type of activity]]&amp;"-"&amp;Table12[[#This Row],[TargetGroup]]</f>
        <v>A1-DN9-A-Children</v>
      </c>
      <c r="G222" s="112" t="s">
        <v>984</v>
      </c>
      <c r="H222" s="112"/>
      <c r="I222" s="113"/>
      <c r="J222" s="259"/>
      <c r="K222" s="199" t="s">
        <v>1471</v>
      </c>
      <c r="L222" s="372" t="s">
        <v>75</v>
      </c>
      <c r="M222" s="377" t="s">
        <v>1472</v>
      </c>
      <c r="N222" s="386" t="s">
        <v>1444</v>
      </c>
      <c r="O222" s="108">
        <v>1</v>
      </c>
      <c r="P222" s="108"/>
      <c r="Q222" s="108"/>
      <c r="R222" s="108"/>
      <c r="S222" s="108"/>
      <c r="T222" s="108"/>
      <c r="U222" s="108"/>
      <c r="V222" s="108"/>
      <c r="W222" s="108"/>
      <c r="X222" s="108"/>
      <c r="Y222" s="108"/>
      <c r="Z222" s="115"/>
      <c r="AA222" s="41"/>
      <c r="AB222" s="41"/>
      <c r="AC222" s="41"/>
      <c r="AD222" s="41"/>
      <c r="AE222" s="41"/>
      <c r="AF222" s="41"/>
      <c r="AG222" s="41"/>
      <c r="AH222" s="41"/>
      <c r="AI222" s="41"/>
      <c r="AJ222" s="41"/>
      <c r="AK222" s="41"/>
      <c r="AL222" s="41"/>
      <c r="AM222" s="41"/>
      <c r="AN222" s="41"/>
    </row>
    <row r="223" spans="1:40" ht="15">
      <c r="A223" s="147"/>
      <c r="B223" s="361" t="s">
        <v>520</v>
      </c>
      <c r="C223" s="360" t="s">
        <v>1458</v>
      </c>
      <c r="D223" s="256" t="s">
        <v>921</v>
      </c>
      <c r="E223" s="108">
        <v>2</v>
      </c>
      <c r="F223" s="258" t="str">
        <f>""&amp;Table12[[#This Row],[TTM Stage]]&amp;Table12[[#This Row],[Task No.]]&amp;"-"&amp;Table12[[#This Row],[Type of activity]]&amp;"-"&amp;Table12[[#This Row],[TargetGroup]]</f>
        <v>A2-DN9-A-Children</v>
      </c>
      <c r="G223" s="112" t="s">
        <v>962</v>
      </c>
      <c r="H223" s="112"/>
      <c r="I223" s="113"/>
      <c r="J223" s="259"/>
      <c r="K223" s="199" t="s">
        <v>1473</v>
      </c>
      <c r="L223" s="245" t="s">
        <v>75</v>
      </c>
      <c r="M223" s="377" t="s">
        <v>1474</v>
      </c>
      <c r="N223" s="309"/>
      <c r="O223" s="108">
        <v>1</v>
      </c>
      <c r="P223" s="108"/>
      <c r="Q223" s="108"/>
      <c r="R223" s="108"/>
      <c r="S223" s="108"/>
      <c r="T223" s="108"/>
      <c r="U223" s="108"/>
      <c r="V223" s="108"/>
      <c r="W223" s="108"/>
      <c r="X223" s="108"/>
      <c r="Y223" s="108"/>
      <c r="Z223" s="115"/>
      <c r="AA223" s="41"/>
      <c r="AB223" s="41"/>
      <c r="AC223" s="41"/>
      <c r="AD223" s="41"/>
      <c r="AE223" s="41"/>
      <c r="AF223" s="41"/>
      <c r="AG223" s="41"/>
      <c r="AH223" s="41"/>
      <c r="AI223" s="41"/>
      <c r="AJ223" s="41"/>
      <c r="AK223" s="41"/>
      <c r="AL223" s="41"/>
      <c r="AM223" s="41"/>
      <c r="AN223" s="41"/>
    </row>
    <row r="224" spans="1:40" ht="29.25">
      <c r="A224" s="147"/>
      <c r="B224" s="361" t="s">
        <v>520</v>
      </c>
      <c r="C224" s="360" t="s">
        <v>1458</v>
      </c>
      <c r="D224" s="256" t="s">
        <v>921</v>
      </c>
      <c r="E224" s="108">
        <v>3</v>
      </c>
      <c r="F224" s="258" t="str">
        <f>""&amp;Table12[[#This Row],[TTM Stage]]&amp;Table12[[#This Row],[Task No.]]&amp;"-"&amp;Table12[[#This Row],[Type of activity]]&amp;"-"&amp;Table12[[#This Row],[TargetGroup]]</f>
        <v>A3-DN9-A-Children</v>
      </c>
      <c r="G224" s="112" t="s">
        <v>962</v>
      </c>
      <c r="H224" s="112"/>
      <c r="I224" s="113"/>
      <c r="J224" s="259"/>
      <c r="K224" s="199" t="s">
        <v>1475</v>
      </c>
      <c r="L224" s="245" t="s">
        <v>75</v>
      </c>
      <c r="M224" s="377" t="s">
        <v>1476</v>
      </c>
      <c r="N224" s="309"/>
      <c r="O224" s="108">
        <v>1</v>
      </c>
      <c r="P224" s="108"/>
      <c r="Q224" s="108"/>
      <c r="R224" s="108"/>
      <c r="S224" s="108"/>
      <c r="T224" s="108"/>
      <c r="U224" s="108"/>
      <c r="V224" s="108"/>
      <c r="W224" s="108"/>
      <c r="X224" s="108"/>
      <c r="Y224" s="108"/>
      <c r="Z224" s="115"/>
      <c r="AA224" s="41"/>
      <c r="AB224" s="41"/>
      <c r="AC224" s="41"/>
      <c r="AD224" s="41"/>
      <c r="AE224" s="41"/>
      <c r="AF224" s="41"/>
      <c r="AG224" s="41"/>
      <c r="AH224" s="41"/>
      <c r="AI224" s="41"/>
      <c r="AJ224" s="41"/>
      <c r="AK224" s="41"/>
      <c r="AL224" s="41"/>
      <c r="AM224" s="41"/>
      <c r="AN224" s="41"/>
    </row>
    <row r="225" spans="1:40" ht="15">
      <c r="A225" s="147"/>
      <c r="B225" s="361" t="s">
        <v>520</v>
      </c>
      <c r="C225" s="360" t="s">
        <v>1458</v>
      </c>
      <c r="D225" s="256" t="s">
        <v>921</v>
      </c>
      <c r="E225" s="108">
        <v>4</v>
      </c>
      <c r="F225" s="258" t="str">
        <f>""&amp;Table12[[#This Row],[TTM Stage]]&amp;Table12[[#This Row],[Task No.]]&amp;"-"&amp;Table12[[#This Row],[Type of activity]]&amp;"-"&amp;Table12[[#This Row],[TargetGroup]]</f>
        <v>A4-DN9-A-Children</v>
      </c>
      <c r="G225" s="112" t="s">
        <v>962</v>
      </c>
      <c r="H225" s="112"/>
      <c r="I225" s="113"/>
      <c r="J225" s="259"/>
      <c r="K225" s="199" t="s">
        <v>1477</v>
      </c>
      <c r="L225" s="245" t="s">
        <v>75</v>
      </c>
      <c r="M225" s="377" t="s">
        <v>1478</v>
      </c>
      <c r="N225" s="309"/>
      <c r="O225" s="108">
        <v>1</v>
      </c>
      <c r="P225" s="108"/>
      <c r="Q225" s="108"/>
      <c r="R225" s="108"/>
      <c r="S225" s="108"/>
      <c r="T225" s="108"/>
      <c r="U225" s="108"/>
      <c r="V225" s="108"/>
      <c r="W225" s="108"/>
      <c r="X225" s="108"/>
      <c r="Y225" s="108"/>
      <c r="Z225" s="115"/>
      <c r="AA225" s="41"/>
      <c r="AB225" s="41"/>
      <c r="AC225" s="41"/>
      <c r="AD225" s="41"/>
      <c r="AE225" s="41"/>
      <c r="AF225" s="41"/>
      <c r="AG225" s="41"/>
      <c r="AH225" s="41"/>
      <c r="AI225" s="41"/>
      <c r="AJ225" s="41"/>
      <c r="AK225" s="41"/>
      <c r="AL225" s="41"/>
      <c r="AM225" s="41"/>
      <c r="AN225" s="41"/>
    </row>
    <row r="226" spans="1:40" ht="29.25">
      <c r="A226" s="147"/>
      <c r="B226" s="361" t="s">
        <v>520</v>
      </c>
      <c r="C226" s="360" t="s">
        <v>1458</v>
      </c>
      <c r="D226" s="257" t="s">
        <v>933</v>
      </c>
      <c r="E226" s="108">
        <v>1</v>
      </c>
      <c r="F226" s="258" t="str">
        <f>""&amp;Table12[[#This Row],[TTM Stage]]&amp;Table12[[#This Row],[Task No.]]&amp;"-"&amp;Table12[[#This Row],[Type of activity]]&amp;"-"&amp;Table12[[#This Row],[TargetGroup]]</f>
        <v>M1-DN9-A-Children</v>
      </c>
      <c r="G226" s="112" t="s">
        <v>962</v>
      </c>
      <c r="H226" s="112"/>
      <c r="I226" s="113"/>
      <c r="J226" s="259"/>
      <c r="K226" s="199" t="s">
        <v>1479</v>
      </c>
      <c r="L226" s="245" t="s">
        <v>75</v>
      </c>
      <c r="M226" s="377" t="s">
        <v>1480</v>
      </c>
      <c r="N226" s="309"/>
      <c r="O226" s="108">
        <v>1</v>
      </c>
      <c r="P226" s="108"/>
      <c r="Q226" s="108"/>
      <c r="R226" s="108"/>
      <c r="S226" s="108"/>
      <c r="T226" s="108"/>
      <c r="U226" s="108"/>
      <c r="V226" s="108"/>
      <c r="W226" s="108"/>
      <c r="X226" s="108"/>
      <c r="Y226" s="108"/>
      <c r="Z226" s="115"/>
      <c r="AA226" s="41"/>
      <c r="AB226" s="41"/>
      <c r="AC226" s="41"/>
      <c r="AD226" s="41"/>
      <c r="AE226" s="41"/>
      <c r="AF226" s="41"/>
      <c r="AG226" s="41"/>
      <c r="AH226" s="41"/>
      <c r="AI226" s="41"/>
      <c r="AJ226" s="41"/>
      <c r="AK226" s="41"/>
      <c r="AL226" s="41"/>
      <c r="AM226" s="41"/>
      <c r="AN226" s="41"/>
    </row>
    <row r="227" spans="1:40" ht="29.25">
      <c r="A227" s="147"/>
      <c r="B227" s="361" t="s">
        <v>520</v>
      </c>
      <c r="C227" s="360" t="s">
        <v>1458</v>
      </c>
      <c r="D227" s="257" t="s">
        <v>933</v>
      </c>
      <c r="E227" s="108">
        <v>2</v>
      </c>
      <c r="F227" s="258" t="str">
        <f>""&amp;Table12[[#This Row],[TTM Stage]]&amp;Table12[[#This Row],[Task No.]]&amp;"-"&amp;Table12[[#This Row],[Type of activity]]&amp;"-"&amp;Table12[[#This Row],[TargetGroup]]</f>
        <v>M2-DN9-A-Children</v>
      </c>
      <c r="G227" s="112" t="s">
        <v>962</v>
      </c>
      <c r="H227" s="112"/>
      <c r="I227" s="113"/>
      <c r="J227" s="259"/>
      <c r="K227" s="199" t="s">
        <v>1481</v>
      </c>
      <c r="L227" s="245" t="s">
        <v>75</v>
      </c>
      <c r="M227" s="377" t="s">
        <v>1482</v>
      </c>
      <c r="N227" s="309"/>
      <c r="O227" s="108">
        <v>1</v>
      </c>
      <c r="P227" s="108"/>
      <c r="Q227" s="108"/>
      <c r="R227" s="108"/>
      <c r="S227" s="108"/>
      <c r="T227" s="108"/>
      <c r="U227" s="108"/>
      <c r="V227" s="108"/>
      <c r="W227" s="108"/>
      <c r="X227" s="108"/>
      <c r="Y227" s="108"/>
      <c r="Z227" s="115"/>
      <c r="AA227" s="41"/>
      <c r="AB227" s="41"/>
      <c r="AC227" s="41"/>
      <c r="AD227" s="41"/>
      <c r="AE227" s="41"/>
      <c r="AF227" s="41"/>
      <c r="AG227" s="41"/>
      <c r="AH227" s="41"/>
      <c r="AI227" s="41"/>
      <c r="AJ227" s="41"/>
      <c r="AK227" s="41"/>
      <c r="AL227" s="41"/>
      <c r="AM227" s="41"/>
      <c r="AN227" s="41"/>
    </row>
    <row r="228" spans="1:40" ht="29.25">
      <c r="A228" s="147"/>
      <c r="B228" s="361" t="s">
        <v>520</v>
      </c>
      <c r="C228" s="360" t="s">
        <v>1458</v>
      </c>
      <c r="D228" s="257" t="s">
        <v>933</v>
      </c>
      <c r="E228" s="108">
        <v>3</v>
      </c>
      <c r="F228" s="258" t="str">
        <f>""&amp;Table12[[#This Row],[TTM Stage]]&amp;Table12[[#This Row],[Task No.]]&amp;"-"&amp;Table12[[#This Row],[Type of activity]]&amp;"-"&amp;Table12[[#This Row],[TargetGroup]]</f>
        <v>M3-DN9-A-Children</v>
      </c>
      <c r="G228" s="112" t="s">
        <v>962</v>
      </c>
      <c r="H228" s="112"/>
      <c r="I228" s="113"/>
      <c r="J228" s="259"/>
      <c r="K228" s="316" t="s">
        <v>1483</v>
      </c>
      <c r="L228" s="245" t="s">
        <v>75</v>
      </c>
      <c r="M228" s="377" t="s">
        <v>1484</v>
      </c>
      <c r="N228" s="309"/>
      <c r="O228" s="108">
        <v>1</v>
      </c>
      <c r="P228" s="108"/>
      <c r="Q228" s="108"/>
      <c r="R228" s="108"/>
      <c r="S228" s="108"/>
      <c r="T228" s="108"/>
      <c r="U228" s="108"/>
      <c r="V228" s="108"/>
      <c r="W228" s="108"/>
      <c r="X228" s="108"/>
      <c r="Y228" s="108"/>
      <c r="Z228" s="115"/>
      <c r="AA228" s="41"/>
      <c r="AB228" s="41"/>
      <c r="AC228" s="41"/>
      <c r="AD228" s="41"/>
      <c r="AE228" s="41"/>
      <c r="AF228" s="41"/>
      <c r="AG228" s="41"/>
      <c r="AH228" s="41"/>
      <c r="AI228" s="41"/>
      <c r="AJ228" s="41"/>
      <c r="AK228" s="41"/>
      <c r="AL228" s="41"/>
      <c r="AM228" s="41"/>
      <c r="AN228" s="41"/>
    </row>
    <row r="229" spans="1:40" ht="29.25">
      <c r="A229" s="147"/>
      <c r="B229" s="359" t="s">
        <v>520</v>
      </c>
      <c r="C229" s="360" t="s">
        <v>1458</v>
      </c>
      <c r="D229" s="257" t="s">
        <v>933</v>
      </c>
      <c r="E229" s="108">
        <v>4</v>
      </c>
      <c r="F229" s="314" t="str">
        <f>""&amp;Table12[[#This Row],[TTM Stage]]&amp;Table12[[#This Row],[Task No.]]&amp;"-"&amp;Table12[[#This Row],[Type of activity]]&amp;"-"&amp;Table12[[#This Row],[TargetGroup]]</f>
        <v>M4-DN9-A-Children</v>
      </c>
      <c r="G229" s="112" t="s">
        <v>962</v>
      </c>
      <c r="H229" s="123"/>
      <c r="I229" s="124"/>
      <c r="J229" s="315"/>
      <c r="K229" s="389" t="s">
        <v>1485</v>
      </c>
      <c r="L229" s="245" t="s">
        <v>75</v>
      </c>
      <c r="M229" s="377" t="s">
        <v>1486</v>
      </c>
      <c r="N229" s="387"/>
      <c r="O229" s="108">
        <v>1</v>
      </c>
      <c r="P229" s="122"/>
      <c r="Q229" s="122"/>
      <c r="R229" s="122"/>
      <c r="S229" s="122"/>
      <c r="T229" s="122"/>
      <c r="U229" s="122"/>
      <c r="V229" s="122"/>
      <c r="W229" s="122"/>
      <c r="X229" s="122"/>
      <c r="Y229" s="122"/>
      <c r="Z229" s="126"/>
      <c r="AA229" s="41"/>
      <c r="AB229" s="41"/>
      <c r="AC229" s="41"/>
      <c r="AD229" s="41"/>
      <c r="AE229" s="41"/>
      <c r="AF229" s="41"/>
      <c r="AG229" s="41"/>
      <c r="AH229" s="41"/>
      <c r="AI229" s="41"/>
      <c r="AJ229" s="41"/>
      <c r="AK229" s="41"/>
      <c r="AL229" s="41"/>
      <c r="AM229" s="41"/>
      <c r="AN229" s="41"/>
    </row>
    <row r="230" spans="1:40" ht="29.25">
      <c r="A230" s="147"/>
      <c r="B230" s="362" t="s">
        <v>1487</v>
      </c>
      <c r="C230" s="363" t="s">
        <v>1488</v>
      </c>
      <c r="D230" s="706" t="s">
        <v>891</v>
      </c>
      <c r="E230" s="707">
        <v>1</v>
      </c>
      <c r="F230" s="689" t="str">
        <f>""&amp;Table12[[#This Row],[TTM Stage]]&amp;Table12[[#This Row],[Task No.]]&amp;"-"&amp;Table12[[#This Row],[Type of activity]]&amp;"-"&amp;Table12[[#This Row],[TargetGroup]]</f>
        <v>PC1-DN10-A-Children</v>
      </c>
      <c r="G230" s="690" t="s">
        <v>892</v>
      </c>
      <c r="H230" s="690"/>
      <c r="I230" s="691"/>
      <c r="J230" s="692"/>
      <c r="K230" s="708" t="s">
        <v>1489</v>
      </c>
      <c r="L230" s="709" t="s">
        <v>75</v>
      </c>
      <c r="M230" s="713" t="s">
        <v>1490</v>
      </c>
      <c r="N230" s="711" t="s">
        <v>1491</v>
      </c>
      <c r="O230" s="108">
        <v>1</v>
      </c>
      <c r="P230" s="122"/>
      <c r="Q230" s="122"/>
      <c r="R230" s="122"/>
      <c r="S230" s="122"/>
      <c r="T230" s="122"/>
      <c r="U230" s="122"/>
      <c r="V230" s="122"/>
      <c r="W230" s="122"/>
      <c r="X230" s="122"/>
      <c r="Y230" s="122"/>
      <c r="Z230" s="126"/>
      <c r="AA230" s="41"/>
      <c r="AB230" s="41"/>
      <c r="AC230" s="41"/>
      <c r="AD230" s="41"/>
      <c r="AE230" s="41"/>
      <c r="AF230" s="41"/>
      <c r="AG230" s="41"/>
      <c r="AH230" s="41"/>
      <c r="AI230" s="41"/>
      <c r="AJ230" s="41"/>
      <c r="AK230" s="41"/>
      <c r="AL230" s="41"/>
      <c r="AM230" s="41"/>
      <c r="AN230" s="41"/>
    </row>
    <row r="231" spans="1:40" ht="57.75">
      <c r="A231" s="147"/>
      <c r="B231" s="362" t="s">
        <v>1487</v>
      </c>
      <c r="C231" s="363" t="s">
        <v>1488</v>
      </c>
      <c r="D231" s="236" t="s">
        <v>891</v>
      </c>
      <c r="E231" s="122">
        <v>2</v>
      </c>
      <c r="F231" s="258" t="str">
        <f>""&amp;Table12[[#This Row],[TTM Stage]]&amp;Table12[[#This Row],[Task No.]]&amp;"-"&amp;Table12[[#This Row],[Type of activity]]&amp;"-"&amp;Table12[[#This Row],[TargetGroup]]</f>
        <v>PC2-DN10-A-Children</v>
      </c>
      <c r="G231" s="112" t="s">
        <v>900</v>
      </c>
      <c r="H231" s="112"/>
      <c r="I231" s="113"/>
      <c r="J231" s="259"/>
      <c r="K231" s="199" t="s">
        <v>838</v>
      </c>
      <c r="L231" s="372" t="s">
        <v>75</v>
      </c>
      <c r="M231" s="114" t="s">
        <v>1492</v>
      </c>
      <c r="N231" s="114"/>
      <c r="O231" s="108">
        <v>1</v>
      </c>
      <c r="P231" s="108"/>
      <c r="Q231" s="108"/>
      <c r="R231" s="108"/>
      <c r="S231" s="108"/>
      <c r="T231" s="108"/>
      <c r="U231" s="108"/>
      <c r="V231" s="108"/>
      <c r="W231" s="108"/>
      <c r="X231" s="108"/>
      <c r="Y231" s="108"/>
      <c r="Z231" s="115"/>
      <c r="AA231" s="41"/>
      <c r="AB231" s="41"/>
      <c r="AC231" s="41"/>
      <c r="AD231" s="41"/>
      <c r="AE231" s="41"/>
      <c r="AF231" s="41"/>
      <c r="AG231" s="41"/>
      <c r="AH231" s="41"/>
      <c r="AI231" s="41"/>
      <c r="AJ231" s="41"/>
      <c r="AK231" s="41"/>
      <c r="AL231" s="41"/>
      <c r="AM231" s="41"/>
      <c r="AN231" s="41"/>
    </row>
    <row r="232" spans="1:40" ht="43.5">
      <c r="A232" s="147"/>
      <c r="B232" s="362" t="s">
        <v>1487</v>
      </c>
      <c r="C232" s="363" t="s">
        <v>1488</v>
      </c>
      <c r="D232" s="237" t="s">
        <v>899</v>
      </c>
      <c r="E232" s="108">
        <v>1</v>
      </c>
      <c r="F232" s="258" t="str">
        <f>""&amp;Table12[[#This Row],[TTM Stage]]&amp;Table12[[#This Row],[Task No.]]&amp;"-"&amp;Table12[[#This Row],[Type of activity]]&amp;"-"&amp;Table12[[#This Row],[TargetGroup]]</f>
        <v>C1-DN10-A-Children</v>
      </c>
      <c r="G232" s="112" t="s">
        <v>900</v>
      </c>
      <c r="H232" s="112"/>
      <c r="I232" s="113"/>
      <c r="J232" s="259"/>
      <c r="K232" s="199" t="s">
        <v>1493</v>
      </c>
      <c r="L232" s="372" t="s">
        <v>75</v>
      </c>
      <c r="M232" s="114" t="s">
        <v>1494</v>
      </c>
      <c r="N232" s="114"/>
      <c r="O232" s="108">
        <v>1</v>
      </c>
      <c r="P232" s="108"/>
      <c r="Q232" s="108"/>
      <c r="R232" s="108"/>
      <c r="S232" s="108"/>
      <c r="T232" s="108"/>
      <c r="U232" s="108"/>
      <c r="V232" s="108"/>
      <c r="W232" s="108"/>
      <c r="X232" s="108"/>
      <c r="Y232" s="108"/>
      <c r="Z232" s="115"/>
      <c r="AA232" s="41"/>
      <c r="AB232" s="41"/>
      <c r="AC232" s="41"/>
      <c r="AD232" s="41"/>
      <c r="AE232" s="41"/>
      <c r="AF232" s="41"/>
      <c r="AG232" s="41"/>
      <c r="AH232" s="41"/>
      <c r="AI232" s="41"/>
      <c r="AJ232" s="41"/>
      <c r="AK232" s="41"/>
      <c r="AL232" s="41"/>
      <c r="AM232" s="41"/>
      <c r="AN232" s="41"/>
    </row>
    <row r="233" spans="1:40" ht="87">
      <c r="A233" s="147"/>
      <c r="B233" s="362" t="s">
        <v>1487</v>
      </c>
      <c r="C233" s="363" t="s">
        <v>1488</v>
      </c>
      <c r="D233" s="237" t="s">
        <v>899</v>
      </c>
      <c r="E233" s="108">
        <v>2</v>
      </c>
      <c r="F233" s="258" t="str">
        <f>""&amp;Table12[[#This Row],[TTM Stage]]&amp;Table12[[#This Row],[Task No.]]&amp;"-"&amp;Table12[[#This Row],[Type of activity]]&amp;"-"&amp;Table12[[#This Row],[TargetGroup]]</f>
        <v>C2-DN10-A-Children</v>
      </c>
      <c r="G233" s="112" t="s">
        <v>900</v>
      </c>
      <c r="H233" s="112"/>
      <c r="I233" s="113"/>
      <c r="J233" s="259"/>
      <c r="K233" s="199" t="s">
        <v>1495</v>
      </c>
      <c r="L233" s="372" t="s">
        <v>75</v>
      </c>
      <c r="M233" s="114" t="s">
        <v>1496</v>
      </c>
      <c r="N233" s="114"/>
      <c r="O233" s="108">
        <v>1</v>
      </c>
      <c r="P233" s="108"/>
      <c r="Q233" s="108"/>
      <c r="R233" s="108"/>
      <c r="S233" s="108"/>
      <c r="T233" s="108"/>
      <c r="U233" s="108"/>
      <c r="V233" s="108"/>
      <c r="W233" s="108"/>
      <c r="X233" s="108"/>
      <c r="Y233" s="108"/>
      <c r="Z233" s="115"/>
      <c r="AA233" s="41"/>
      <c r="AB233" s="41"/>
      <c r="AC233" s="41"/>
      <c r="AD233" s="41"/>
      <c r="AE233" s="41"/>
      <c r="AF233" s="41"/>
      <c r="AG233" s="41"/>
      <c r="AH233" s="41"/>
      <c r="AI233" s="41"/>
      <c r="AJ233" s="41"/>
      <c r="AK233" s="41"/>
      <c r="AL233" s="41"/>
      <c r="AM233" s="41"/>
      <c r="AN233" s="41"/>
    </row>
    <row r="234" spans="1:40" ht="43.5">
      <c r="A234" s="147"/>
      <c r="B234" s="362" t="s">
        <v>1487</v>
      </c>
      <c r="C234" s="363" t="s">
        <v>1488</v>
      </c>
      <c r="D234" s="247" t="s">
        <v>908</v>
      </c>
      <c r="E234" s="108">
        <v>1</v>
      </c>
      <c r="F234" s="258" t="str">
        <f>""&amp;Table12[[#This Row],[TTM Stage]]&amp;Table12[[#This Row],[Task No.]]&amp;"-"&amp;Table12[[#This Row],[Type of activity]]&amp;"-"&amp;Table12[[#This Row],[TargetGroup]]</f>
        <v>P1-DN10-A-Children</v>
      </c>
      <c r="G234" s="112" t="s">
        <v>984</v>
      </c>
      <c r="H234" s="112"/>
      <c r="I234" s="113"/>
      <c r="J234" s="259"/>
      <c r="K234" s="199" t="s">
        <v>1497</v>
      </c>
      <c r="L234" s="372" t="s">
        <v>75</v>
      </c>
      <c r="M234" s="390" t="s">
        <v>1498</v>
      </c>
      <c r="N234" s="114"/>
      <c r="O234" s="108">
        <v>1</v>
      </c>
      <c r="P234" s="108"/>
      <c r="Q234" s="108"/>
      <c r="R234" s="108"/>
      <c r="S234" s="108"/>
      <c r="T234" s="108"/>
      <c r="U234" s="108"/>
      <c r="V234" s="108"/>
      <c r="W234" s="108"/>
      <c r="X234" s="108"/>
      <c r="Y234" s="108"/>
      <c r="Z234" s="115"/>
      <c r="AA234" s="41"/>
      <c r="AB234" s="41"/>
      <c r="AC234" s="41"/>
      <c r="AD234" s="41"/>
      <c r="AE234" s="41"/>
      <c r="AF234" s="41"/>
      <c r="AG234" s="41"/>
      <c r="AH234" s="41"/>
      <c r="AI234" s="41"/>
      <c r="AJ234" s="41"/>
      <c r="AK234" s="41"/>
      <c r="AL234" s="41"/>
      <c r="AM234" s="41"/>
      <c r="AN234" s="41"/>
    </row>
    <row r="235" spans="1:40" ht="24">
      <c r="A235" s="147"/>
      <c r="B235" s="362" t="s">
        <v>1487</v>
      </c>
      <c r="C235" s="363" t="s">
        <v>1488</v>
      </c>
      <c r="D235" s="247" t="s">
        <v>908</v>
      </c>
      <c r="E235" s="108">
        <v>2</v>
      </c>
      <c r="F235" s="258" t="str">
        <f>""&amp;Table12[[#This Row],[TTM Stage]]&amp;Table12[[#This Row],[Task No.]]&amp;"-"&amp;Table12[[#This Row],[Type of activity]]&amp;"-"&amp;Table12[[#This Row],[TargetGroup]]</f>
        <v>P2-DN10-A-Children</v>
      </c>
      <c r="G235" s="112" t="s">
        <v>957</v>
      </c>
      <c r="H235" s="112"/>
      <c r="I235" s="113"/>
      <c r="J235" s="259"/>
      <c r="K235" s="199" t="s">
        <v>1499</v>
      </c>
      <c r="L235" s="245" t="s">
        <v>75</v>
      </c>
      <c r="M235" s="391" t="s">
        <v>1500</v>
      </c>
      <c r="N235" s="309"/>
      <c r="O235" s="108">
        <v>1</v>
      </c>
      <c r="P235" s="108"/>
      <c r="Q235" s="108"/>
      <c r="R235" s="108"/>
      <c r="S235" s="108"/>
      <c r="T235" s="108"/>
      <c r="U235" s="108"/>
      <c r="V235" s="108"/>
      <c r="W235" s="108"/>
      <c r="X235" s="108"/>
      <c r="Y235" s="108"/>
      <c r="Z235" s="115"/>
      <c r="AA235" s="41"/>
      <c r="AB235" s="41"/>
      <c r="AC235" s="41"/>
      <c r="AD235" s="41"/>
      <c r="AE235" s="41"/>
      <c r="AF235" s="41"/>
      <c r="AG235" s="41"/>
      <c r="AH235" s="41"/>
      <c r="AI235" s="41"/>
      <c r="AJ235" s="41"/>
      <c r="AK235" s="41"/>
      <c r="AL235" s="41"/>
      <c r="AM235" s="41"/>
      <c r="AN235" s="41"/>
    </row>
    <row r="236" spans="1:40" ht="29.25">
      <c r="A236" s="147"/>
      <c r="B236" s="362" t="s">
        <v>1487</v>
      </c>
      <c r="C236" s="363" t="s">
        <v>1488</v>
      </c>
      <c r="D236" s="256" t="s">
        <v>921</v>
      </c>
      <c r="E236" s="108">
        <v>1</v>
      </c>
      <c r="F236" s="258" t="str">
        <f>""&amp;Table12[[#This Row],[TTM Stage]]&amp;Table12[[#This Row],[Task No.]]&amp;"-"&amp;Table12[[#This Row],[Type of activity]]&amp;"-"&amp;Table12[[#This Row],[TargetGroup]]</f>
        <v>A1-DN10-A-Children</v>
      </c>
      <c r="G236" s="112" t="s">
        <v>962</v>
      </c>
      <c r="H236" s="112"/>
      <c r="I236" s="113"/>
      <c r="J236" s="259"/>
      <c r="K236" s="199" t="s">
        <v>1501</v>
      </c>
      <c r="L236" s="245" t="s">
        <v>75</v>
      </c>
      <c r="M236" s="374" t="s">
        <v>1502</v>
      </c>
      <c r="N236" s="309"/>
      <c r="O236" s="108">
        <v>1</v>
      </c>
      <c r="P236" s="108"/>
      <c r="Q236" s="108"/>
      <c r="R236" s="108"/>
      <c r="S236" s="108"/>
      <c r="T236" s="108"/>
      <c r="U236" s="108"/>
      <c r="V236" s="108"/>
      <c r="W236" s="108"/>
      <c r="X236" s="108"/>
      <c r="Y236" s="108"/>
      <c r="Z236" s="115"/>
      <c r="AA236" s="41"/>
      <c r="AB236" s="41"/>
      <c r="AC236" s="41"/>
      <c r="AD236" s="41"/>
      <c r="AE236" s="41"/>
      <c r="AF236" s="41"/>
      <c r="AG236" s="41"/>
      <c r="AH236" s="41"/>
      <c r="AI236" s="41"/>
      <c r="AJ236" s="41"/>
      <c r="AK236" s="41"/>
      <c r="AL236" s="41"/>
      <c r="AM236" s="41"/>
      <c r="AN236" s="41"/>
    </row>
    <row r="237" spans="1:40" ht="43.5">
      <c r="A237" s="147"/>
      <c r="B237" s="362" t="s">
        <v>1487</v>
      </c>
      <c r="C237" s="363" t="s">
        <v>1488</v>
      </c>
      <c r="D237" s="256" t="s">
        <v>921</v>
      </c>
      <c r="E237" s="108">
        <v>2</v>
      </c>
      <c r="F237" s="258" t="str">
        <f>""&amp;Table12[[#This Row],[TTM Stage]]&amp;Table12[[#This Row],[Task No.]]&amp;"-"&amp;Table12[[#This Row],[Type of activity]]&amp;"-"&amp;Table12[[#This Row],[TargetGroup]]</f>
        <v>A2-DN10-A-Children</v>
      </c>
      <c r="G237" s="112" t="s">
        <v>984</v>
      </c>
      <c r="H237" s="112"/>
      <c r="I237" s="113"/>
      <c r="J237" s="259"/>
      <c r="K237" s="199" t="s">
        <v>1503</v>
      </c>
      <c r="L237" s="372" t="s">
        <v>75</v>
      </c>
      <c r="M237" s="384" t="s">
        <v>1504</v>
      </c>
      <c r="N237" s="386" t="s">
        <v>1444</v>
      </c>
      <c r="O237" s="108">
        <v>1</v>
      </c>
      <c r="P237" s="108"/>
      <c r="Q237" s="108"/>
      <c r="R237" s="108"/>
      <c r="S237" s="108"/>
      <c r="T237" s="108"/>
      <c r="U237" s="108"/>
      <c r="V237" s="108"/>
      <c r="W237" s="108"/>
      <c r="X237" s="108"/>
      <c r="Y237" s="108"/>
      <c r="Z237" s="115"/>
      <c r="AA237" s="41"/>
      <c r="AB237" s="41"/>
      <c r="AC237" s="41"/>
      <c r="AD237" s="41"/>
      <c r="AE237" s="41"/>
      <c r="AF237" s="41"/>
      <c r="AG237" s="41"/>
      <c r="AH237" s="41"/>
      <c r="AI237" s="41"/>
      <c r="AJ237" s="41"/>
      <c r="AK237" s="41"/>
      <c r="AL237" s="41"/>
      <c r="AM237" s="41"/>
      <c r="AN237" s="41"/>
    </row>
    <row r="238" spans="1:40" ht="29.25">
      <c r="A238" s="147"/>
      <c r="B238" s="362" t="s">
        <v>1487</v>
      </c>
      <c r="C238" s="363" t="s">
        <v>1488</v>
      </c>
      <c r="D238" s="256" t="s">
        <v>921</v>
      </c>
      <c r="E238" s="108">
        <v>3</v>
      </c>
      <c r="F238" s="258" t="str">
        <f>""&amp;Table12[[#This Row],[TTM Stage]]&amp;Table12[[#This Row],[Task No.]]&amp;"-"&amp;Table12[[#This Row],[Type of activity]]&amp;"-"&amp;Table12[[#This Row],[TargetGroup]]</f>
        <v>A3-DN10-A-Children</v>
      </c>
      <c r="G238" s="112" t="s">
        <v>962</v>
      </c>
      <c r="H238" s="112"/>
      <c r="I238" s="113"/>
      <c r="J238" s="259"/>
      <c r="K238" s="199" t="s">
        <v>1505</v>
      </c>
      <c r="L238" s="245" t="s">
        <v>75</v>
      </c>
      <c r="M238" s="377" t="s">
        <v>1506</v>
      </c>
      <c r="N238" s="309"/>
      <c r="O238" s="108">
        <v>1</v>
      </c>
      <c r="P238" s="108"/>
      <c r="Q238" s="108"/>
      <c r="R238" s="108"/>
      <c r="S238" s="108"/>
      <c r="T238" s="108"/>
      <c r="U238" s="108"/>
      <c r="V238" s="108"/>
      <c r="W238" s="108"/>
      <c r="X238" s="108"/>
      <c r="Y238" s="108"/>
      <c r="Z238" s="115"/>
      <c r="AA238" s="41"/>
      <c r="AB238" s="41"/>
      <c r="AC238" s="41"/>
      <c r="AD238" s="41"/>
      <c r="AE238" s="41"/>
      <c r="AF238" s="41"/>
      <c r="AG238" s="41"/>
      <c r="AH238" s="41"/>
      <c r="AI238" s="41"/>
      <c r="AJ238" s="41"/>
      <c r="AK238" s="41"/>
      <c r="AL238" s="41"/>
      <c r="AM238" s="41"/>
      <c r="AN238" s="41"/>
    </row>
    <row r="239" spans="1:40" ht="29.25">
      <c r="A239" s="147"/>
      <c r="B239" s="362" t="s">
        <v>1487</v>
      </c>
      <c r="C239" s="363" t="s">
        <v>1488</v>
      </c>
      <c r="D239" s="256" t="s">
        <v>921</v>
      </c>
      <c r="E239" s="108">
        <v>4</v>
      </c>
      <c r="F239" s="258" t="str">
        <f>""&amp;Table12[[#This Row],[TTM Stage]]&amp;Table12[[#This Row],[Task No.]]&amp;"-"&amp;Table12[[#This Row],[Type of activity]]&amp;"-"&amp;Table12[[#This Row],[TargetGroup]]</f>
        <v>A4-DN10-A-Children</v>
      </c>
      <c r="G239" s="112" t="s">
        <v>962</v>
      </c>
      <c r="H239" s="112"/>
      <c r="I239" s="113"/>
      <c r="J239" s="259"/>
      <c r="K239" s="316" t="s">
        <v>1507</v>
      </c>
      <c r="L239" s="372" t="s">
        <v>75</v>
      </c>
      <c r="M239" s="384" t="s">
        <v>1508</v>
      </c>
      <c r="N239" s="114"/>
      <c r="O239" s="108">
        <v>1</v>
      </c>
      <c r="P239" s="108"/>
      <c r="Q239" s="108"/>
      <c r="R239" s="108"/>
      <c r="S239" s="108"/>
      <c r="T239" s="108"/>
      <c r="U239" s="108"/>
      <c r="V239" s="108"/>
      <c r="W239" s="108"/>
      <c r="X239" s="108"/>
      <c r="Y239" s="108"/>
      <c r="Z239" s="115"/>
      <c r="AA239" s="41"/>
      <c r="AB239" s="41"/>
      <c r="AC239" s="41"/>
      <c r="AD239" s="41"/>
      <c r="AE239" s="41"/>
      <c r="AF239" s="41"/>
      <c r="AG239" s="41"/>
      <c r="AH239" s="41"/>
      <c r="AI239" s="41"/>
      <c r="AJ239" s="41"/>
      <c r="AK239" s="41"/>
      <c r="AL239" s="41"/>
      <c r="AM239" s="41"/>
      <c r="AN239" s="41"/>
    </row>
    <row r="240" spans="1:40" ht="15">
      <c r="A240" s="147"/>
      <c r="B240" s="362" t="s">
        <v>1487</v>
      </c>
      <c r="C240" s="363" t="s">
        <v>1488</v>
      </c>
      <c r="D240" s="257" t="s">
        <v>933</v>
      </c>
      <c r="E240" s="108">
        <v>1</v>
      </c>
      <c r="F240" s="258" t="str">
        <f>""&amp;Table12[[#This Row],[TTM Stage]]&amp;Table12[[#This Row],[Task No.]]&amp;"-"&amp;Table12[[#This Row],[Type of activity]]&amp;"-"&amp;Table12[[#This Row],[TargetGroup]]</f>
        <v>M1-DN10-A-Children</v>
      </c>
      <c r="G240" s="112" t="s">
        <v>962</v>
      </c>
      <c r="H240" s="112"/>
      <c r="I240" s="113"/>
      <c r="J240" s="259"/>
      <c r="K240" s="392" t="s">
        <v>1509</v>
      </c>
      <c r="L240" s="245" t="s">
        <v>75</v>
      </c>
      <c r="M240" s="374" t="s">
        <v>1510</v>
      </c>
      <c r="N240" s="309"/>
      <c r="O240" s="108">
        <v>1</v>
      </c>
      <c r="P240" s="108"/>
      <c r="Q240" s="108"/>
      <c r="R240" s="108"/>
      <c r="S240" s="108"/>
      <c r="T240" s="108"/>
      <c r="U240" s="108"/>
      <c r="V240" s="108"/>
      <c r="W240" s="108"/>
      <c r="X240" s="108"/>
      <c r="Y240" s="108"/>
      <c r="Z240" s="115"/>
      <c r="AA240" s="41"/>
      <c r="AB240" s="41"/>
      <c r="AC240" s="41"/>
      <c r="AD240" s="41"/>
      <c r="AE240" s="41"/>
      <c r="AF240" s="41"/>
      <c r="AG240" s="41"/>
      <c r="AH240" s="41"/>
      <c r="AI240" s="41"/>
      <c r="AJ240" s="41"/>
      <c r="AK240" s="41"/>
      <c r="AL240" s="41"/>
      <c r="AM240" s="41"/>
      <c r="AN240" s="41"/>
    </row>
    <row r="241" spans="1:40" ht="15">
      <c r="A241" s="147"/>
      <c r="B241" s="362" t="s">
        <v>1487</v>
      </c>
      <c r="C241" s="363" t="s">
        <v>1488</v>
      </c>
      <c r="D241" s="257" t="s">
        <v>933</v>
      </c>
      <c r="E241" s="108">
        <v>2</v>
      </c>
      <c r="F241" s="258" t="str">
        <f>""&amp;Table12[[#This Row],[TTM Stage]]&amp;Table12[[#This Row],[Task No.]]&amp;"-"&amp;Table12[[#This Row],[Type of activity]]&amp;"-"&amp;Table12[[#This Row],[TargetGroup]]</f>
        <v>M2-DN10-A-Children</v>
      </c>
      <c r="G241" s="112" t="s">
        <v>962</v>
      </c>
      <c r="H241" s="112"/>
      <c r="I241" s="113"/>
      <c r="J241" s="259"/>
      <c r="K241" s="383" t="s">
        <v>1511</v>
      </c>
      <c r="L241" s="245" t="s">
        <v>75</v>
      </c>
      <c r="M241" s="374" t="s">
        <v>1512</v>
      </c>
      <c r="N241" s="309"/>
      <c r="O241" s="108">
        <v>1</v>
      </c>
      <c r="P241" s="108"/>
      <c r="Q241" s="108"/>
      <c r="R241" s="108"/>
      <c r="S241" s="108"/>
      <c r="T241" s="108"/>
      <c r="U241" s="108"/>
      <c r="V241" s="108"/>
      <c r="W241" s="108"/>
      <c r="X241" s="108"/>
      <c r="Y241" s="108"/>
      <c r="Z241" s="115"/>
      <c r="AA241" s="41"/>
      <c r="AB241" s="41"/>
      <c r="AC241" s="41"/>
      <c r="AD241" s="41"/>
      <c r="AE241" s="41"/>
      <c r="AF241" s="41"/>
      <c r="AG241" s="41"/>
      <c r="AH241" s="41"/>
      <c r="AI241" s="41"/>
      <c r="AJ241" s="41"/>
      <c r="AK241" s="41"/>
      <c r="AL241" s="41"/>
      <c r="AM241" s="41"/>
      <c r="AN241" s="41"/>
    </row>
    <row r="242" spans="1:40" ht="15">
      <c r="A242" s="147"/>
      <c r="B242" s="362" t="s">
        <v>1487</v>
      </c>
      <c r="C242" s="363" t="s">
        <v>1488</v>
      </c>
      <c r="D242" s="257" t="s">
        <v>933</v>
      </c>
      <c r="E242" s="108">
        <v>3</v>
      </c>
      <c r="F242" s="258" t="str">
        <f>""&amp;Table12[[#This Row],[TTM Stage]]&amp;Table12[[#This Row],[Task No.]]&amp;"-"&amp;Table12[[#This Row],[Type of activity]]&amp;"-"&amp;Table12[[#This Row],[TargetGroup]]</f>
        <v>M3-DN10-A-Children</v>
      </c>
      <c r="G242" s="112" t="s">
        <v>962</v>
      </c>
      <c r="H242" s="112"/>
      <c r="I242" s="113"/>
      <c r="J242" s="259"/>
      <c r="K242" s="199" t="s">
        <v>1513</v>
      </c>
      <c r="L242" s="245" t="s">
        <v>75</v>
      </c>
      <c r="M242" s="374" t="s">
        <v>1514</v>
      </c>
      <c r="N242" s="309"/>
      <c r="O242" s="108">
        <v>1</v>
      </c>
      <c r="P242" s="108"/>
      <c r="Q242" s="108"/>
      <c r="R242" s="108"/>
      <c r="S242" s="108"/>
      <c r="T242" s="108"/>
      <c r="U242" s="108"/>
      <c r="V242" s="108"/>
      <c r="W242" s="108"/>
      <c r="X242" s="108"/>
      <c r="Y242" s="108"/>
      <c r="Z242" s="115"/>
      <c r="AA242" s="41"/>
      <c r="AB242" s="41"/>
      <c r="AC242" s="41"/>
      <c r="AD242" s="41"/>
      <c r="AE242" s="41"/>
      <c r="AF242" s="41"/>
      <c r="AG242" s="41"/>
      <c r="AH242" s="41"/>
      <c r="AI242" s="41"/>
      <c r="AJ242" s="41"/>
      <c r="AK242" s="41"/>
      <c r="AL242" s="41"/>
      <c r="AM242" s="41"/>
      <c r="AN242" s="41"/>
    </row>
    <row r="243" spans="1:40" ht="29.25">
      <c r="A243" s="147"/>
      <c r="B243" s="362" t="s">
        <v>1487</v>
      </c>
      <c r="C243" s="363" t="s">
        <v>1488</v>
      </c>
      <c r="D243" s="257" t="s">
        <v>933</v>
      </c>
      <c r="E243" s="108">
        <v>4</v>
      </c>
      <c r="F243" s="258" t="str">
        <f>""&amp;Table12[[#This Row],[TTM Stage]]&amp;Table12[[#This Row],[Task No.]]&amp;"-"&amp;Table12[[#This Row],[Type of activity]]&amp;"-"&amp;Table12[[#This Row],[TargetGroup]]</f>
        <v>M4-DN10-A-Children</v>
      </c>
      <c r="G243" s="112" t="s">
        <v>962</v>
      </c>
      <c r="H243" s="112"/>
      <c r="I243" s="113"/>
      <c r="J243" s="259"/>
      <c r="K243" s="393" t="s">
        <v>1515</v>
      </c>
      <c r="L243" s="245" t="s">
        <v>75</v>
      </c>
      <c r="M243" s="378" t="s">
        <v>1516</v>
      </c>
      <c r="N243" s="309"/>
      <c r="O243" s="108">
        <v>1</v>
      </c>
      <c r="P243" s="108"/>
      <c r="Q243" s="108"/>
      <c r="R243" s="108"/>
      <c r="S243" s="108"/>
      <c r="T243" s="108"/>
      <c r="U243" s="108"/>
      <c r="V243" s="108"/>
      <c r="W243" s="108"/>
      <c r="X243" s="108"/>
      <c r="Y243" s="108"/>
      <c r="Z243" s="115"/>
      <c r="AA243" s="41"/>
      <c r="AB243" s="41"/>
      <c r="AC243" s="41"/>
      <c r="AD243" s="41"/>
      <c r="AE243" s="41"/>
      <c r="AF243" s="41"/>
      <c r="AG243" s="41"/>
      <c r="AH243" s="41"/>
      <c r="AI243" s="41"/>
      <c r="AJ243" s="41"/>
      <c r="AK243" s="41"/>
      <c r="AL243" s="41"/>
      <c r="AM243" s="41"/>
      <c r="AN243" s="41"/>
    </row>
    <row r="244" spans="1:40" ht="43.5">
      <c r="A244" s="147"/>
      <c r="B244" s="366" t="s">
        <v>1517</v>
      </c>
      <c r="C244" s="367" t="s">
        <v>1518</v>
      </c>
      <c r="D244" s="236" t="s">
        <v>891</v>
      </c>
      <c r="E244" s="122">
        <v>1</v>
      </c>
      <c r="F244" s="314" t="str">
        <f>""&amp;Table12[[#This Row],[TTM Stage]]&amp;Table12[[#This Row],[Task No.]]&amp;"-"&amp;Table12[[#This Row],[Type of activity]]&amp;"-"&amp;Table12[[#This Row],[TargetGroup]]</f>
        <v>PC1-DN11-A-Children</v>
      </c>
      <c r="G244" s="123" t="s">
        <v>892</v>
      </c>
      <c r="H244" s="123"/>
      <c r="I244" s="124"/>
      <c r="J244" s="315"/>
      <c r="K244" s="316" t="s">
        <v>1519</v>
      </c>
      <c r="L244" s="245" t="s">
        <v>75</v>
      </c>
      <c r="M244" s="711" t="s">
        <v>1520</v>
      </c>
      <c r="N244" s="372" t="s">
        <v>1084</v>
      </c>
      <c r="O244" s="108">
        <v>1</v>
      </c>
      <c r="P244" s="122"/>
      <c r="Q244" s="122"/>
      <c r="R244" s="122"/>
      <c r="S244" s="122"/>
      <c r="T244" s="122"/>
      <c r="U244" s="122"/>
      <c r="V244" s="122"/>
      <c r="W244" s="122"/>
      <c r="X244" s="122"/>
      <c r="Y244" s="122"/>
      <c r="Z244" s="126"/>
      <c r="AA244" s="41"/>
      <c r="AB244" s="41"/>
      <c r="AC244" s="41"/>
      <c r="AD244" s="41"/>
      <c r="AE244" s="41"/>
      <c r="AF244" s="41"/>
      <c r="AG244" s="41"/>
      <c r="AH244" s="41"/>
      <c r="AI244" s="41"/>
      <c r="AJ244" s="41"/>
      <c r="AK244" s="41"/>
      <c r="AL244" s="41"/>
      <c r="AM244" s="41"/>
      <c r="AN244" s="41"/>
    </row>
    <row r="245" spans="1:40" ht="101.25">
      <c r="A245" s="147"/>
      <c r="B245" s="366" t="s">
        <v>1517</v>
      </c>
      <c r="C245" s="367" t="s">
        <v>1518</v>
      </c>
      <c r="D245" s="236" t="s">
        <v>891</v>
      </c>
      <c r="E245" s="122">
        <v>2</v>
      </c>
      <c r="F245" s="258" t="str">
        <f>""&amp;Table12[[#This Row],[TTM Stage]]&amp;Table12[[#This Row],[Task No.]]&amp;"-"&amp;Table12[[#This Row],[Type of activity]]&amp;"-"&amp;Table12[[#This Row],[TargetGroup]]</f>
        <v>PC2-DN11-A-Children</v>
      </c>
      <c r="G245" s="112" t="s">
        <v>900</v>
      </c>
      <c r="H245" s="112"/>
      <c r="I245" s="113"/>
      <c r="J245" s="259"/>
      <c r="K245" s="380" t="s">
        <v>1521</v>
      </c>
      <c r="L245" s="372" t="s">
        <v>75</v>
      </c>
      <c r="M245" s="457" t="s">
        <v>1522</v>
      </c>
      <c r="N245" s="114"/>
      <c r="O245" s="108">
        <v>1</v>
      </c>
      <c r="P245" s="108"/>
      <c r="Q245" s="108"/>
      <c r="R245" s="108"/>
      <c r="S245" s="108"/>
      <c r="T245" s="108"/>
      <c r="U245" s="108"/>
      <c r="V245" s="108"/>
      <c r="W245" s="108"/>
      <c r="X245" s="108"/>
      <c r="Y245" s="108"/>
      <c r="Z245" s="115"/>
      <c r="AA245" s="41"/>
      <c r="AB245" s="41"/>
      <c r="AC245" s="41"/>
      <c r="AD245" s="41"/>
      <c r="AE245" s="41"/>
      <c r="AF245" s="41"/>
      <c r="AG245" s="41"/>
      <c r="AH245" s="41"/>
      <c r="AI245" s="41"/>
      <c r="AJ245" s="41"/>
      <c r="AK245" s="41"/>
      <c r="AL245" s="41"/>
      <c r="AM245" s="41"/>
      <c r="AN245" s="41"/>
    </row>
    <row r="246" spans="1:40" ht="43.5">
      <c r="A246" s="147"/>
      <c r="B246" s="366" t="s">
        <v>1517</v>
      </c>
      <c r="C246" s="367" t="s">
        <v>1518</v>
      </c>
      <c r="D246" s="237" t="s">
        <v>899</v>
      </c>
      <c r="E246" s="108">
        <v>1</v>
      </c>
      <c r="F246" s="258" t="str">
        <f>""&amp;Table12[[#This Row],[TTM Stage]]&amp;Table12[[#This Row],[Task No.]]&amp;"-"&amp;Table12[[#This Row],[Type of activity]]&amp;"-"&amp;Table12[[#This Row],[TargetGroup]]</f>
        <v>C1-DN11-A-Children</v>
      </c>
      <c r="G246" s="112" t="s">
        <v>900</v>
      </c>
      <c r="H246" s="112"/>
      <c r="I246" s="113"/>
      <c r="J246" s="259"/>
      <c r="K246" s="375" t="s">
        <v>1523</v>
      </c>
      <c r="L246" s="372" t="s">
        <v>75</v>
      </c>
      <c r="M246" s="114" t="s">
        <v>1524</v>
      </c>
      <c r="N246" s="114"/>
      <c r="O246" s="108">
        <v>1</v>
      </c>
      <c r="P246" s="108"/>
      <c r="Q246" s="108"/>
      <c r="R246" s="108"/>
      <c r="S246" s="108"/>
      <c r="T246" s="108"/>
      <c r="U246" s="108"/>
      <c r="V246" s="108"/>
      <c r="W246" s="108"/>
      <c r="X246" s="108"/>
      <c r="Y246" s="108"/>
      <c r="Z246" s="115"/>
      <c r="AA246" s="41"/>
      <c r="AB246" s="41"/>
      <c r="AC246" s="41"/>
      <c r="AD246" s="41"/>
      <c r="AE246" s="41"/>
      <c r="AF246" s="41"/>
      <c r="AG246" s="41"/>
      <c r="AH246" s="41"/>
      <c r="AI246" s="41"/>
      <c r="AJ246" s="41"/>
      <c r="AK246" s="41"/>
      <c r="AL246" s="41"/>
      <c r="AM246" s="41"/>
      <c r="AN246" s="41"/>
    </row>
    <row r="247" spans="1:40" ht="72.75">
      <c r="A247" s="147"/>
      <c r="B247" s="366" t="s">
        <v>1517</v>
      </c>
      <c r="C247" s="367" t="s">
        <v>1518</v>
      </c>
      <c r="D247" s="237" t="s">
        <v>899</v>
      </c>
      <c r="E247" s="108">
        <v>2</v>
      </c>
      <c r="F247" s="258" t="str">
        <f>""&amp;Table12[[#This Row],[TTM Stage]]&amp;Table12[[#This Row],[Task No.]]&amp;"-"&amp;Table12[[#This Row],[Type of activity]]&amp;"-"&amp;Table12[[#This Row],[TargetGroup]]</f>
        <v>C2-DN11-A-Children</v>
      </c>
      <c r="G247" s="112" t="s">
        <v>900</v>
      </c>
      <c r="H247" s="112"/>
      <c r="I247" s="113"/>
      <c r="J247" s="259"/>
      <c r="K247" s="383" t="s">
        <v>1525</v>
      </c>
      <c r="L247" s="372" t="s">
        <v>75</v>
      </c>
      <c r="M247" s="114" t="s">
        <v>1526</v>
      </c>
      <c r="N247" s="114"/>
      <c r="O247" s="108">
        <v>1</v>
      </c>
      <c r="P247" s="108"/>
      <c r="Q247" s="108"/>
      <c r="R247" s="108"/>
      <c r="S247" s="108"/>
      <c r="T247" s="108"/>
      <c r="U247" s="108"/>
      <c r="V247" s="108"/>
      <c r="W247" s="108"/>
      <c r="X247" s="108"/>
      <c r="Y247" s="108"/>
      <c r="Z247" s="115"/>
      <c r="AA247" s="41"/>
      <c r="AB247" s="41"/>
      <c r="AC247" s="41"/>
      <c r="AD247" s="41"/>
      <c r="AE247" s="41"/>
      <c r="AF247" s="41"/>
      <c r="AG247" s="41"/>
      <c r="AH247" s="41"/>
      <c r="AI247" s="41"/>
      <c r="AJ247" s="41"/>
      <c r="AK247" s="41"/>
      <c r="AL247" s="41"/>
      <c r="AM247" s="41"/>
      <c r="AN247" s="41"/>
    </row>
    <row r="248" spans="1:40" ht="43.5">
      <c r="A248" s="147"/>
      <c r="B248" s="366" t="s">
        <v>1517</v>
      </c>
      <c r="C248" s="367" t="s">
        <v>1518</v>
      </c>
      <c r="D248" s="247" t="s">
        <v>908</v>
      </c>
      <c r="E248" s="108">
        <v>1</v>
      </c>
      <c r="F248" s="258" t="str">
        <f>""&amp;Table12[[#This Row],[TTM Stage]]&amp;Table12[[#This Row],[Task No.]]&amp;"-"&amp;Table12[[#This Row],[Type of activity]]&amp;"-"&amp;Table12[[#This Row],[TargetGroup]]</f>
        <v>P1-DN11-A-Children</v>
      </c>
      <c r="G248" s="112" t="s">
        <v>903</v>
      </c>
      <c r="H248" s="112"/>
      <c r="I248" s="113"/>
      <c r="J248" s="259"/>
      <c r="K248" s="199" t="s">
        <v>1527</v>
      </c>
      <c r="L248" s="372" t="s">
        <v>75</v>
      </c>
      <c r="M248" s="114" t="s">
        <v>1528</v>
      </c>
      <c r="N248" s="386" t="s">
        <v>1444</v>
      </c>
      <c r="O248" s="108">
        <v>1</v>
      </c>
      <c r="P248" s="108"/>
      <c r="Q248" s="108"/>
      <c r="R248" s="108"/>
      <c r="S248" s="108"/>
      <c r="T248" s="108"/>
      <c r="U248" s="108"/>
      <c r="V248" s="108"/>
      <c r="W248" s="108"/>
      <c r="X248" s="108"/>
      <c r="Y248" s="108"/>
      <c r="Z248" s="115"/>
      <c r="AA248" s="41"/>
      <c r="AB248" s="41"/>
      <c r="AC248" s="41"/>
      <c r="AD248" s="41"/>
      <c r="AE248" s="41"/>
      <c r="AF248" s="41"/>
      <c r="AG248" s="41"/>
      <c r="AH248" s="41"/>
      <c r="AI248" s="41"/>
      <c r="AJ248" s="41"/>
      <c r="AK248" s="41"/>
      <c r="AL248" s="41"/>
      <c r="AM248" s="41"/>
      <c r="AN248" s="41"/>
    </row>
    <row r="249" spans="1:40" ht="29.25">
      <c r="A249" s="147"/>
      <c r="B249" s="366" t="s">
        <v>1517</v>
      </c>
      <c r="C249" s="367" t="s">
        <v>1518</v>
      </c>
      <c r="D249" s="247" t="s">
        <v>908</v>
      </c>
      <c r="E249" s="108">
        <v>2</v>
      </c>
      <c r="F249" s="258" t="str">
        <f>""&amp;Table12[[#This Row],[TTM Stage]]&amp;Table12[[#This Row],[Task No.]]&amp;"-"&amp;Table12[[#This Row],[Type of activity]]&amp;"-"&amp;Table12[[#This Row],[TargetGroup]]</f>
        <v>P2-DN11-A-Children</v>
      </c>
      <c r="G249" s="112" t="s">
        <v>914</v>
      </c>
      <c r="H249" s="112"/>
      <c r="I249" s="113" t="s">
        <v>1529</v>
      </c>
      <c r="J249" s="259"/>
      <c r="K249" s="199" t="s">
        <v>1530</v>
      </c>
      <c r="L249" s="372" t="s">
        <v>75</v>
      </c>
      <c r="M249" s="254" t="s">
        <v>1531</v>
      </c>
      <c r="N249" s="255" t="s">
        <v>1532</v>
      </c>
      <c r="O249" s="108">
        <v>1</v>
      </c>
      <c r="P249" s="108"/>
      <c r="Q249" s="108"/>
      <c r="R249" s="108"/>
      <c r="S249" s="108"/>
      <c r="T249" s="108"/>
      <c r="U249" s="108"/>
      <c r="V249" s="108"/>
      <c r="W249" s="108"/>
      <c r="X249" s="108"/>
      <c r="Y249" s="108"/>
      <c r="Z249" s="115"/>
      <c r="AA249" s="41"/>
      <c r="AB249" s="41"/>
      <c r="AC249" s="41"/>
      <c r="AD249" s="41"/>
      <c r="AE249" s="41"/>
      <c r="AF249" s="41"/>
      <c r="AG249" s="41"/>
      <c r="AH249" s="41"/>
      <c r="AI249" s="41"/>
      <c r="AJ249" s="41"/>
      <c r="AK249" s="41"/>
      <c r="AL249" s="41"/>
      <c r="AM249" s="41"/>
      <c r="AN249" s="41"/>
    </row>
    <row r="250" spans="1:40" ht="29.25">
      <c r="A250" s="147"/>
      <c r="B250" s="366" t="s">
        <v>1517</v>
      </c>
      <c r="C250" s="367" t="s">
        <v>1518</v>
      </c>
      <c r="D250" s="256" t="s">
        <v>921</v>
      </c>
      <c r="E250" s="108">
        <v>1</v>
      </c>
      <c r="F250" s="258" t="str">
        <f>""&amp;Table12[[#This Row],[TTM Stage]]&amp;Table12[[#This Row],[Task No.]]&amp;"-"&amp;Table12[[#This Row],[Type of activity]]&amp;"-"&amp;Table12[[#This Row],[TargetGroup]]</f>
        <v>A1-DN11-A-Children</v>
      </c>
      <c r="G250" s="112" t="s">
        <v>984</v>
      </c>
      <c r="H250" s="112"/>
      <c r="I250" s="113"/>
      <c r="J250" s="259"/>
      <c r="K250" s="199" t="s">
        <v>1533</v>
      </c>
      <c r="L250" s="372" t="s">
        <v>75</v>
      </c>
      <c r="M250" s="114" t="s">
        <v>1534</v>
      </c>
      <c r="N250" s="386" t="s">
        <v>1444</v>
      </c>
      <c r="O250" s="108">
        <v>1</v>
      </c>
      <c r="P250" s="108"/>
      <c r="Q250" s="108"/>
      <c r="R250" s="108"/>
      <c r="S250" s="108"/>
      <c r="T250" s="108"/>
      <c r="U250" s="108"/>
      <c r="V250" s="108"/>
      <c r="W250" s="108"/>
      <c r="X250" s="108"/>
      <c r="Y250" s="108"/>
      <c r="Z250" s="115"/>
      <c r="AA250" s="41"/>
      <c r="AB250" s="41"/>
      <c r="AC250" s="41"/>
      <c r="AD250" s="41"/>
      <c r="AE250" s="41"/>
      <c r="AF250" s="41"/>
      <c r="AG250" s="41"/>
      <c r="AH250" s="41"/>
      <c r="AI250" s="41"/>
      <c r="AJ250" s="41"/>
      <c r="AK250" s="41"/>
      <c r="AL250" s="41"/>
      <c r="AM250" s="41"/>
      <c r="AN250" s="41"/>
    </row>
    <row r="251" spans="1:40" ht="43.5">
      <c r="A251" s="147"/>
      <c r="B251" s="366" t="s">
        <v>1517</v>
      </c>
      <c r="C251" s="367" t="s">
        <v>1518</v>
      </c>
      <c r="D251" s="256" t="s">
        <v>921</v>
      </c>
      <c r="E251" s="108">
        <v>2</v>
      </c>
      <c r="F251" s="258" t="str">
        <f>""&amp;Table12[[#This Row],[TTM Stage]]&amp;Table12[[#This Row],[Task No.]]&amp;"-"&amp;Table12[[#This Row],[Type of activity]]&amp;"-"&amp;Table12[[#This Row],[TargetGroup]]</f>
        <v>A2-DN11-A-Children</v>
      </c>
      <c r="G251" s="112" t="s">
        <v>962</v>
      </c>
      <c r="H251" s="112"/>
      <c r="I251" s="113"/>
      <c r="J251" s="259"/>
      <c r="K251" s="199" t="s">
        <v>1535</v>
      </c>
      <c r="L251" s="372" t="s">
        <v>75</v>
      </c>
      <c r="M251" s="227" t="s">
        <v>1536</v>
      </c>
      <c r="N251" s="114"/>
      <c r="O251" s="108">
        <v>1</v>
      </c>
      <c r="P251" s="108"/>
      <c r="Q251" s="108"/>
      <c r="R251" s="108"/>
      <c r="S251" s="108"/>
      <c r="T251" s="108"/>
      <c r="U251" s="108"/>
      <c r="V251" s="108"/>
      <c r="W251" s="108"/>
      <c r="X251" s="108"/>
      <c r="Y251" s="108"/>
      <c r="Z251" s="115"/>
      <c r="AA251" s="41"/>
      <c r="AB251" s="41"/>
      <c r="AC251" s="41"/>
      <c r="AD251" s="41"/>
      <c r="AE251" s="41"/>
      <c r="AF251" s="41"/>
      <c r="AG251" s="41"/>
      <c r="AH251" s="41"/>
      <c r="AI251" s="41"/>
      <c r="AJ251" s="41"/>
      <c r="AK251" s="41"/>
      <c r="AL251" s="41"/>
      <c r="AM251" s="41"/>
      <c r="AN251" s="41"/>
    </row>
    <row r="252" spans="1:40" ht="29.25">
      <c r="A252" s="147"/>
      <c r="B252" s="366" t="s">
        <v>1517</v>
      </c>
      <c r="C252" s="367" t="s">
        <v>1518</v>
      </c>
      <c r="D252" s="256" t="s">
        <v>921</v>
      </c>
      <c r="E252" s="108">
        <v>3</v>
      </c>
      <c r="F252" s="258" t="str">
        <f>""&amp;Table12[[#This Row],[TTM Stage]]&amp;Table12[[#This Row],[Task No.]]&amp;"-"&amp;Table12[[#This Row],[Type of activity]]&amp;"-"&amp;Table12[[#This Row],[TargetGroup]]</f>
        <v>A3-DN11-A-Children</v>
      </c>
      <c r="G252" s="112" t="s">
        <v>914</v>
      </c>
      <c r="H252" s="112"/>
      <c r="I252" s="113"/>
      <c r="J252" s="259"/>
      <c r="K252" s="199" t="s">
        <v>1537</v>
      </c>
      <c r="L252" s="245" t="s">
        <v>75</v>
      </c>
      <c r="M252" s="324" t="s">
        <v>1538</v>
      </c>
      <c r="N252" s="309"/>
      <c r="O252" s="108">
        <v>1</v>
      </c>
      <c r="P252" s="108"/>
      <c r="Q252" s="108"/>
      <c r="R252" s="108"/>
      <c r="S252" s="108"/>
      <c r="T252" s="108"/>
      <c r="U252" s="108"/>
      <c r="V252" s="108"/>
      <c r="W252" s="108"/>
      <c r="X252" s="108"/>
      <c r="Y252" s="108"/>
      <c r="Z252" s="115"/>
      <c r="AA252" s="41"/>
      <c r="AB252" s="41"/>
      <c r="AC252" s="41"/>
      <c r="AD252" s="41"/>
      <c r="AE252" s="41"/>
      <c r="AF252" s="41"/>
      <c r="AG252" s="41"/>
      <c r="AH252" s="41"/>
      <c r="AI252" s="41"/>
      <c r="AJ252" s="41"/>
      <c r="AK252" s="41"/>
      <c r="AL252" s="41"/>
      <c r="AM252" s="41"/>
      <c r="AN252" s="41"/>
    </row>
    <row r="253" spans="1:40" ht="29.25">
      <c r="A253" s="147"/>
      <c r="B253" s="366" t="s">
        <v>1517</v>
      </c>
      <c r="C253" s="367" t="s">
        <v>1518</v>
      </c>
      <c r="D253" s="256" t="s">
        <v>921</v>
      </c>
      <c r="E253" s="108">
        <v>4</v>
      </c>
      <c r="F253" s="258" t="str">
        <f>""&amp;Table12[[#This Row],[TTM Stage]]&amp;Table12[[#This Row],[Task No.]]&amp;"-"&amp;Table12[[#This Row],[Type of activity]]&amp;"-"&amp;Table12[[#This Row],[TargetGroup]]</f>
        <v>A4-DN11-A-Children</v>
      </c>
      <c r="G253" s="112" t="s">
        <v>914</v>
      </c>
      <c r="H253" s="112"/>
      <c r="I253" s="113"/>
      <c r="J253" s="259"/>
      <c r="K253" s="199" t="s">
        <v>1539</v>
      </c>
      <c r="L253" s="372" t="s">
        <v>75</v>
      </c>
      <c r="M253" s="227" t="s">
        <v>1540</v>
      </c>
      <c r="N253" s="114"/>
      <c r="O253" s="108">
        <v>1</v>
      </c>
      <c r="P253" s="108"/>
      <c r="Q253" s="108"/>
      <c r="R253" s="108"/>
      <c r="S253" s="108"/>
      <c r="T253" s="108"/>
      <c r="U253" s="108"/>
      <c r="V253" s="108"/>
      <c r="W253" s="108"/>
      <c r="X253" s="108"/>
      <c r="Y253" s="108"/>
      <c r="Z253" s="115"/>
      <c r="AA253" s="41"/>
      <c r="AB253" s="41"/>
      <c r="AC253" s="41"/>
      <c r="AD253" s="41"/>
      <c r="AE253" s="41"/>
      <c r="AF253" s="41"/>
      <c r="AG253" s="41"/>
      <c r="AH253" s="41"/>
      <c r="AI253" s="41"/>
      <c r="AJ253" s="41"/>
      <c r="AK253" s="41"/>
      <c r="AL253" s="41"/>
      <c r="AM253" s="41"/>
      <c r="AN253" s="41"/>
    </row>
    <row r="254" spans="1:40" ht="43.5">
      <c r="A254" s="147"/>
      <c r="B254" s="366" t="s">
        <v>1517</v>
      </c>
      <c r="C254" s="367" t="s">
        <v>1518</v>
      </c>
      <c r="D254" s="257" t="s">
        <v>933</v>
      </c>
      <c r="E254" s="108">
        <v>1</v>
      </c>
      <c r="F254" s="258" t="str">
        <f>""&amp;Table12[[#This Row],[TTM Stage]]&amp;Table12[[#This Row],[Task No.]]&amp;"-"&amp;Table12[[#This Row],[Type of activity]]&amp;"-"&amp;Table12[[#This Row],[TargetGroup]]</f>
        <v>M1-DN11-A-Children</v>
      </c>
      <c r="G254" s="112" t="s">
        <v>914</v>
      </c>
      <c r="H254" s="112"/>
      <c r="I254" s="113"/>
      <c r="J254" s="259"/>
      <c r="K254" s="199" t="s">
        <v>1541</v>
      </c>
      <c r="L254" s="245" t="s">
        <v>75</v>
      </c>
      <c r="M254" s="324" t="s">
        <v>1542</v>
      </c>
      <c r="N254" s="309"/>
      <c r="O254" s="108">
        <v>1</v>
      </c>
      <c r="P254" s="108"/>
      <c r="Q254" s="108"/>
      <c r="R254" s="108"/>
      <c r="S254" s="108"/>
      <c r="T254" s="108"/>
      <c r="U254" s="108"/>
      <c r="V254" s="108"/>
      <c r="W254" s="108"/>
      <c r="X254" s="108"/>
      <c r="Y254" s="108"/>
      <c r="Z254" s="115"/>
      <c r="AA254" s="41"/>
      <c r="AB254" s="41"/>
      <c r="AC254" s="41"/>
      <c r="AD254" s="41"/>
      <c r="AE254" s="41"/>
      <c r="AF254" s="41"/>
      <c r="AG254" s="41"/>
      <c r="AH254" s="41"/>
      <c r="AI254" s="41"/>
      <c r="AJ254" s="41"/>
      <c r="AK254" s="41"/>
      <c r="AL254" s="41"/>
      <c r="AM254" s="41"/>
      <c r="AN254" s="41"/>
    </row>
    <row r="255" spans="1:40" ht="43.5">
      <c r="A255" s="147"/>
      <c r="B255" s="366" t="s">
        <v>1517</v>
      </c>
      <c r="C255" s="367" t="s">
        <v>1518</v>
      </c>
      <c r="D255" s="257" t="s">
        <v>933</v>
      </c>
      <c r="E255" s="108">
        <v>2</v>
      </c>
      <c r="F255" s="258" t="str">
        <f>""&amp;Table12[[#This Row],[TTM Stage]]&amp;Table12[[#This Row],[Task No.]]&amp;"-"&amp;Table12[[#This Row],[Type of activity]]&amp;"-"&amp;Table12[[#This Row],[TargetGroup]]</f>
        <v>M2-DN11-A-Children</v>
      </c>
      <c r="G255" s="112" t="s">
        <v>914</v>
      </c>
      <c r="H255" s="112"/>
      <c r="I255" s="113"/>
      <c r="J255" s="259"/>
      <c r="K255" s="199" t="s">
        <v>1543</v>
      </c>
      <c r="L255" s="372" t="s">
        <v>75</v>
      </c>
      <c r="M255" s="132" t="s">
        <v>1544</v>
      </c>
      <c r="N255" s="114"/>
      <c r="O255" s="108">
        <v>1</v>
      </c>
      <c r="P255" s="108"/>
      <c r="Q255" s="108"/>
      <c r="R255" s="108"/>
      <c r="S255" s="108"/>
      <c r="T255" s="108"/>
      <c r="U255" s="108"/>
      <c r="V255" s="108"/>
      <c r="W255" s="108"/>
      <c r="X255" s="108"/>
      <c r="Y255" s="108"/>
      <c r="Z255" s="115"/>
      <c r="AA255" s="41"/>
      <c r="AB255" s="41"/>
      <c r="AC255" s="41"/>
      <c r="AD255" s="41"/>
      <c r="AE255" s="41"/>
      <c r="AF255" s="41"/>
      <c r="AG255" s="41"/>
      <c r="AH255" s="41"/>
      <c r="AI255" s="41"/>
      <c r="AJ255" s="41"/>
      <c r="AK255" s="41"/>
      <c r="AL255" s="41"/>
      <c r="AM255" s="41"/>
      <c r="AN255" s="41"/>
    </row>
    <row r="256" spans="1:40" ht="29.25">
      <c r="A256" s="147"/>
      <c r="B256" s="366" t="s">
        <v>1517</v>
      </c>
      <c r="C256" s="367" t="s">
        <v>1518</v>
      </c>
      <c r="D256" s="257" t="s">
        <v>933</v>
      </c>
      <c r="E256" s="108">
        <v>3</v>
      </c>
      <c r="F256" s="258" t="str">
        <f>""&amp;Table12[[#This Row],[TTM Stage]]&amp;Table12[[#This Row],[Task No.]]&amp;"-"&amp;Table12[[#This Row],[Type of activity]]&amp;"-"&amp;Table12[[#This Row],[TargetGroup]]</f>
        <v>M3-DN11-A-Children</v>
      </c>
      <c r="G256" s="112" t="s">
        <v>914</v>
      </c>
      <c r="H256" s="112"/>
      <c r="I256" s="113"/>
      <c r="J256" s="259"/>
      <c r="K256" s="199" t="s">
        <v>1545</v>
      </c>
      <c r="L256" s="372" t="s">
        <v>75</v>
      </c>
      <c r="M256" s="227" t="s">
        <v>1546</v>
      </c>
      <c r="N256" s="114"/>
      <c r="O256" s="108">
        <v>1</v>
      </c>
      <c r="P256" s="108"/>
      <c r="Q256" s="108"/>
      <c r="R256" s="108"/>
      <c r="S256" s="108"/>
      <c r="T256" s="108"/>
      <c r="U256" s="108"/>
      <c r="V256" s="108"/>
      <c r="W256" s="108"/>
      <c r="X256" s="108"/>
      <c r="Y256" s="108"/>
      <c r="Z256" s="115"/>
      <c r="AA256" s="41"/>
      <c r="AB256" s="41"/>
      <c r="AC256" s="41"/>
      <c r="AD256" s="41"/>
      <c r="AE256" s="41"/>
      <c r="AF256" s="41"/>
      <c r="AG256" s="41"/>
      <c r="AH256" s="41"/>
      <c r="AI256" s="41"/>
      <c r="AJ256" s="41"/>
      <c r="AK256" s="41"/>
      <c r="AL256" s="41"/>
      <c r="AM256" s="41"/>
      <c r="AN256" s="41"/>
    </row>
    <row r="257" spans="1:40" ht="43.5">
      <c r="A257" s="147"/>
      <c r="B257" s="366" t="s">
        <v>1517</v>
      </c>
      <c r="C257" s="367" t="s">
        <v>1518</v>
      </c>
      <c r="D257" s="257" t="s">
        <v>933</v>
      </c>
      <c r="E257" s="108">
        <v>4</v>
      </c>
      <c r="F257" s="258" t="str">
        <f>""&amp;Table12[[#This Row],[TTM Stage]]&amp;Table12[[#This Row],[Task No.]]&amp;"-"&amp;Table12[[#This Row],[Type of activity]]&amp;"-"&amp;Table12[[#This Row],[TargetGroup]]</f>
        <v>M4-DN11-A-Children</v>
      </c>
      <c r="G257" s="112" t="s">
        <v>914</v>
      </c>
      <c r="H257" s="112"/>
      <c r="I257" s="113"/>
      <c r="J257" s="259"/>
      <c r="K257" s="199" t="s">
        <v>1547</v>
      </c>
      <c r="L257" s="372" t="s">
        <v>75</v>
      </c>
      <c r="M257" s="114" t="s">
        <v>1548</v>
      </c>
      <c r="N257" s="114"/>
      <c r="O257" s="108">
        <v>1</v>
      </c>
      <c r="P257" s="108"/>
      <c r="Q257" s="108"/>
      <c r="R257" s="108"/>
      <c r="S257" s="108"/>
      <c r="T257" s="108"/>
      <c r="U257" s="108"/>
      <c r="V257" s="108"/>
      <c r="W257" s="108"/>
      <c r="X257" s="108"/>
      <c r="Y257" s="108"/>
      <c r="Z257" s="115"/>
      <c r="AA257" s="41"/>
      <c r="AB257" s="41"/>
      <c r="AC257" s="41"/>
      <c r="AD257" s="41"/>
      <c r="AE257" s="41"/>
      <c r="AF257" s="41"/>
      <c r="AG257" s="41"/>
      <c r="AH257" s="41"/>
      <c r="AI257" s="41"/>
      <c r="AJ257" s="41"/>
      <c r="AK257" s="41"/>
      <c r="AL257" s="41"/>
      <c r="AM257" s="41"/>
      <c r="AN257" s="41"/>
    </row>
    <row r="258" spans="1:40" ht="97.5" customHeight="1">
      <c r="A258" s="147"/>
      <c r="B258" s="364" t="s">
        <v>554</v>
      </c>
      <c r="C258" s="365" t="s">
        <v>1549</v>
      </c>
      <c r="D258" s="236" t="s">
        <v>891</v>
      </c>
      <c r="E258" s="122">
        <v>1</v>
      </c>
      <c r="F258" s="314" t="str">
        <f>""&amp;Table12[[#This Row],[TTM Stage]]&amp;Table12[[#This Row],[Task No.]]&amp;"-"&amp;Table12[[#This Row],[Type of activity]]&amp;"-"&amp;Table12[[#This Row],[TargetGroup]]</f>
        <v>PC1-DN12-A-Children</v>
      </c>
      <c r="G258" s="123" t="s">
        <v>946</v>
      </c>
      <c r="H258" s="123"/>
      <c r="I258" s="124"/>
      <c r="J258" s="315"/>
      <c r="K258" s="316" t="s">
        <v>1550</v>
      </c>
      <c r="L258" s="372" t="s">
        <v>75</v>
      </c>
      <c r="M258" s="335" t="s">
        <v>1551</v>
      </c>
      <c r="N258" s="125"/>
      <c r="O258" s="108">
        <v>1</v>
      </c>
      <c r="P258" s="122"/>
      <c r="Q258" s="122"/>
      <c r="R258" s="122"/>
      <c r="S258" s="122"/>
      <c r="T258" s="122"/>
      <c r="U258" s="122"/>
      <c r="V258" s="122"/>
      <c r="W258" s="122"/>
      <c r="X258" s="122"/>
      <c r="Y258" s="122"/>
      <c r="Z258" s="126"/>
      <c r="AA258" s="41"/>
      <c r="AB258" s="41"/>
      <c r="AC258" s="41"/>
      <c r="AD258" s="41"/>
      <c r="AE258" s="41"/>
      <c r="AF258" s="41"/>
      <c r="AG258" s="41"/>
      <c r="AH258" s="41"/>
      <c r="AI258" s="41"/>
      <c r="AJ258" s="41"/>
      <c r="AK258" s="41"/>
      <c r="AL258" s="41"/>
      <c r="AM258" s="41"/>
      <c r="AN258" s="41"/>
    </row>
    <row r="259" spans="1:40" ht="101.25">
      <c r="A259" s="147"/>
      <c r="B259" s="364" t="s">
        <v>554</v>
      </c>
      <c r="C259" s="365" t="s">
        <v>1549</v>
      </c>
      <c r="D259" s="236" t="s">
        <v>891</v>
      </c>
      <c r="E259" s="122">
        <v>2</v>
      </c>
      <c r="F259" s="258" t="str">
        <f>""&amp;Table12[[#This Row],[TTM Stage]]&amp;Table12[[#This Row],[Task No.]]&amp;"-"&amp;Table12[[#This Row],[Type of activity]]&amp;"-"&amp;Table12[[#This Row],[TargetGroup]]</f>
        <v>PC2-DN12-A-Children</v>
      </c>
      <c r="G259" s="112" t="s">
        <v>900</v>
      </c>
      <c r="H259" s="112"/>
      <c r="I259" s="113"/>
      <c r="J259" s="259"/>
      <c r="K259" s="199" t="s">
        <v>1552</v>
      </c>
      <c r="L259" s="245" t="s">
        <v>75</v>
      </c>
      <c r="M259" s="328" t="s">
        <v>1553</v>
      </c>
      <c r="N259" s="309"/>
      <c r="O259" s="108">
        <v>1</v>
      </c>
      <c r="P259" s="108"/>
      <c r="Q259" s="108"/>
      <c r="R259" s="108"/>
      <c r="S259" s="108"/>
      <c r="T259" s="108"/>
      <c r="U259" s="108"/>
      <c r="V259" s="108"/>
      <c r="W259" s="108"/>
      <c r="X259" s="108"/>
      <c r="Y259" s="108"/>
      <c r="Z259" s="115"/>
      <c r="AA259" s="41"/>
      <c r="AB259" s="41"/>
      <c r="AC259" s="41"/>
      <c r="AD259" s="41"/>
      <c r="AE259" s="41"/>
      <c r="AF259" s="41"/>
      <c r="AG259" s="41"/>
      <c r="AH259" s="41"/>
      <c r="AI259" s="41"/>
      <c r="AJ259" s="41"/>
      <c r="AK259" s="41"/>
      <c r="AL259" s="41"/>
      <c r="AM259" s="41"/>
      <c r="AN259" s="41"/>
    </row>
    <row r="260" spans="1:40" ht="100.5" customHeight="1">
      <c r="A260" s="147"/>
      <c r="B260" s="364" t="s">
        <v>554</v>
      </c>
      <c r="C260" s="365" t="s">
        <v>1549</v>
      </c>
      <c r="D260" s="237" t="s">
        <v>899</v>
      </c>
      <c r="E260" s="108">
        <v>1</v>
      </c>
      <c r="F260" s="258" t="str">
        <f>""&amp;Table12[[#This Row],[TTM Stage]]&amp;Table12[[#This Row],[Task No.]]&amp;"-"&amp;Table12[[#This Row],[Type of activity]]&amp;"-"&amp;Table12[[#This Row],[TargetGroup]]</f>
        <v>C1-DN12-A-Children</v>
      </c>
      <c r="G260" s="112" t="s">
        <v>900</v>
      </c>
      <c r="H260" s="112"/>
      <c r="I260" s="113"/>
      <c r="J260" s="259"/>
      <c r="K260" s="199" t="s">
        <v>1554</v>
      </c>
      <c r="L260" s="372" t="s">
        <v>75</v>
      </c>
      <c r="M260" s="457" t="s">
        <v>1555</v>
      </c>
      <c r="N260" s="114"/>
      <c r="O260" s="108">
        <v>1</v>
      </c>
      <c r="P260" s="108"/>
      <c r="Q260" s="108"/>
      <c r="R260" s="108"/>
      <c r="S260" s="108"/>
      <c r="T260" s="108"/>
      <c r="U260" s="108"/>
      <c r="V260" s="108"/>
      <c r="W260" s="108"/>
      <c r="X260" s="108"/>
      <c r="Y260" s="108"/>
      <c r="Z260" s="115"/>
      <c r="AA260" s="41"/>
      <c r="AB260" s="41"/>
      <c r="AC260" s="41"/>
      <c r="AD260" s="41"/>
      <c r="AE260" s="41"/>
      <c r="AF260" s="41"/>
      <c r="AG260" s="41"/>
      <c r="AH260" s="41"/>
      <c r="AI260" s="41"/>
      <c r="AJ260" s="41"/>
      <c r="AK260" s="41"/>
      <c r="AL260" s="41"/>
      <c r="AM260" s="41"/>
      <c r="AN260" s="41"/>
    </row>
    <row r="261" spans="1:40" ht="183.75" customHeight="1">
      <c r="A261" s="147"/>
      <c r="B261" s="364" t="s">
        <v>554</v>
      </c>
      <c r="C261" s="365" t="s">
        <v>1549</v>
      </c>
      <c r="D261" s="237" t="s">
        <v>899</v>
      </c>
      <c r="E261" s="108">
        <v>2</v>
      </c>
      <c r="F261" s="258" t="str">
        <f>""&amp;Table12[[#This Row],[TTM Stage]]&amp;Table12[[#This Row],[Task No.]]&amp;"-"&amp;Table12[[#This Row],[Type of activity]]&amp;"-"&amp;Table12[[#This Row],[TargetGroup]]</f>
        <v>C2-DN12-A-Children</v>
      </c>
      <c r="G261" s="112" t="s">
        <v>900</v>
      </c>
      <c r="H261" s="112"/>
      <c r="I261" s="113"/>
      <c r="J261" s="259"/>
      <c r="K261" s="199" t="s">
        <v>1556</v>
      </c>
      <c r="L261" s="245" t="s">
        <v>75</v>
      </c>
      <c r="M261" s="336" t="s">
        <v>1557</v>
      </c>
      <c r="N261" s="309"/>
      <c r="O261" s="108">
        <v>1</v>
      </c>
      <c r="P261" s="108"/>
      <c r="Q261" s="108"/>
      <c r="R261" s="108"/>
      <c r="S261" s="108"/>
      <c r="T261" s="108"/>
      <c r="U261" s="108"/>
      <c r="V261" s="108"/>
      <c r="W261" s="108"/>
      <c r="X261" s="108"/>
      <c r="Y261" s="108"/>
      <c r="Z261" s="115"/>
      <c r="AA261" s="41"/>
      <c r="AB261" s="41"/>
      <c r="AC261" s="41"/>
      <c r="AD261" s="41"/>
      <c r="AE261" s="41"/>
      <c r="AF261" s="41"/>
      <c r="AG261" s="41"/>
      <c r="AH261" s="41"/>
      <c r="AI261" s="41"/>
      <c r="AJ261" s="41"/>
      <c r="AK261" s="41"/>
      <c r="AL261" s="41"/>
      <c r="AM261" s="41"/>
      <c r="AN261" s="41"/>
    </row>
    <row r="262" spans="1:40" ht="57.75">
      <c r="A262" s="147"/>
      <c r="B262" s="364" t="s">
        <v>554</v>
      </c>
      <c r="C262" s="365" t="s">
        <v>1549</v>
      </c>
      <c r="D262" s="247" t="s">
        <v>908</v>
      </c>
      <c r="E262" s="108">
        <v>1</v>
      </c>
      <c r="F262" s="258" t="str">
        <f>""&amp;Table12[[#This Row],[TTM Stage]]&amp;Table12[[#This Row],[Task No.]]&amp;"-"&amp;Table12[[#This Row],[Type of activity]]&amp;"-"&amp;Table12[[#This Row],[TargetGroup]]</f>
        <v>P1-DN12-A-Children</v>
      </c>
      <c r="G262" s="112" t="s">
        <v>957</v>
      </c>
      <c r="H262" s="112"/>
      <c r="I262" s="113"/>
      <c r="J262" s="259"/>
      <c r="K262" s="199" t="s">
        <v>1558</v>
      </c>
      <c r="L262" s="372" t="s">
        <v>75</v>
      </c>
      <c r="M262" s="132" t="s">
        <v>1559</v>
      </c>
      <c r="N262" s="114"/>
      <c r="O262" s="108">
        <v>1</v>
      </c>
      <c r="P262" s="108"/>
      <c r="Q262" s="108"/>
      <c r="R262" s="108"/>
      <c r="S262" s="108"/>
      <c r="T262" s="108"/>
      <c r="U262" s="108"/>
      <c r="V262" s="108"/>
      <c r="W262" s="108"/>
      <c r="X262" s="108"/>
      <c r="Y262" s="108"/>
      <c r="Z262" s="115"/>
      <c r="AA262" s="41"/>
      <c r="AB262" s="41"/>
      <c r="AC262" s="41"/>
      <c r="AD262" s="41"/>
      <c r="AE262" s="41"/>
      <c r="AF262" s="41"/>
      <c r="AG262" s="41"/>
      <c r="AH262" s="41"/>
      <c r="AI262" s="41"/>
      <c r="AJ262" s="41"/>
      <c r="AK262" s="41"/>
      <c r="AL262" s="41"/>
      <c r="AM262" s="41"/>
      <c r="AN262" s="41"/>
    </row>
    <row r="263" spans="1:40" ht="29.25">
      <c r="A263" s="147"/>
      <c r="B263" s="364" t="s">
        <v>554</v>
      </c>
      <c r="C263" s="365" t="s">
        <v>1549</v>
      </c>
      <c r="D263" s="247" t="s">
        <v>908</v>
      </c>
      <c r="E263" s="108">
        <v>2</v>
      </c>
      <c r="F263" s="258" t="str">
        <f>""&amp;Table12[[#This Row],[TTM Stage]]&amp;Table12[[#This Row],[Task No.]]&amp;"-"&amp;Table12[[#This Row],[Type of activity]]&amp;"-"&amp;Table12[[#This Row],[TargetGroup]]</f>
        <v>P2-DN12-A-Children</v>
      </c>
      <c r="G263" s="112" t="s">
        <v>984</v>
      </c>
      <c r="H263" s="112"/>
      <c r="I263" s="113"/>
      <c r="J263" s="259"/>
      <c r="K263" s="199" t="s">
        <v>1560</v>
      </c>
      <c r="L263" s="372" t="s">
        <v>75</v>
      </c>
      <c r="M263" s="125" t="s">
        <v>1561</v>
      </c>
      <c r="N263" s="114"/>
      <c r="O263" s="108">
        <v>1</v>
      </c>
      <c r="P263" s="108"/>
      <c r="Q263" s="108"/>
      <c r="R263" s="108"/>
      <c r="S263" s="108"/>
      <c r="T263" s="108"/>
      <c r="U263" s="108"/>
      <c r="V263" s="108"/>
      <c r="W263" s="108"/>
      <c r="X263" s="108"/>
      <c r="Y263" s="108"/>
      <c r="Z263" s="115"/>
      <c r="AA263" s="41"/>
      <c r="AB263" s="41"/>
      <c r="AC263" s="41"/>
      <c r="AD263" s="41"/>
      <c r="AE263" s="41"/>
      <c r="AF263" s="41"/>
      <c r="AG263" s="41"/>
      <c r="AH263" s="41"/>
      <c r="AI263" s="41"/>
      <c r="AJ263" s="41"/>
      <c r="AK263" s="41"/>
      <c r="AL263" s="41"/>
      <c r="AM263" s="41"/>
      <c r="AN263" s="41"/>
    </row>
    <row r="264" spans="1:40" ht="43.5">
      <c r="A264" s="147"/>
      <c r="B264" s="364" t="s">
        <v>554</v>
      </c>
      <c r="C264" s="365" t="s">
        <v>1549</v>
      </c>
      <c r="D264" s="256" t="s">
        <v>921</v>
      </c>
      <c r="E264" s="108">
        <v>1</v>
      </c>
      <c r="F264" s="258" t="str">
        <f>""&amp;Table12[[#This Row],[TTM Stage]]&amp;Table12[[#This Row],[Task No.]]&amp;"-"&amp;Table12[[#This Row],[Type of activity]]&amp;"-"&amp;Table12[[#This Row],[TargetGroup]]</f>
        <v>A1-DN12-A-Children</v>
      </c>
      <c r="G264" s="112" t="s">
        <v>984</v>
      </c>
      <c r="H264" s="112"/>
      <c r="I264" s="113"/>
      <c r="J264" s="259"/>
      <c r="K264" s="199" t="s">
        <v>1562</v>
      </c>
      <c r="L264" s="245" t="s">
        <v>75</v>
      </c>
      <c r="M264" s="378" t="s">
        <v>1563</v>
      </c>
      <c r="N264" s="309" t="s">
        <v>1564</v>
      </c>
      <c r="O264" s="108">
        <v>1</v>
      </c>
      <c r="P264" s="108"/>
      <c r="Q264" s="108"/>
      <c r="R264" s="108"/>
      <c r="S264" s="108"/>
      <c r="T264" s="108"/>
      <c r="U264" s="108"/>
      <c r="V264" s="108"/>
      <c r="W264" s="108"/>
      <c r="X264" s="108"/>
      <c r="Y264" s="108"/>
      <c r="Z264" s="115"/>
      <c r="AA264" s="41"/>
      <c r="AB264" s="41"/>
      <c r="AC264" s="41"/>
      <c r="AD264" s="41"/>
      <c r="AE264" s="41"/>
      <c r="AF264" s="41"/>
      <c r="AG264" s="41"/>
      <c r="AH264" s="41"/>
      <c r="AI264" s="41"/>
      <c r="AJ264" s="41"/>
      <c r="AK264" s="41"/>
      <c r="AL264" s="41"/>
      <c r="AM264" s="41"/>
      <c r="AN264" s="41"/>
    </row>
    <row r="265" spans="1:40" ht="57.75">
      <c r="A265" s="147"/>
      <c r="B265" s="364" t="s">
        <v>554</v>
      </c>
      <c r="C265" s="365" t="s">
        <v>1549</v>
      </c>
      <c r="D265" s="256" t="s">
        <v>921</v>
      </c>
      <c r="E265" s="108">
        <v>2</v>
      </c>
      <c r="F265" s="258" t="str">
        <f>""&amp;Table12[[#This Row],[TTM Stage]]&amp;Table12[[#This Row],[Task No.]]&amp;"-"&amp;Table12[[#This Row],[Type of activity]]&amp;"-"&amp;Table12[[#This Row],[TargetGroup]]</f>
        <v>A2-DN12-A-Children</v>
      </c>
      <c r="G265" s="112" t="s">
        <v>962</v>
      </c>
      <c r="H265" s="112"/>
      <c r="I265" s="113"/>
      <c r="J265" s="259"/>
      <c r="K265" s="199" t="s">
        <v>1565</v>
      </c>
      <c r="L265" s="245" t="s">
        <v>75</v>
      </c>
      <c r="M265" s="328" t="s">
        <v>1566</v>
      </c>
      <c r="N265" s="309"/>
      <c r="O265" s="108">
        <v>1</v>
      </c>
      <c r="P265" s="108"/>
      <c r="Q265" s="108"/>
      <c r="R265" s="108"/>
      <c r="S265" s="108"/>
      <c r="T265" s="108"/>
      <c r="U265" s="108"/>
      <c r="V265" s="108"/>
      <c r="W265" s="108"/>
      <c r="X265" s="108"/>
      <c r="Y265" s="108"/>
      <c r="Z265" s="115"/>
      <c r="AA265" s="41"/>
      <c r="AB265" s="41"/>
      <c r="AC265" s="41"/>
      <c r="AD265" s="41"/>
      <c r="AE265" s="41"/>
      <c r="AF265" s="41"/>
      <c r="AG265" s="41"/>
      <c r="AH265" s="41"/>
      <c r="AI265" s="41"/>
      <c r="AJ265" s="41"/>
      <c r="AK265" s="41"/>
      <c r="AL265" s="41"/>
      <c r="AM265" s="41"/>
      <c r="AN265" s="41"/>
    </row>
    <row r="266" spans="1:40" ht="57.75">
      <c r="A266" s="147"/>
      <c r="B266" s="364" t="s">
        <v>554</v>
      </c>
      <c r="C266" s="365" t="s">
        <v>1549</v>
      </c>
      <c r="D266" s="256" t="s">
        <v>921</v>
      </c>
      <c r="E266" s="108">
        <v>3</v>
      </c>
      <c r="F266" s="258" t="str">
        <f>""&amp;Table12[[#This Row],[TTM Stage]]&amp;Table12[[#This Row],[Task No.]]&amp;"-"&amp;Table12[[#This Row],[Type of activity]]&amp;"-"&amp;Table12[[#This Row],[TargetGroup]]</f>
        <v>A3-DN12-A-Children</v>
      </c>
      <c r="G266" s="112" t="s">
        <v>962</v>
      </c>
      <c r="H266" s="112"/>
      <c r="I266" s="113"/>
      <c r="J266" s="259"/>
      <c r="K266" s="199" t="s">
        <v>1567</v>
      </c>
      <c r="L266" s="245" t="s">
        <v>75</v>
      </c>
      <c r="M266" s="378" t="s">
        <v>1568</v>
      </c>
      <c r="N266" s="309"/>
      <c r="O266" s="108">
        <v>1</v>
      </c>
      <c r="P266" s="108"/>
      <c r="Q266" s="108"/>
      <c r="R266" s="108"/>
      <c r="S266" s="108"/>
      <c r="T266" s="108"/>
      <c r="U266" s="108"/>
      <c r="V266" s="108"/>
      <c r="W266" s="108"/>
      <c r="X266" s="108"/>
      <c r="Y266" s="108"/>
      <c r="Z266" s="115"/>
      <c r="AA266" s="41"/>
      <c r="AB266" s="41"/>
      <c r="AC266" s="41"/>
      <c r="AD266" s="41"/>
      <c r="AE266" s="41"/>
      <c r="AF266" s="41"/>
      <c r="AG266" s="41"/>
      <c r="AH266" s="41"/>
      <c r="AI266" s="41"/>
      <c r="AJ266" s="41"/>
      <c r="AK266" s="41"/>
      <c r="AL266" s="41"/>
      <c r="AM266" s="41"/>
      <c r="AN266" s="41"/>
    </row>
    <row r="267" spans="1:40" ht="43.5">
      <c r="A267" s="147"/>
      <c r="B267" s="364" t="s">
        <v>554</v>
      </c>
      <c r="C267" s="365" t="s">
        <v>1549</v>
      </c>
      <c r="D267" s="256" t="s">
        <v>921</v>
      </c>
      <c r="E267" s="108">
        <v>4</v>
      </c>
      <c r="F267" s="258" t="str">
        <f>""&amp;Table12[[#This Row],[TTM Stage]]&amp;Table12[[#This Row],[Task No.]]&amp;"-"&amp;Table12[[#This Row],[Type of activity]]&amp;"-"&amp;Table12[[#This Row],[TargetGroup]]</f>
        <v>A4-DN12-A-Children</v>
      </c>
      <c r="G267" s="112" t="s">
        <v>962</v>
      </c>
      <c r="H267" s="112"/>
      <c r="I267" s="113"/>
      <c r="J267" s="259"/>
      <c r="K267" s="199" t="s">
        <v>1569</v>
      </c>
      <c r="L267" s="245" t="s">
        <v>75</v>
      </c>
      <c r="M267" s="328" t="s">
        <v>1570</v>
      </c>
      <c r="N267" s="309"/>
      <c r="O267" s="108">
        <v>1</v>
      </c>
      <c r="P267" s="108"/>
      <c r="Q267" s="108"/>
      <c r="R267" s="108"/>
      <c r="S267" s="108"/>
      <c r="T267" s="108"/>
      <c r="U267" s="108"/>
      <c r="V267" s="108"/>
      <c r="W267" s="108"/>
      <c r="X267" s="108"/>
      <c r="Y267" s="108"/>
      <c r="Z267" s="115"/>
      <c r="AA267" s="41"/>
      <c r="AB267" s="41"/>
      <c r="AC267" s="41"/>
      <c r="AD267" s="41"/>
      <c r="AE267" s="41"/>
      <c r="AF267" s="41"/>
      <c r="AG267" s="41"/>
      <c r="AH267" s="41"/>
      <c r="AI267" s="41"/>
      <c r="AJ267" s="41"/>
      <c r="AK267" s="41"/>
      <c r="AL267" s="41"/>
      <c r="AM267" s="41"/>
      <c r="AN267" s="41"/>
    </row>
    <row r="268" spans="1:40" ht="15">
      <c r="A268" s="147"/>
      <c r="B268" s="364" t="s">
        <v>554</v>
      </c>
      <c r="C268" s="365" t="s">
        <v>1549</v>
      </c>
      <c r="D268" s="257" t="s">
        <v>933</v>
      </c>
      <c r="E268" s="108">
        <v>1</v>
      </c>
      <c r="F268" s="258" t="str">
        <f>""&amp;Table12[[#This Row],[TTM Stage]]&amp;Table12[[#This Row],[Task No.]]&amp;"-"&amp;Table12[[#This Row],[Type of activity]]&amp;"-"&amp;Table12[[#This Row],[TargetGroup]]</f>
        <v>M1-DN12-A-Children</v>
      </c>
      <c r="G268" s="112" t="s">
        <v>962</v>
      </c>
      <c r="H268" s="112"/>
      <c r="I268" s="113"/>
      <c r="J268" s="259"/>
      <c r="K268" s="199" t="s">
        <v>1571</v>
      </c>
      <c r="L268" s="372" t="s">
        <v>75</v>
      </c>
      <c r="M268" s="132" t="s">
        <v>1572</v>
      </c>
      <c r="N268" s="114"/>
      <c r="O268" s="108">
        <v>1</v>
      </c>
      <c r="P268" s="108"/>
      <c r="Q268" s="108"/>
      <c r="R268" s="108"/>
      <c r="S268" s="108"/>
      <c r="T268" s="108"/>
      <c r="U268" s="108"/>
      <c r="V268" s="108"/>
      <c r="W268" s="108"/>
      <c r="X268" s="108"/>
      <c r="Y268" s="108"/>
      <c r="Z268" s="115"/>
      <c r="AA268" s="41"/>
      <c r="AB268" s="41"/>
      <c r="AC268" s="41"/>
      <c r="AD268" s="41"/>
      <c r="AE268" s="41"/>
      <c r="AF268" s="41"/>
      <c r="AG268" s="41"/>
      <c r="AH268" s="41"/>
      <c r="AI268" s="41"/>
      <c r="AJ268" s="41"/>
      <c r="AK268" s="41"/>
      <c r="AL268" s="41"/>
      <c r="AM268" s="41"/>
      <c r="AN268" s="41"/>
    </row>
    <row r="269" spans="1:40" ht="15">
      <c r="A269" s="147"/>
      <c r="B269" s="364" t="s">
        <v>554</v>
      </c>
      <c r="C269" s="365" t="s">
        <v>1549</v>
      </c>
      <c r="D269" s="257" t="s">
        <v>933</v>
      </c>
      <c r="E269" s="108">
        <v>2</v>
      </c>
      <c r="F269" s="258" t="str">
        <f>""&amp;Table12[[#This Row],[TTM Stage]]&amp;Table12[[#This Row],[Task No.]]&amp;"-"&amp;Table12[[#This Row],[Type of activity]]&amp;"-"&amp;Table12[[#This Row],[TargetGroup]]</f>
        <v>M2-DN12-A-Children</v>
      </c>
      <c r="G269" s="112" t="s">
        <v>962</v>
      </c>
      <c r="H269" s="112"/>
      <c r="I269" s="113"/>
      <c r="J269" s="259"/>
      <c r="K269" s="199" t="s">
        <v>1573</v>
      </c>
      <c r="L269" s="372" t="s">
        <v>75</v>
      </c>
      <c r="M269" s="114" t="s">
        <v>1574</v>
      </c>
      <c r="N269" s="114"/>
      <c r="O269" s="108">
        <v>1</v>
      </c>
      <c r="P269" s="108"/>
      <c r="Q269" s="108"/>
      <c r="R269" s="108"/>
      <c r="S269" s="108"/>
      <c r="T269" s="108"/>
      <c r="U269" s="108"/>
      <c r="V269" s="108"/>
      <c r="W269" s="108"/>
      <c r="X269" s="108"/>
      <c r="Y269" s="108"/>
      <c r="Z269" s="115"/>
      <c r="AA269" s="41"/>
      <c r="AB269" s="41"/>
      <c r="AC269" s="41"/>
      <c r="AD269" s="41"/>
      <c r="AE269" s="41"/>
      <c r="AF269" s="41"/>
      <c r="AG269" s="41"/>
      <c r="AH269" s="41"/>
      <c r="AI269" s="41"/>
      <c r="AJ269" s="41"/>
      <c r="AK269" s="41"/>
      <c r="AL269" s="41"/>
      <c r="AM269" s="41"/>
      <c r="AN269" s="41"/>
    </row>
    <row r="270" spans="1:40" ht="29.25">
      <c r="A270" s="147"/>
      <c r="B270" s="364" t="s">
        <v>554</v>
      </c>
      <c r="C270" s="365" t="s">
        <v>1549</v>
      </c>
      <c r="D270" s="257" t="s">
        <v>933</v>
      </c>
      <c r="E270" s="108">
        <v>3</v>
      </c>
      <c r="F270" s="258" t="str">
        <f>""&amp;Table12[[#This Row],[TTM Stage]]&amp;Table12[[#This Row],[Task No.]]&amp;"-"&amp;Table12[[#This Row],[Type of activity]]&amp;"-"&amp;Table12[[#This Row],[TargetGroup]]</f>
        <v>M3-DN12-A-Children</v>
      </c>
      <c r="G270" s="112" t="s">
        <v>962</v>
      </c>
      <c r="H270" s="112"/>
      <c r="I270" s="113"/>
      <c r="J270" s="259"/>
      <c r="K270" s="199" t="s">
        <v>1575</v>
      </c>
      <c r="L270" s="372" t="s">
        <v>75</v>
      </c>
      <c r="M270" s="114" t="s">
        <v>1576</v>
      </c>
      <c r="N270" s="114"/>
      <c r="O270" s="108">
        <v>1</v>
      </c>
      <c r="P270" s="108"/>
      <c r="Q270" s="108"/>
      <c r="R270" s="108"/>
      <c r="S270" s="108"/>
      <c r="T270" s="108"/>
      <c r="U270" s="108"/>
      <c r="V270" s="108"/>
      <c r="W270" s="108"/>
      <c r="X270" s="108"/>
      <c r="Y270" s="108"/>
      <c r="Z270" s="115"/>
      <c r="AA270" s="41"/>
      <c r="AB270" s="41"/>
      <c r="AC270" s="41"/>
      <c r="AD270" s="41"/>
      <c r="AE270" s="41"/>
      <c r="AF270" s="41"/>
      <c r="AG270" s="41"/>
      <c r="AH270" s="41"/>
      <c r="AI270" s="41"/>
      <c r="AJ270" s="41"/>
      <c r="AK270" s="41"/>
      <c r="AL270" s="41"/>
      <c r="AM270" s="41"/>
      <c r="AN270" s="41"/>
    </row>
    <row r="271" spans="1:40" ht="29.25">
      <c r="A271" s="147"/>
      <c r="B271" s="364" t="s">
        <v>554</v>
      </c>
      <c r="C271" s="365" t="s">
        <v>1549</v>
      </c>
      <c r="D271" s="257" t="s">
        <v>933</v>
      </c>
      <c r="E271" s="108">
        <v>4</v>
      </c>
      <c r="F271" s="258" t="str">
        <f>""&amp;Table12[[#This Row],[TTM Stage]]&amp;Table12[[#This Row],[Task No.]]&amp;"-"&amp;Table12[[#This Row],[Type of activity]]&amp;"-"&amp;Table12[[#This Row],[TargetGroup]]</f>
        <v>M4-DN12-A-Children</v>
      </c>
      <c r="G271" s="112" t="s">
        <v>962</v>
      </c>
      <c r="H271" s="112"/>
      <c r="I271" s="113"/>
      <c r="J271" s="259"/>
      <c r="K271" s="199" t="s">
        <v>1577</v>
      </c>
      <c r="L271" s="372" t="s">
        <v>75</v>
      </c>
      <c r="M271" s="114" t="s">
        <v>1578</v>
      </c>
      <c r="N271" s="114"/>
      <c r="O271" s="108">
        <v>1</v>
      </c>
      <c r="P271" s="108"/>
      <c r="Q271" s="108"/>
      <c r="R271" s="108"/>
      <c r="S271" s="108"/>
      <c r="T271" s="108"/>
      <c r="U271" s="108"/>
      <c r="V271" s="108"/>
      <c r="W271" s="108"/>
      <c r="X271" s="108"/>
      <c r="Y271" s="108"/>
      <c r="Z271" s="115"/>
      <c r="AA271" s="41"/>
      <c r="AB271" s="41"/>
      <c r="AC271" s="41"/>
      <c r="AD271" s="41"/>
      <c r="AE271" s="41"/>
      <c r="AF271" s="41"/>
      <c r="AG271" s="41"/>
      <c r="AH271" s="41"/>
      <c r="AI271" s="41"/>
      <c r="AJ271" s="41"/>
      <c r="AK271" s="41"/>
      <c r="AL271" s="41"/>
      <c r="AM271" s="41"/>
      <c r="AN271" s="41"/>
    </row>
    <row r="272" spans="1:40" s="486" customFormat="1" ht="57.75">
      <c r="A272" s="483"/>
      <c r="B272" s="484" t="s">
        <v>105</v>
      </c>
      <c r="C272" s="485" t="s">
        <v>574</v>
      </c>
      <c r="D272" s="236" t="s">
        <v>891</v>
      </c>
      <c r="E272" s="108"/>
      <c r="F272" s="258" t="str">
        <f>""&amp;Table12[[#This Row],[TTM Stage]]&amp;Table12[[#This Row],[Task No.]]&amp;"-"&amp;Table12[[#This Row],[Type of activity]]&amp;"-"&amp;Table12[[#This Row],[TargetGroup]]</f>
        <v>PC-M1 - A-Children</v>
      </c>
      <c r="G272" s="112" t="s">
        <v>1222</v>
      </c>
      <c r="H272" s="112"/>
      <c r="I272" s="113"/>
      <c r="J272" s="259"/>
      <c r="K272" s="199" t="s">
        <v>1579</v>
      </c>
      <c r="L272" s="372" t="s">
        <v>75</v>
      </c>
      <c r="M272" s="479" t="s">
        <v>1580</v>
      </c>
      <c r="N272" s="264" t="s">
        <v>1581</v>
      </c>
      <c r="O272" s="108"/>
      <c r="P272" s="108"/>
      <c r="Q272" s="108"/>
      <c r="R272" s="108"/>
      <c r="S272" s="108"/>
      <c r="T272" s="108"/>
      <c r="U272" s="108"/>
      <c r="V272" s="108"/>
      <c r="W272" s="108"/>
      <c r="X272" s="108"/>
      <c r="Y272" s="108"/>
      <c r="Z272" s="115"/>
      <c r="AA272" s="41"/>
      <c r="AB272" s="41"/>
      <c r="AC272" s="41"/>
      <c r="AD272" s="41"/>
      <c r="AE272" s="41"/>
      <c r="AF272" s="41"/>
      <c r="AG272" s="41"/>
      <c r="AH272" s="41"/>
      <c r="AI272" s="41"/>
      <c r="AJ272" s="41"/>
      <c r="AK272" s="41"/>
      <c r="AL272" s="41"/>
      <c r="AM272" s="41"/>
      <c r="AN272" s="41"/>
    </row>
    <row r="273" spans="1:40" s="486" customFormat="1" ht="54" customHeight="1">
      <c r="A273" s="483"/>
      <c r="B273" s="484" t="s">
        <v>105</v>
      </c>
      <c r="C273" s="485" t="s">
        <v>574</v>
      </c>
      <c r="D273" s="487" t="s">
        <v>891</v>
      </c>
      <c r="E273" s="129"/>
      <c r="F273" s="488" t="str">
        <f>""&amp;Table12[[#This Row],[TTM Stage]]&amp;Table12[[#This Row],[Task No.]]&amp;"-"&amp;Table12[[#This Row],[Type of activity]]&amp;"-"&amp;Table12[[#This Row],[TargetGroup]]</f>
        <v>PC-M1 - A-Children</v>
      </c>
      <c r="G273" s="130" t="s">
        <v>946</v>
      </c>
      <c r="H273" s="130"/>
      <c r="I273" s="131"/>
      <c r="J273" s="489"/>
      <c r="K273" s="531" t="s">
        <v>1582</v>
      </c>
      <c r="L273" s="254" t="s">
        <v>75</v>
      </c>
      <c r="M273" s="505" t="s">
        <v>1583</v>
      </c>
      <c r="N273" s="264"/>
      <c r="O273" s="129"/>
      <c r="P273" s="129"/>
      <c r="Q273" s="129"/>
      <c r="R273" s="129"/>
      <c r="S273" s="129"/>
      <c r="T273" s="129"/>
      <c r="U273" s="129"/>
      <c r="V273" s="129"/>
      <c r="W273" s="129"/>
      <c r="X273" s="129"/>
      <c r="Y273" s="129"/>
      <c r="Z273" s="133"/>
      <c r="AA273" s="39"/>
      <c r="AB273" s="39"/>
      <c r="AC273" s="39"/>
      <c r="AD273" s="39"/>
      <c r="AE273" s="39"/>
      <c r="AF273" s="39"/>
      <c r="AG273" s="39"/>
      <c r="AH273" s="39"/>
      <c r="AI273" s="39"/>
      <c r="AJ273" s="39"/>
      <c r="AK273" s="39"/>
      <c r="AL273" s="39"/>
      <c r="AM273" s="39"/>
      <c r="AN273" s="39"/>
    </row>
    <row r="274" spans="1:40" s="486" customFormat="1" ht="57.75">
      <c r="A274" s="483"/>
      <c r="B274" s="484" t="s">
        <v>105</v>
      </c>
      <c r="C274" s="485" t="s">
        <v>574</v>
      </c>
      <c r="D274" s="490" t="s">
        <v>899</v>
      </c>
      <c r="E274" s="129"/>
      <c r="F274" s="488" t="str">
        <f>""&amp;Table12[[#This Row],[TTM Stage]]&amp;Table12[[#This Row],[Task No.]]&amp;"-"&amp;Table12[[#This Row],[Type of activity]]&amp;"-"&amp;Table12[[#This Row],[TargetGroup]]</f>
        <v>C-M1 - A-Children</v>
      </c>
      <c r="G274" s="130" t="s">
        <v>946</v>
      </c>
      <c r="H274" s="130"/>
      <c r="I274" s="131"/>
      <c r="J274" s="489"/>
      <c r="K274" s="383" t="s">
        <v>1584</v>
      </c>
      <c r="L274" s="254" t="s">
        <v>75</v>
      </c>
      <c r="M274" s="505" t="s">
        <v>1585</v>
      </c>
      <c r="N274" s="264" t="s">
        <v>1586</v>
      </c>
      <c r="O274" s="129"/>
      <c r="P274" s="129"/>
      <c r="Q274" s="129"/>
      <c r="R274" s="129"/>
      <c r="S274" s="129"/>
      <c r="T274" s="129"/>
      <c r="U274" s="129"/>
      <c r="V274" s="129"/>
      <c r="W274" s="129"/>
      <c r="X274" s="129"/>
      <c r="Y274" s="129"/>
      <c r="Z274" s="133"/>
      <c r="AA274" s="39"/>
      <c r="AB274" s="39"/>
      <c r="AC274" s="39"/>
      <c r="AD274" s="39"/>
      <c r="AE274" s="39"/>
      <c r="AF274" s="39"/>
      <c r="AG274" s="39"/>
      <c r="AH274" s="39"/>
      <c r="AI274" s="39"/>
      <c r="AJ274" s="39"/>
      <c r="AK274" s="39"/>
      <c r="AL274" s="39"/>
      <c r="AM274" s="39"/>
      <c r="AN274" s="39"/>
    </row>
    <row r="275" spans="1:40" s="486" customFormat="1" ht="70.5" customHeight="1">
      <c r="A275" s="483"/>
      <c r="B275" s="484" t="s">
        <v>105</v>
      </c>
      <c r="C275" s="485" t="s">
        <v>574</v>
      </c>
      <c r="D275" s="490" t="s">
        <v>899</v>
      </c>
      <c r="E275" s="129"/>
      <c r="F275" s="488" t="str">
        <f>""&amp;Table12[[#This Row],[TTM Stage]]&amp;Table12[[#This Row],[Task No.]]&amp;"-"&amp;Table12[[#This Row],[Type of activity]]&amp;"-"&amp;Table12[[#This Row],[TargetGroup]]</f>
        <v>C-M1 - A-Children</v>
      </c>
      <c r="G275" s="130" t="s">
        <v>900</v>
      </c>
      <c r="H275" s="130"/>
      <c r="I275" s="131"/>
      <c r="J275" s="489"/>
      <c r="K275" s="383" t="s">
        <v>1587</v>
      </c>
      <c r="L275" s="254" t="s">
        <v>75</v>
      </c>
      <c r="M275" s="505" t="s">
        <v>1588</v>
      </c>
      <c r="N275" s="264"/>
      <c r="O275" s="129"/>
      <c r="P275" s="129"/>
      <c r="Q275" s="129"/>
      <c r="R275" s="129"/>
      <c r="S275" s="129"/>
      <c r="T275" s="129"/>
      <c r="U275" s="129"/>
      <c r="V275" s="129"/>
      <c r="W275" s="129"/>
      <c r="X275" s="129"/>
      <c r="Y275" s="129"/>
      <c r="Z275" s="133"/>
      <c r="AA275" s="39"/>
      <c r="AB275" s="39"/>
      <c r="AC275" s="39"/>
      <c r="AD275" s="39"/>
      <c r="AE275" s="39"/>
      <c r="AF275" s="39"/>
      <c r="AG275" s="39"/>
      <c r="AH275" s="39"/>
      <c r="AI275" s="39"/>
      <c r="AJ275" s="39"/>
      <c r="AK275" s="39"/>
      <c r="AL275" s="39"/>
      <c r="AM275" s="39"/>
      <c r="AN275" s="39"/>
    </row>
    <row r="276" spans="1:40" ht="72.75">
      <c r="A276" s="147"/>
      <c r="B276" s="460" t="s">
        <v>105</v>
      </c>
      <c r="C276" s="70" t="s">
        <v>574</v>
      </c>
      <c r="D276" s="503" t="s">
        <v>908</v>
      </c>
      <c r="E276" s="129"/>
      <c r="F276" s="488" t="str">
        <f>""&amp;Table12[[#This Row],[TTM Stage]]&amp;Table12[[#This Row],[Task No.]]&amp;"-"&amp;Table12[[#This Row],[Type of activity]]&amp;"-"&amp;Table12[[#This Row],[TargetGroup]]</f>
        <v>P-M1 - A-Children</v>
      </c>
      <c r="G276" s="130" t="s">
        <v>957</v>
      </c>
      <c r="H276" s="130"/>
      <c r="I276" s="131"/>
      <c r="J276" s="489"/>
      <c r="K276" s="383" t="s">
        <v>1589</v>
      </c>
      <c r="L276" s="254" t="s">
        <v>75</v>
      </c>
      <c r="M276" s="505" t="s">
        <v>1590</v>
      </c>
      <c r="N276" s="457" t="s">
        <v>1591</v>
      </c>
      <c r="O276" s="129"/>
      <c r="P276" s="129"/>
      <c r="Q276" s="129"/>
      <c r="R276" s="129"/>
      <c r="S276" s="129"/>
      <c r="T276" s="129"/>
      <c r="U276" s="129"/>
      <c r="V276" s="129"/>
      <c r="W276" s="129"/>
      <c r="X276" s="129"/>
      <c r="Y276" s="129"/>
      <c r="Z276" s="133"/>
      <c r="AA276" s="39"/>
      <c r="AB276" s="39"/>
      <c r="AC276" s="39"/>
      <c r="AD276" s="39"/>
      <c r="AE276" s="39"/>
      <c r="AF276" s="39"/>
      <c r="AG276" s="39"/>
      <c r="AH276" s="39"/>
      <c r="AI276" s="39"/>
      <c r="AJ276" s="39"/>
      <c r="AK276" s="39"/>
      <c r="AL276" s="39"/>
      <c r="AM276" s="39"/>
      <c r="AN276" s="39"/>
    </row>
    <row r="277" spans="1:40" ht="52.5" customHeight="1">
      <c r="A277" s="147"/>
      <c r="B277" s="460" t="s">
        <v>105</v>
      </c>
      <c r="C277" s="70" t="s">
        <v>574</v>
      </c>
      <c r="D277" s="247" t="s">
        <v>908</v>
      </c>
      <c r="E277" s="108"/>
      <c r="F277" s="258" t="str">
        <f>""&amp;Table12[[#This Row],[TTM Stage]]&amp;Table12[[#This Row],[Task No.]]&amp;"-"&amp;Table12[[#This Row],[Type of activity]]&amp;"-"&amp;Table12[[#This Row],[TargetGroup]]</f>
        <v>P-M1 - A-Children</v>
      </c>
      <c r="G277" s="112" t="s">
        <v>957</v>
      </c>
      <c r="H277" s="112"/>
      <c r="I277" s="113"/>
      <c r="J277" s="259"/>
      <c r="K277" s="199" t="s">
        <v>1592</v>
      </c>
      <c r="L277" s="372" t="s">
        <v>75</v>
      </c>
      <c r="M277" s="479" t="s">
        <v>1593</v>
      </c>
      <c r="N277" s="114"/>
      <c r="O277" s="108"/>
      <c r="P277" s="108"/>
      <c r="Q277" s="108"/>
      <c r="R277" s="108"/>
      <c r="S277" s="108"/>
      <c r="T277" s="108"/>
      <c r="U277" s="108"/>
      <c r="V277" s="108"/>
      <c r="W277" s="108"/>
      <c r="X277" s="108"/>
      <c r="Y277" s="108"/>
      <c r="Z277" s="115"/>
      <c r="AA277" s="41"/>
      <c r="AB277" s="41"/>
      <c r="AC277" s="41"/>
      <c r="AD277" s="41"/>
      <c r="AE277" s="41"/>
      <c r="AF277" s="41"/>
      <c r="AG277" s="41"/>
      <c r="AH277" s="41"/>
      <c r="AI277" s="41"/>
      <c r="AJ277" s="41"/>
      <c r="AK277" s="41"/>
      <c r="AL277" s="41"/>
      <c r="AM277" s="41"/>
      <c r="AN277" s="41"/>
    </row>
    <row r="278" spans="1:40" s="486" customFormat="1" ht="111" customHeight="1">
      <c r="A278" s="483"/>
      <c r="B278" s="484" t="s">
        <v>105</v>
      </c>
      <c r="C278" s="485" t="s">
        <v>574</v>
      </c>
      <c r="D278" s="256" t="s">
        <v>921</v>
      </c>
      <c r="E278" s="108"/>
      <c r="F278" s="258" t="str">
        <f>""&amp;Table12[[#This Row],[TTM Stage]]&amp;Table12[[#This Row],[Task No.]]&amp;"-"&amp;Table12[[#This Row],[Type of activity]]&amp;"-"&amp;Table12[[#This Row],[TargetGroup]]</f>
        <v>A-M1 - A-Children</v>
      </c>
      <c r="G278" s="112" t="s">
        <v>962</v>
      </c>
      <c r="H278" s="112"/>
      <c r="I278" s="113"/>
      <c r="J278" s="259"/>
      <c r="K278" s="199" t="s">
        <v>1594</v>
      </c>
      <c r="L278" s="372" t="s">
        <v>75</v>
      </c>
      <c r="M278" s="506" t="s">
        <v>1595</v>
      </c>
      <c r="N278" s="264" t="s">
        <v>1596</v>
      </c>
      <c r="O278" s="108"/>
      <c r="P278" s="108"/>
      <c r="Q278" s="108"/>
      <c r="R278" s="108"/>
      <c r="S278" s="108"/>
      <c r="T278" s="108"/>
      <c r="U278" s="108"/>
      <c r="V278" s="108"/>
      <c r="W278" s="108"/>
      <c r="X278" s="108"/>
      <c r="Y278" s="108"/>
      <c r="Z278" s="115"/>
      <c r="AA278" s="41"/>
      <c r="AB278" s="41"/>
      <c r="AC278" s="41"/>
      <c r="AD278" s="41"/>
      <c r="AE278" s="41"/>
      <c r="AF278" s="41"/>
      <c r="AG278" s="41"/>
      <c r="AH278" s="41"/>
      <c r="AI278" s="41"/>
      <c r="AJ278" s="41"/>
      <c r="AK278" s="41"/>
      <c r="AL278" s="41"/>
      <c r="AM278" s="41"/>
      <c r="AN278" s="41"/>
    </row>
    <row r="279" spans="1:40" s="486" customFormat="1" ht="111.75" customHeight="1">
      <c r="A279" s="483"/>
      <c r="B279" s="484" t="s">
        <v>105</v>
      </c>
      <c r="C279" s="485" t="s">
        <v>574</v>
      </c>
      <c r="D279" s="504" t="s">
        <v>921</v>
      </c>
      <c r="E279" s="129"/>
      <c r="F279" s="488" t="str">
        <f>""&amp;Table12[[#This Row],[TTM Stage]]&amp;Table12[[#This Row],[Task No.]]&amp;"-"&amp;Table12[[#This Row],[Type of activity]]&amp;"-"&amp;Table12[[#This Row],[TargetGroup]]</f>
        <v>A-M1 - A-Children</v>
      </c>
      <c r="G279" s="130" t="s">
        <v>962</v>
      </c>
      <c r="H279" s="130"/>
      <c r="I279" s="131"/>
      <c r="J279" s="489"/>
      <c r="K279" s="383" t="s">
        <v>1597</v>
      </c>
      <c r="L279" s="254" t="s">
        <v>75</v>
      </c>
      <c r="M279" s="507" t="s">
        <v>1598</v>
      </c>
      <c r="N279" s="264" t="s">
        <v>1599</v>
      </c>
      <c r="O279" s="129"/>
      <c r="P279" s="129"/>
      <c r="Q279" s="129"/>
      <c r="R279" s="129"/>
      <c r="S279" s="129"/>
      <c r="T279" s="129"/>
      <c r="U279" s="129"/>
      <c r="V279" s="129"/>
      <c r="W279" s="129"/>
      <c r="X279" s="129"/>
      <c r="Y279" s="129"/>
      <c r="Z279" s="133"/>
      <c r="AA279" s="39"/>
      <c r="AB279" s="39"/>
      <c r="AC279" s="39"/>
      <c r="AD279" s="39"/>
      <c r="AE279" s="39"/>
      <c r="AF279" s="39"/>
      <c r="AG279" s="39"/>
      <c r="AH279" s="39"/>
      <c r="AI279" s="39"/>
      <c r="AJ279" s="39"/>
      <c r="AK279" s="39"/>
      <c r="AL279" s="39"/>
      <c r="AM279" s="39"/>
      <c r="AN279" s="39"/>
    </row>
    <row r="280" spans="1:40" s="486" customFormat="1" ht="139.5" customHeight="1">
      <c r="A280" s="483"/>
      <c r="B280" s="484" t="s">
        <v>105</v>
      </c>
      <c r="C280" s="485" t="s">
        <v>574</v>
      </c>
      <c r="D280" s="504" t="s">
        <v>921</v>
      </c>
      <c r="E280" s="129"/>
      <c r="F280" s="488" t="str">
        <f>""&amp;Table12[[#This Row],[TTM Stage]]&amp;Table12[[#This Row],[Task No.]]&amp;"-"&amp;Table12[[#This Row],[Type of activity]]&amp;"-"&amp;Table12[[#This Row],[TargetGroup]]</f>
        <v>A-M1 - A-Children</v>
      </c>
      <c r="G280" s="130" t="s">
        <v>962</v>
      </c>
      <c r="H280" s="130"/>
      <c r="I280" s="131"/>
      <c r="J280" s="489"/>
      <c r="K280" s="383" t="s">
        <v>1600</v>
      </c>
      <c r="L280" s="254" t="s">
        <v>75</v>
      </c>
      <c r="M280" s="507" t="s">
        <v>1601</v>
      </c>
      <c r="N280" s="264" t="s">
        <v>1602</v>
      </c>
      <c r="O280" s="129"/>
      <c r="P280" s="129"/>
      <c r="Q280" s="129"/>
      <c r="R280" s="129"/>
      <c r="S280" s="129"/>
      <c r="T280" s="129"/>
      <c r="U280" s="129"/>
      <c r="V280" s="129"/>
      <c r="W280" s="129"/>
      <c r="X280" s="129"/>
      <c r="Y280" s="129"/>
      <c r="Z280" s="133"/>
      <c r="AA280" s="39"/>
      <c r="AB280" s="39"/>
      <c r="AC280" s="39"/>
      <c r="AD280" s="39"/>
      <c r="AE280" s="39"/>
      <c r="AF280" s="39"/>
      <c r="AG280" s="39"/>
      <c r="AH280" s="39"/>
      <c r="AI280" s="39"/>
      <c r="AJ280" s="39"/>
      <c r="AK280" s="39"/>
      <c r="AL280" s="39"/>
      <c r="AM280" s="39"/>
      <c r="AN280" s="39"/>
    </row>
    <row r="281" spans="1:40" s="486" customFormat="1" ht="105.75" customHeight="1">
      <c r="A281" s="483"/>
      <c r="B281" s="484" t="s">
        <v>105</v>
      </c>
      <c r="C281" s="485" t="s">
        <v>574</v>
      </c>
      <c r="D281" s="504" t="s">
        <v>921</v>
      </c>
      <c r="E281" s="129"/>
      <c r="F281" s="488" t="str">
        <f>""&amp;Table12[[#This Row],[TTM Stage]]&amp;Table12[[#This Row],[Task No.]]&amp;"-"&amp;Table12[[#This Row],[Type of activity]]&amp;"-"&amp;Table12[[#This Row],[TargetGroup]]</f>
        <v>A-M1 - A-Children</v>
      </c>
      <c r="G281" s="130" t="s">
        <v>962</v>
      </c>
      <c r="H281" s="130"/>
      <c r="I281" s="131"/>
      <c r="J281" s="489"/>
      <c r="K281" s="383" t="s">
        <v>1603</v>
      </c>
      <c r="L281" s="254" t="s">
        <v>75</v>
      </c>
      <c r="M281" s="505" t="s">
        <v>1604</v>
      </c>
      <c r="N281" s="264" t="s">
        <v>1605</v>
      </c>
      <c r="O281" s="129"/>
      <c r="P281" s="129"/>
      <c r="Q281" s="129"/>
      <c r="R281" s="129"/>
      <c r="S281" s="129"/>
      <c r="T281" s="129"/>
      <c r="U281" s="129"/>
      <c r="V281" s="129"/>
      <c r="W281" s="129"/>
      <c r="X281" s="129"/>
      <c r="Y281" s="129"/>
      <c r="Z281" s="133"/>
      <c r="AA281" s="39"/>
      <c r="AB281" s="39"/>
      <c r="AC281" s="39"/>
      <c r="AD281" s="39"/>
      <c r="AE281" s="39"/>
      <c r="AF281" s="39"/>
      <c r="AG281" s="39"/>
      <c r="AH281" s="39"/>
      <c r="AI281" s="39"/>
      <c r="AJ281" s="39"/>
      <c r="AK281" s="39"/>
      <c r="AL281" s="39"/>
      <c r="AM281" s="39"/>
      <c r="AN281" s="39"/>
    </row>
    <row r="282" spans="1:40" s="486" customFormat="1" ht="102.75" customHeight="1">
      <c r="A282" s="483"/>
      <c r="B282" s="484" t="s">
        <v>105</v>
      </c>
      <c r="C282" s="485" t="s">
        <v>574</v>
      </c>
      <c r="D282" s="508" t="s">
        <v>933</v>
      </c>
      <c r="E282" s="129"/>
      <c r="F282" s="488" t="str">
        <f>""&amp;Table12[[#This Row],[TTM Stage]]&amp;Table12[[#This Row],[Task No.]]&amp;"-"&amp;Table12[[#This Row],[Type of activity]]&amp;"-"&amp;Table12[[#This Row],[TargetGroup]]</f>
        <v>M-M1 - A-Children</v>
      </c>
      <c r="G282" s="130" t="s">
        <v>962</v>
      </c>
      <c r="H282" s="130"/>
      <c r="I282" s="131"/>
      <c r="J282" s="489"/>
      <c r="K282" s="383" t="s">
        <v>1606</v>
      </c>
      <c r="L282" s="254" t="s">
        <v>75</v>
      </c>
      <c r="M282" s="505" t="s">
        <v>1607</v>
      </c>
      <c r="N282" s="264" t="s">
        <v>1608</v>
      </c>
      <c r="O282" s="129"/>
      <c r="P282" s="129"/>
      <c r="Q282" s="129"/>
      <c r="R282" s="129"/>
      <c r="S282" s="129"/>
      <c r="T282" s="129"/>
      <c r="U282" s="129"/>
      <c r="V282" s="129"/>
      <c r="W282" s="129"/>
      <c r="X282" s="129"/>
      <c r="Y282" s="129"/>
      <c r="Z282" s="133"/>
      <c r="AA282" s="39"/>
      <c r="AB282" s="39"/>
      <c r="AC282" s="39"/>
      <c r="AD282" s="39"/>
      <c r="AE282" s="39"/>
      <c r="AF282" s="39"/>
      <c r="AG282" s="39"/>
      <c r="AH282" s="39"/>
      <c r="AI282" s="39"/>
      <c r="AJ282" s="39"/>
      <c r="AK282" s="39"/>
      <c r="AL282" s="39"/>
      <c r="AM282" s="39"/>
      <c r="AN282" s="39"/>
    </row>
    <row r="283" spans="1:40" s="486" customFormat="1" ht="86.25" customHeight="1">
      <c r="A283" s="483"/>
      <c r="B283" s="484" t="s">
        <v>105</v>
      </c>
      <c r="C283" s="485" t="s">
        <v>574</v>
      </c>
      <c r="D283" s="508" t="s">
        <v>933</v>
      </c>
      <c r="E283" s="129"/>
      <c r="F283" s="488" t="str">
        <f>""&amp;Table12[[#This Row],[TTM Stage]]&amp;Table12[[#This Row],[Task No.]]&amp;"-"&amp;Table12[[#This Row],[Type of activity]]&amp;"-"&amp;Table12[[#This Row],[TargetGroup]]</f>
        <v>M-M1 - A-Children</v>
      </c>
      <c r="G283" s="130" t="s">
        <v>962</v>
      </c>
      <c r="H283" s="130"/>
      <c r="I283" s="131"/>
      <c r="J283" s="489"/>
      <c r="K283" s="383" t="s">
        <v>1609</v>
      </c>
      <c r="L283" s="254" t="s">
        <v>75</v>
      </c>
      <c r="M283" s="509" t="s">
        <v>1610</v>
      </c>
      <c r="N283" s="264" t="s">
        <v>1611</v>
      </c>
      <c r="O283" s="129"/>
      <c r="P283" s="129"/>
      <c r="Q283" s="129"/>
      <c r="R283" s="129"/>
      <c r="S283" s="129"/>
      <c r="T283" s="129"/>
      <c r="U283" s="129"/>
      <c r="V283" s="129"/>
      <c r="W283" s="129"/>
      <c r="X283" s="129"/>
      <c r="Y283" s="129"/>
      <c r="Z283" s="133"/>
      <c r="AA283" s="39"/>
      <c r="AB283" s="39"/>
      <c r="AC283" s="39"/>
      <c r="AD283" s="39"/>
      <c r="AE283" s="39"/>
      <c r="AF283" s="39"/>
      <c r="AG283" s="39"/>
      <c r="AH283" s="39"/>
      <c r="AI283" s="39"/>
      <c r="AJ283" s="39"/>
      <c r="AK283" s="39"/>
      <c r="AL283" s="39"/>
      <c r="AM283" s="39"/>
      <c r="AN283" s="39"/>
    </row>
    <row r="284" spans="1:40" s="486" customFormat="1" ht="24.75" customHeight="1">
      <c r="A284" s="483"/>
      <c r="B284" s="484" t="s">
        <v>105</v>
      </c>
      <c r="C284" s="485" t="s">
        <v>574</v>
      </c>
      <c r="D284" s="508" t="s">
        <v>933</v>
      </c>
      <c r="E284" s="129"/>
      <c r="F284" s="488" t="str">
        <f>""&amp;Table12[[#This Row],[TTM Stage]]&amp;Table12[[#This Row],[Task No.]]&amp;"-"&amp;Table12[[#This Row],[Type of activity]]&amp;"-"&amp;Table12[[#This Row],[TargetGroup]]</f>
        <v>M-M1 - A-Children</v>
      </c>
      <c r="G284" s="130" t="s">
        <v>962</v>
      </c>
      <c r="H284" s="130"/>
      <c r="I284" s="131"/>
      <c r="J284" s="489"/>
      <c r="K284" s="383" t="s">
        <v>1612</v>
      </c>
      <c r="L284" s="254" t="s">
        <v>75</v>
      </c>
      <c r="M284" s="505" t="s">
        <v>1613</v>
      </c>
      <c r="N284" s="264"/>
      <c r="O284" s="129"/>
      <c r="P284" s="129"/>
      <c r="Q284" s="129"/>
      <c r="R284" s="129"/>
      <c r="S284" s="129"/>
      <c r="T284" s="129"/>
      <c r="U284" s="129"/>
      <c r="V284" s="129"/>
      <c r="W284" s="129"/>
      <c r="X284" s="129"/>
      <c r="Y284" s="129"/>
      <c r="Z284" s="133"/>
      <c r="AA284" s="39"/>
      <c r="AB284" s="39"/>
      <c r="AC284" s="39"/>
      <c r="AD284" s="39"/>
      <c r="AE284" s="39"/>
      <c r="AF284" s="39"/>
      <c r="AG284" s="39"/>
      <c r="AH284" s="39"/>
      <c r="AI284" s="39"/>
      <c r="AJ284" s="39"/>
      <c r="AK284" s="39"/>
      <c r="AL284" s="39"/>
      <c r="AM284" s="39"/>
      <c r="AN284" s="39"/>
    </row>
    <row r="285" spans="1:40" s="486" customFormat="1" ht="36.75" customHeight="1">
      <c r="A285" s="483"/>
      <c r="B285" s="484" t="s">
        <v>105</v>
      </c>
      <c r="C285" s="485" t="s">
        <v>574</v>
      </c>
      <c r="D285" s="508" t="s">
        <v>933</v>
      </c>
      <c r="E285" s="129"/>
      <c r="F285" s="488" t="str">
        <f>""&amp;Table12[[#This Row],[TTM Stage]]&amp;Table12[[#This Row],[Task No.]]&amp;"-"&amp;Table12[[#This Row],[Type of activity]]&amp;"-"&amp;Table12[[#This Row],[TargetGroup]]</f>
        <v>M-M1 - A-Children</v>
      </c>
      <c r="G285" s="130" t="s">
        <v>962</v>
      </c>
      <c r="H285" s="130"/>
      <c r="I285" s="131"/>
      <c r="J285" s="489"/>
      <c r="K285" s="383" t="s">
        <v>1614</v>
      </c>
      <c r="L285" s="254" t="s">
        <v>75</v>
      </c>
      <c r="M285" s="505" t="s">
        <v>1615</v>
      </c>
      <c r="N285" s="264"/>
      <c r="O285" s="129"/>
      <c r="P285" s="129"/>
      <c r="Q285" s="129"/>
      <c r="R285" s="129"/>
      <c r="S285" s="129"/>
      <c r="T285" s="129"/>
      <c r="U285" s="129"/>
      <c r="V285" s="129"/>
      <c r="W285" s="129"/>
      <c r="X285" s="129"/>
      <c r="Y285" s="129"/>
      <c r="Z285" s="133"/>
      <c r="AA285" s="39"/>
      <c r="AB285" s="39"/>
      <c r="AC285" s="39"/>
      <c r="AD285" s="39"/>
      <c r="AE285" s="39"/>
      <c r="AF285" s="39"/>
      <c r="AG285" s="39"/>
      <c r="AH285" s="39"/>
      <c r="AI285" s="39"/>
      <c r="AJ285" s="39"/>
      <c r="AK285" s="39"/>
      <c r="AL285" s="39"/>
      <c r="AM285" s="39"/>
      <c r="AN285" s="39"/>
    </row>
    <row r="286" spans="1:40" s="486" customFormat="1" ht="57.75">
      <c r="A286" s="483"/>
      <c r="B286" s="510" t="s">
        <v>108</v>
      </c>
      <c r="C286" s="511" t="s">
        <v>593</v>
      </c>
      <c r="D286" s="487" t="s">
        <v>891</v>
      </c>
      <c r="E286" s="129"/>
      <c r="F286" s="488" t="str">
        <f>""&amp;Table12[[#This Row],[TTM Stage]]&amp;Table12[[#This Row],[Task No.]]&amp;"-"&amp;Table12[[#This Row],[Type of activity]]&amp;"-"&amp;Table12[[#This Row],[TargetGroup]]</f>
        <v>PC-M2- A-Children</v>
      </c>
      <c r="G286" s="130" t="s">
        <v>900</v>
      </c>
      <c r="H286" s="130"/>
      <c r="I286" s="131"/>
      <c r="J286" s="489"/>
      <c r="K286" s="383" t="s">
        <v>1616</v>
      </c>
      <c r="L286" s="254" t="s">
        <v>75</v>
      </c>
      <c r="M286" s="509" t="s">
        <v>1617</v>
      </c>
      <c r="N286" s="264"/>
      <c r="O286" s="129"/>
      <c r="P286" s="129"/>
      <c r="Q286" s="129"/>
      <c r="R286" s="129"/>
      <c r="S286" s="129"/>
      <c r="T286" s="129"/>
      <c r="U286" s="129"/>
      <c r="V286" s="129"/>
      <c r="W286" s="129"/>
      <c r="X286" s="129"/>
      <c r="Y286" s="129"/>
      <c r="Z286" s="133"/>
      <c r="AA286" s="39"/>
      <c r="AB286" s="39"/>
      <c r="AC286" s="39"/>
      <c r="AD286" s="39"/>
      <c r="AE286" s="39"/>
      <c r="AF286" s="39"/>
      <c r="AG286" s="39"/>
      <c r="AH286" s="39"/>
      <c r="AI286" s="39"/>
      <c r="AJ286" s="39"/>
      <c r="AK286" s="39"/>
      <c r="AL286" s="39"/>
      <c r="AM286" s="39"/>
      <c r="AN286" s="39"/>
    </row>
    <row r="287" spans="1:40" s="486" customFormat="1" ht="126.75" customHeight="1">
      <c r="A287" s="483"/>
      <c r="B287" s="510" t="s">
        <v>108</v>
      </c>
      <c r="C287" s="511" t="s">
        <v>593</v>
      </c>
      <c r="D287" s="714" t="s">
        <v>891</v>
      </c>
      <c r="E287" s="715">
        <v>2</v>
      </c>
      <c r="F287" s="716" t="str">
        <f>""&amp;Table12[[#This Row],[TTM Stage]]&amp;Table12[[#This Row],[Task No.]]&amp;"-"&amp;Table12[[#This Row],[Type of activity]]&amp;"-"&amp;Table12[[#This Row],[TargetGroup]]</f>
        <v>PC2-M2- A-Children</v>
      </c>
      <c r="G287" s="717" t="s">
        <v>1263</v>
      </c>
      <c r="H287" s="717"/>
      <c r="I287" s="718"/>
      <c r="J287" s="719"/>
      <c r="K287" s="720" t="s">
        <v>1618</v>
      </c>
      <c r="L287" s="721" t="s">
        <v>75</v>
      </c>
      <c r="M287" s="722" t="s">
        <v>1619</v>
      </c>
      <c r="N287" s="264"/>
      <c r="O287" s="129"/>
      <c r="P287" s="129"/>
      <c r="Q287" s="129"/>
      <c r="R287" s="129"/>
      <c r="S287" s="129"/>
      <c r="T287" s="129"/>
      <c r="U287" s="129"/>
      <c r="V287" s="129"/>
      <c r="W287" s="129"/>
      <c r="X287" s="129"/>
      <c r="Y287" s="129"/>
      <c r="Z287" s="133"/>
      <c r="AA287" s="39"/>
      <c r="AB287" s="39"/>
      <c r="AC287" s="39"/>
      <c r="AD287" s="39"/>
      <c r="AE287" s="39"/>
      <c r="AF287" s="39"/>
      <c r="AG287" s="39"/>
      <c r="AH287" s="39"/>
      <c r="AI287" s="39"/>
      <c r="AJ287" s="39"/>
      <c r="AK287" s="39"/>
      <c r="AL287" s="39"/>
      <c r="AM287" s="39"/>
      <c r="AN287" s="39"/>
    </row>
    <row r="288" spans="1:40" s="486" customFormat="1" ht="72.75">
      <c r="A288" s="483"/>
      <c r="B288" s="510" t="s">
        <v>108</v>
      </c>
      <c r="C288" s="511" t="s">
        <v>593</v>
      </c>
      <c r="D288" s="490" t="s">
        <v>899</v>
      </c>
      <c r="E288" s="129"/>
      <c r="F288" s="488" t="str">
        <f>""&amp;Table12[[#This Row],[TTM Stage]]&amp;Table12[[#This Row],[Task No.]]&amp;"-"&amp;Table12[[#This Row],[Type of activity]]&amp;"-"&amp;Table12[[#This Row],[TargetGroup]]</f>
        <v>C-M2- A-Children</v>
      </c>
      <c r="G288" s="130" t="s">
        <v>946</v>
      </c>
      <c r="H288" s="130"/>
      <c r="I288" s="131"/>
      <c r="J288" s="489"/>
      <c r="K288" s="383" t="s">
        <v>1620</v>
      </c>
      <c r="L288" s="254" t="s">
        <v>75</v>
      </c>
      <c r="M288" s="505" t="s">
        <v>1621</v>
      </c>
      <c r="N288" s="264" t="s">
        <v>1622</v>
      </c>
      <c r="O288" s="129"/>
      <c r="P288" s="129"/>
      <c r="Q288" s="129"/>
      <c r="R288" s="129"/>
      <c r="S288" s="129"/>
      <c r="T288" s="129"/>
      <c r="U288" s="129"/>
      <c r="V288" s="129"/>
      <c r="W288" s="129"/>
      <c r="X288" s="129"/>
      <c r="Y288" s="129"/>
      <c r="Z288" s="133"/>
      <c r="AA288" s="39"/>
      <c r="AB288" s="39"/>
      <c r="AC288" s="39"/>
      <c r="AD288" s="39"/>
      <c r="AE288" s="39"/>
      <c r="AF288" s="39"/>
      <c r="AG288" s="39"/>
      <c r="AH288" s="39"/>
      <c r="AI288" s="39"/>
      <c r="AJ288" s="39"/>
      <c r="AK288" s="39"/>
      <c r="AL288" s="39"/>
      <c r="AM288" s="39"/>
      <c r="AN288" s="39"/>
    </row>
    <row r="289" spans="1:40" s="486" customFormat="1" ht="66" customHeight="1">
      <c r="A289" s="483"/>
      <c r="B289" s="510" t="s">
        <v>108</v>
      </c>
      <c r="C289" s="511" t="s">
        <v>593</v>
      </c>
      <c r="D289" s="490" t="s">
        <v>899</v>
      </c>
      <c r="E289" s="129"/>
      <c r="F289" s="488" t="str">
        <f>""&amp;Table12[[#This Row],[TTM Stage]]&amp;Table12[[#This Row],[Task No.]]&amp;"-"&amp;Table12[[#This Row],[Type of activity]]&amp;"-"&amp;Table12[[#This Row],[TargetGroup]]</f>
        <v>C-M2- A-Children</v>
      </c>
      <c r="G289" s="130" t="s">
        <v>900</v>
      </c>
      <c r="H289" s="130"/>
      <c r="I289" s="131"/>
      <c r="J289" s="489"/>
      <c r="K289" s="383" t="s">
        <v>1623</v>
      </c>
      <c r="L289" s="254" t="s">
        <v>75</v>
      </c>
      <c r="M289" s="505" t="s">
        <v>1624</v>
      </c>
      <c r="N289" s="264"/>
      <c r="O289" s="129"/>
      <c r="P289" s="129"/>
      <c r="Q289" s="129"/>
      <c r="R289" s="129"/>
      <c r="S289" s="129"/>
      <c r="T289" s="129"/>
      <c r="U289" s="129"/>
      <c r="V289" s="129"/>
      <c r="W289" s="129"/>
      <c r="X289" s="129"/>
      <c r="Y289" s="129"/>
      <c r="Z289" s="133"/>
      <c r="AA289" s="39"/>
      <c r="AB289" s="39"/>
      <c r="AC289" s="39"/>
      <c r="AD289" s="39"/>
      <c r="AE289" s="39"/>
      <c r="AF289" s="39"/>
      <c r="AG289" s="39"/>
      <c r="AH289" s="39"/>
      <c r="AI289" s="39"/>
      <c r="AJ289" s="39"/>
      <c r="AK289" s="39"/>
      <c r="AL289" s="39"/>
      <c r="AM289" s="39"/>
      <c r="AN289" s="39"/>
    </row>
    <row r="290" spans="1:40" s="486" customFormat="1" ht="128.25" customHeight="1">
      <c r="A290" s="483"/>
      <c r="B290" s="510" t="s">
        <v>108</v>
      </c>
      <c r="C290" s="511" t="s">
        <v>593</v>
      </c>
      <c r="D290" s="503" t="s">
        <v>908</v>
      </c>
      <c r="E290" s="129"/>
      <c r="F290" s="488" t="str">
        <f>""&amp;Table12[[#This Row],[TTM Stage]]&amp;Table12[[#This Row],[Task No.]]&amp;"-"&amp;Table12[[#This Row],[Type of activity]]&amp;"-"&amp;Table12[[#This Row],[TargetGroup]]</f>
        <v>P-M2- A-Children</v>
      </c>
      <c r="G290" s="130" t="s">
        <v>957</v>
      </c>
      <c r="H290" s="130"/>
      <c r="I290" s="131"/>
      <c r="J290" s="489"/>
      <c r="K290" s="383" t="s">
        <v>1625</v>
      </c>
      <c r="L290" s="254" t="s">
        <v>75</v>
      </c>
      <c r="M290" s="509" t="s">
        <v>1626</v>
      </c>
      <c r="N290" s="264" t="s">
        <v>1627</v>
      </c>
      <c r="O290" s="129"/>
      <c r="P290" s="129"/>
      <c r="Q290" s="129"/>
      <c r="R290" s="129"/>
      <c r="S290" s="129"/>
      <c r="T290" s="129"/>
      <c r="U290" s="129"/>
      <c r="V290" s="129"/>
      <c r="W290" s="129"/>
      <c r="X290" s="129"/>
      <c r="Y290" s="129"/>
      <c r="Z290" s="133"/>
      <c r="AA290" s="39"/>
      <c r="AB290" s="39"/>
      <c r="AC290" s="39"/>
      <c r="AD290" s="39"/>
      <c r="AE290" s="39"/>
      <c r="AF290" s="39"/>
      <c r="AG290" s="39"/>
      <c r="AH290" s="39"/>
      <c r="AI290" s="39"/>
      <c r="AJ290" s="39"/>
      <c r="AK290" s="39"/>
      <c r="AL290" s="39"/>
      <c r="AM290" s="39"/>
      <c r="AN290" s="39"/>
    </row>
    <row r="291" spans="1:40" s="486" customFormat="1" ht="67.5" customHeight="1">
      <c r="A291" s="483"/>
      <c r="B291" s="510" t="s">
        <v>108</v>
      </c>
      <c r="C291" s="511" t="s">
        <v>593</v>
      </c>
      <c r="D291" s="503" t="s">
        <v>908</v>
      </c>
      <c r="E291" s="129"/>
      <c r="F291" s="488" t="str">
        <f>""&amp;Table12[[#This Row],[TTM Stage]]&amp;Table12[[#This Row],[Task No.]]&amp;"-"&amp;Table12[[#This Row],[Type of activity]]&amp;"-"&amp;Table12[[#This Row],[TargetGroup]]</f>
        <v>P-M2- A-Children</v>
      </c>
      <c r="G291" s="130" t="s">
        <v>957</v>
      </c>
      <c r="H291" s="130"/>
      <c r="I291" s="131"/>
      <c r="J291" s="489"/>
      <c r="K291" s="383" t="s">
        <v>1628</v>
      </c>
      <c r="L291" s="254" t="s">
        <v>75</v>
      </c>
      <c r="M291" s="509" t="s">
        <v>1629</v>
      </c>
      <c r="N291" s="264"/>
      <c r="O291" s="129"/>
      <c r="P291" s="129"/>
      <c r="Q291" s="129"/>
      <c r="R291" s="129"/>
      <c r="S291" s="129"/>
      <c r="T291" s="129"/>
      <c r="U291" s="129"/>
      <c r="V291" s="129"/>
      <c r="W291" s="129"/>
      <c r="X291" s="129"/>
      <c r="Y291" s="129"/>
      <c r="Z291" s="133"/>
      <c r="AA291" s="39"/>
      <c r="AB291" s="39"/>
      <c r="AC291" s="39"/>
      <c r="AD291" s="39"/>
      <c r="AE291" s="39"/>
      <c r="AF291" s="39"/>
      <c r="AG291" s="39"/>
      <c r="AH291" s="39"/>
      <c r="AI291" s="39"/>
      <c r="AJ291" s="39"/>
      <c r="AK291" s="39"/>
      <c r="AL291" s="39"/>
      <c r="AM291" s="39"/>
      <c r="AN291" s="39"/>
    </row>
    <row r="292" spans="1:40" s="486" customFormat="1" ht="109.5" customHeight="1">
      <c r="A292" s="483"/>
      <c r="B292" s="510" t="s">
        <v>108</v>
      </c>
      <c r="C292" s="511" t="s">
        <v>593</v>
      </c>
      <c r="D292" s="504" t="s">
        <v>921</v>
      </c>
      <c r="E292" s="129"/>
      <c r="F292" s="488" t="str">
        <f>""&amp;Table12[[#This Row],[TTM Stage]]&amp;Table12[[#This Row],[Task No.]]&amp;"-"&amp;Table12[[#This Row],[Type of activity]]&amp;"-"&amp;Table12[[#This Row],[TargetGroup]]</f>
        <v>A-M2- A-Children</v>
      </c>
      <c r="G292" s="130" t="s">
        <v>962</v>
      </c>
      <c r="H292" s="130"/>
      <c r="I292" s="131"/>
      <c r="J292" s="489"/>
      <c r="K292" s="383" t="s">
        <v>1630</v>
      </c>
      <c r="L292" s="254" t="s">
        <v>75</v>
      </c>
      <c r="M292" s="512" t="s">
        <v>1631</v>
      </c>
      <c r="N292" s="264" t="s">
        <v>1632</v>
      </c>
      <c r="O292" s="129"/>
      <c r="P292" s="129"/>
      <c r="Q292" s="129"/>
      <c r="R292" s="129"/>
      <c r="S292" s="129"/>
      <c r="T292" s="129"/>
      <c r="U292" s="129"/>
      <c r="V292" s="129"/>
      <c r="W292" s="129"/>
      <c r="X292" s="129"/>
      <c r="Y292" s="129"/>
      <c r="Z292" s="133"/>
      <c r="AA292" s="39"/>
      <c r="AB292" s="39"/>
      <c r="AC292" s="39"/>
      <c r="AD292" s="39"/>
      <c r="AE292" s="39"/>
      <c r="AF292" s="39"/>
      <c r="AG292" s="39"/>
      <c r="AH292" s="39"/>
      <c r="AI292" s="39"/>
      <c r="AJ292" s="39"/>
      <c r="AK292" s="39"/>
      <c r="AL292" s="39"/>
      <c r="AM292" s="39"/>
      <c r="AN292" s="39"/>
    </row>
    <row r="293" spans="1:40" s="486" customFormat="1" ht="115.5">
      <c r="A293" s="483"/>
      <c r="B293" s="510" t="s">
        <v>108</v>
      </c>
      <c r="C293" s="511" t="s">
        <v>593</v>
      </c>
      <c r="D293" s="504" t="s">
        <v>921</v>
      </c>
      <c r="E293" s="129"/>
      <c r="F293" s="488" t="str">
        <f>""&amp;Table12[[#This Row],[TTM Stage]]&amp;Table12[[#This Row],[Task No.]]&amp;"-"&amp;Table12[[#This Row],[Type of activity]]&amp;"-"&amp;Table12[[#This Row],[TargetGroup]]</f>
        <v>A-M2- A-Children</v>
      </c>
      <c r="G293" s="130" t="s">
        <v>962</v>
      </c>
      <c r="H293" s="130"/>
      <c r="I293" s="131"/>
      <c r="J293" s="489"/>
      <c r="K293" s="383" t="s">
        <v>1633</v>
      </c>
      <c r="L293" s="254" t="s">
        <v>75</v>
      </c>
      <c r="M293" s="509" t="s">
        <v>1634</v>
      </c>
      <c r="N293" s="264" t="s">
        <v>1635</v>
      </c>
      <c r="O293" s="129"/>
      <c r="P293" s="129"/>
      <c r="Q293" s="129"/>
      <c r="R293" s="129"/>
      <c r="S293" s="129"/>
      <c r="T293" s="129"/>
      <c r="U293" s="129"/>
      <c r="V293" s="129"/>
      <c r="W293" s="129"/>
      <c r="X293" s="129"/>
      <c r="Y293" s="129"/>
      <c r="Z293" s="133"/>
      <c r="AA293" s="39"/>
      <c r="AB293" s="39"/>
      <c r="AC293" s="39"/>
      <c r="AD293" s="39"/>
      <c r="AE293" s="39"/>
      <c r="AF293" s="39"/>
      <c r="AG293" s="39"/>
      <c r="AH293" s="39"/>
      <c r="AI293" s="39"/>
      <c r="AJ293" s="39"/>
      <c r="AK293" s="39"/>
      <c r="AL293" s="39"/>
      <c r="AM293" s="39"/>
      <c r="AN293" s="39"/>
    </row>
    <row r="294" spans="1:40" s="486" customFormat="1" ht="132" customHeight="1">
      <c r="A294" s="483"/>
      <c r="B294" s="510" t="s">
        <v>108</v>
      </c>
      <c r="C294" s="511" t="s">
        <v>593</v>
      </c>
      <c r="D294" s="504" t="s">
        <v>921</v>
      </c>
      <c r="E294" s="129"/>
      <c r="F294" s="488" t="str">
        <f>""&amp;Table12[[#This Row],[TTM Stage]]&amp;Table12[[#This Row],[Task No.]]&amp;"-"&amp;Table12[[#This Row],[Type of activity]]&amp;"-"&amp;Table12[[#This Row],[TargetGroup]]</f>
        <v>A-M2- A-Children</v>
      </c>
      <c r="G294" s="130" t="s">
        <v>962</v>
      </c>
      <c r="H294" s="130"/>
      <c r="I294" s="131"/>
      <c r="J294" s="489"/>
      <c r="K294" s="383" t="s">
        <v>1636</v>
      </c>
      <c r="L294" s="254" t="s">
        <v>75</v>
      </c>
      <c r="M294" s="509" t="s">
        <v>1637</v>
      </c>
      <c r="N294" s="264" t="s">
        <v>1638</v>
      </c>
      <c r="O294" s="129"/>
      <c r="P294" s="129"/>
      <c r="Q294" s="129"/>
      <c r="R294" s="129"/>
      <c r="S294" s="129"/>
      <c r="T294" s="129"/>
      <c r="U294" s="129"/>
      <c r="V294" s="129"/>
      <c r="W294" s="129"/>
      <c r="X294" s="129"/>
      <c r="Y294" s="129"/>
      <c r="Z294" s="133"/>
      <c r="AA294" s="39"/>
      <c r="AB294" s="39"/>
      <c r="AC294" s="39"/>
      <c r="AD294" s="39"/>
      <c r="AE294" s="39"/>
      <c r="AF294" s="39"/>
      <c r="AG294" s="39"/>
      <c r="AH294" s="39"/>
      <c r="AI294" s="39"/>
      <c r="AJ294" s="39"/>
      <c r="AK294" s="39"/>
      <c r="AL294" s="39"/>
      <c r="AM294" s="39"/>
      <c r="AN294" s="39"/>
    </row>
    <row r="295" spans="1:40" s="486" customFormat="1" ht="131.25" customHeight="1">
      <c r="A295" s="483"/>
      <c r="B295" s="510" t="s">
        <v>108</v>
      </c>
      <c r="C295" s="511" t="s">
        <v>593</v>
      </c>
      <c r="D295" s="504" t="s">
        <v>921</v>
      </c>
      <c r="E295" s="129"/>
      <c r="F295" s="488" t="str">
        <f>""&amp;Table12[[#This Row],[TTM Stage]]&amp;Table12[[#This Row],[Task No.]]&amp;"-"&amp;Table12[[#This Row],[Type of activity]]&amp;"-"&amp;Table12[[#This Row],[TargetGroup]]</f>
        <v>A-M2- A-Children</v>
      </c>
      <c r="G295" s="130" t="s">
        <v>962</v>
      </c>
      <c r="H295" s="130"/>
      <c r="I295" s="131"/>
      <c r="J295" s="489"/>
      <c r="K295" s="383" t="s">
        <v>1639</v>
      </c>
      <c r="L295" s="254" t="s">
        <v>75</v>
      </c>
      <c r="M295" s="512" t="s">
        <v>1640</v>
      </c>
      <c r="N295" s="264" t="s">
        <v>1641</v>
      </c>
      <c r="O295" s="129"/>
      <c r="P295" s="129"/>
      <c r="Q295" s="129"/>
      <c r="R295" s="129"/>
      <c r="S295" s="129"/>
      <c r="T295" s="129"/>
      <c r="U295" s="129"/>
      <c r="V295" s="129"/>
      <c r="W295" s="129"/>
      <c r="X295" s="129"/>
      <c r="Y295" s="129"/>
      <c r="Z295" s="133"/>
      <c r="AA295" s="39"/>
      <c r="AB295" s="39"/>
      <c r="AC295" s="39"/>
      <c r="AD295" s="39"/>
      <c r="AE295" s="39"/>
      <c r="AF295" s="39"/>
      <c r="AG295" s="39"/>
      <c r="AH295" s="39"/>
      <c r="AI295" s="39"/>
      <c r="AJ295" s="39"/>
      <c r="AK295" s="39"/>
      <c r="AL295" s="39"/>
      <c r="AM295" s="39"/>
      <c r="AN295" s="39"/>
    </row>
    <row r="296" spans="1:40" s="486" customFormat="1" ht="37.5" customHeight="1">
      <c r="A296" s="483"/>
      <c r="B296" s="510" t="s">
        <v>108</v>
      </c>
      <c r="C296" s="511" t="s">
        <v>593</v>
      </c>
      <c r="D296" s="508" t="s">
        <v>933</v>
      </c>
      <c r="E296" s="129"/>
      <c r="F296" s="488" t="str">
        <f>""&amp;Table12[[#This Row],[TTM Stage]]&amp;Table12[[#This Row],[Task No.]]&amp;"-"&amp;Table12[[#This Row],[Type of activity]]&amp;"-"&amp;Table12[[#This Row],[TargetGroup]]</f>
        <v>M-M2- A-Children</v>
      </c>
      <c r="G296" s="130" t="s">
        <v>962</v>
      </c>
      <c r="H296" s="130"/>
      <c r="I296" s="131"/>
      <c r="J296" s="489"/>
      <c r="K296" s="535" t="s">
        <v>1642</v>
      </c>
      <c r="L296" s="254" t="s">
        <v>75</v>
      </c>
      <c r="M296" s="505" t="s">
        <v>1643</v>
      </c>
      <c r="N296" s="264"/>
      <c r="O296" s="129"/>
      <c r="P296" s="129"/>
      <c r="Q296" s="129"/>
      <c r="R296" s="129"/>
      <c r="S296" s="129"/>
      <c r="T296" s="129"/>
      <c r="U296" s="129"/>
      <c r="V296" s="129"/>
      <c r="W296" s="129"/>
      <c r="X296" s="129"/>
      <c r="Y296" s="129"/>
      <c r="Z296" s="133"/>
      <c r="AA296" s="39"/>
      <c r="AB296" s="39"/>
      <c r="AC296" s="39"/>
      <c r="AD296" s="39"/>
      <c r="AE296" s="39"/>
      <c r="AF296" s="39"/>
      <c r="AG296" s="39"/>
      <c r="AH296" s="39"/>
      <c r="AI296" s="39"/>
      <c r="AJ296" s="39"/>
      <c r="AK296" s="39"/>
      <c r="AL296" s="39"/>
      <c r="AM296" s="39"/>
      <c r="AN296" s="39"/>
    </row>
    <row r="297" spans="1:40" s="486" customFormat="1" ht="40.5" customHeight="1">
      <c r="A297" s="483"/>
      <c r="B297" s="510" t="s">
        <v>108</v>
      </c>
      <c r="C297" s="511" t="s">
        <v>593</v>
      </c>
      <c r="D297" s="508" t="s">
        <v>933</v>
      </c>
      <c r="E297" s="129"/>
      <c r="F297" s="488" t="str">
        <f>""&amp;Table12[[#This Row],[TTM Stage]]&amp;Table12[[#This Row],[Task No.]]&amp;"-"&amp;Table12[[#This Row],[Type of activity]]&amp;"-"&amp;Table12[[#This Row],[TargetGroup]]</f>
        <v>M-M2- A-Children</v>
      </c>
      <c r="G297" s="130" t="s">
        <v>962</v>
      </c>
      <c r="H297" s="130"/>
      <c r="I297" s="131"/>
      <c r="J297" s="489"/>
      <c r="K297" s="383" t="s">
        <v>1644</v>
      </c>
      <c r="L297" s="254" t="s">
        <v>75</v>
      </c>
      <c r="M297" s="509" t="s">
        <v>1645</v>
      </c>
      <c r="N297" s="264"/>
      <c r="O297" s="129"/>
      <c r="P297" s="129"/>
      <c r="Q297" s="129"/>
      <c r="R297" s="129"/>
      <c r="S297" s="129"/>
      <c r="T297" s="129"/>
      <c r="U297" s="129"/>
      <c r="V297" s="129"/>
      <c r="W297" s="129"/>
      <c r="X297" s="129"/>
      <c r="Y297" s="129"/>
      <c r="Z297" s="133"/>
      <c r="AA297" s="39"/>
      <c r="AB297" s="39"/>
      <c r="AC297" s="39"/>
      <c r="AD297" s="39"/>
      <c r="AE297" s="39"/>
      <c r="AF297" s="39"/>
      <c r="AG297" s="39"/>
      <c r="AH297" s="39"/>
      <c r="AI297" s="39"/>
      <c r="AJ297" s="39"/>
      <c r="AK297" s="39"/>
      <c r="AL297" s="39"/>
      <c r="AM297" s="39"/>
      <c r="AN297" s="39"/>
    </row>
    <row r="298" spans="1:40" s="486" customFormat="1" ht="101.25">
      <c r="A298" s="483"/>
      <c r="B298" s="510" t="s">
        <v>108</v>
      </c>
      <c r="C298" s="511" t="s">
        <v>593</v>
      </c>
      <c r="D298" s="508" t="s">
        <v>933</v>
      </c>
      <c r="E298" s="129"/>
      <c r="F298" s="488" t="str">
        <f>""&amp;Table12[[#This Row],[TTM Stage]]&amp;Table12[[#This Row],[Task No.]]&amp;"-"&amp;Table12[[#This Row],[Type of activity]]&amp;"-"&amp;Table12[[#This Row],[TargetGroup]]</f>
        <v>M-M2- A-Children</v>
      </c>
      <c r="G298" s="130" t="s">
        <v>962</v>
      </c>
      <c r="H298" s="130"/>
      <c r="I298" s="131"/>
      <c r="J298" s="489"/>
      <c r="K298" s="383" t="s">
        <v>1646</v>
      </c>
      <c r="L298" s="254" t="s">
        <v>75</v>
      </c>
      <c r="M298" s="509" t="s">
        <v>1647</v>
      </c>
      <c r="N298" s="264" t="s">
        <v>1648</v>
      </c>
      <c r="O298" s="129"/>
      <c r="P298" s="129"/>
      <c r="Q298" s="129"/>
      <c r="R298" s="129"/>
      <c r="S298" s="129"/>
      <c r="T298" s="129"/>
      <c r="U298" s="129"/>
      <c r="V298" s="129"/>
      <c r="W298" s="129"/>
      <c r="X298" s="129"/>
      <c r="Y298" s="129"/>
      <c r="Z298" s="133"/>
      <c r="AA298" s="39"/>
      <c r="AB298" s="39"/>
      <c r="AC298" s="39"/>
      <c r="AD298" s="39"/>
      <c r="AE298" s="39"/>
      <c r="AF298" s="39"/>
      <c r="AG298" s="39"/>
      <c r="AH298" s="39"/>
      <c r="AI298" s="39"/>
      <c r="AJ298" s="39"/>
      <c r="AK298" s="39"/>
      <c r="AL298" s="39"/>
      <c r="AM298" s="39"/>
      <c r="AN298" s="39"/>
    </row>
    <row r="299" spans="1:40" s="486" customFormat="1" ht="43.5" customHeight="1">
      <c r="A299" s="483"/>
      <c r="B299" s="510" t="s">
        <v>108</v>
      </c>
      <c r="C299" s="511" t="s">
        <v>593</v>
      </c>
      <c r="D299" s="508" t="s">
        <v>933</v>
      </c>
      <c r="E299" s="129"/>
      <c r="F299" s="488" t="str">
        <f>""&amp;Table12[[#This Row],[TTM Stage]]&amp;Table12[[#This Row],[Task No.]]&amp;"-"&amp;Table12[[#This Row],[Type of activity]]&amp;"-"&amp;Table12[[#This Row],[TargetGroup]]</f>
        <v>M-M2- A-Children</v>
      </c>
      <c r="G299" s="130" t="s">
        <v>962</v>
      </c>
      <c r="H299" s="130"/>
      <c r="I299" s="131"/>
      <c r="J299" s="489"/>
      <c r="K299" s="383" t="s">
        <v>1649</v>
      </c>
      <c r="L299" s="254" t="s">
        <v>75</v>
      </c>
      <c r="M299" s="513" t="s">
        <v>1650</v>
      </c>
      <c r="N299" s="264"/>
      <c r="O299" s="129"/>
      <c r="P299" s="129"/>
      <c r="Q299" s="129"/>
      <c r="R299" s="129"/>
      <c r="S299" s="129"/>
      <c r="T299" s="129"/>
      <c r="U299" s="129"/>
      <c r="V299" s="129"/>
      <c r="W299" s="129"/>
      <c r="X299" s="129"/>
      <c r="Y299" s="129"/>
      <c r="Z299" s="133"/>
      <c r="AA299" s="39"/>
      <c r="AB299" s="39"/>
      <c r="AC299" s="39"/>
      <c r="AD299" s="39"/>
      <c r="AE299" s="39"/>
      <c r="AF299" s="39"/>
      <c r="AG299" s="39"/>
      <c r="AH299" s="39"/>
      <c r="AI299" s="39"/>
      <c r="AJ299" s="39"/>
      <c r="AK299" s="39"/>
      <c r="AL299" s="39"/>
      <c r="AM299" s="39"/>
      <c r="AN299" s="39"/>
    </row>
    <row r="300" spans="1:40" s="486" customFormat="1" ht="34.5" customHeight="1">
      <c r="A300" s="483"/>
      <c r="B300" s="514" t="s">
        <v>111</v>
      </c>
      <c r="C300" s="515" t="s">
        <v>611</v>
      </c>
      <c r="D300" s="487" t="s">
        <v>891</v>
      </c>
      <c r="E300" s="129"/>
      <c r="F300" s="488" t="str">
        <f>""&amp;Table12[[#This Row],[TTM Stage]]&amp;Table12[[#This Row],[Task No.]]&amp;"-"&amp;Table12[[#This Row],[Type of activity]]&amp;"-"&amp;Table12[[#This Row],[TargetGroup]]</f>
        <v>PC-M3 - A-Children</v>
      </c>
      <c r="G300" s="130" t="s">
        <v>957</v>
      </c>
      <c r="H300" s="130"/>
      <c r="I300" s="131"/>
      <c r="J300" s="489"/>
      <c r="K300" s="383" t="s">
        <v>1651</v>
      </c>
      <c r="L300" s="254" t="s">
        <v>75</v>
      </c>
      <c r="M300" s="512" t="s">
        <v>1652</v>
      </c>
      <c r="N300" s="264" t="s">
        <v>1653</v>
      </c>
      <c r="O300" s="129"/>
      <c r="P300" s="129"/>
      <c r="Q300" s="129"/>
      <c r="R300" s="129"/>
      <c r="S300" s="129"/>
      <c r="T300" s="129"/>
      <c r="U300" s="129"/>
      <c r="V300" s="129"/>
      <c r="W300" s="129"/>
      <c r="X300" s="129"/>
      <c r="Y300" s="129"/>
      <c r="Z300" s="133"/>
      <c r="AA300" s="39"/>
      <c r="AB300" s="39"/>
      <c r="AC300" s="39"/>
      <c r="AD300" s="39"/>
      <c r="AE300" s="39"/>
      <c r="AF300" s="39"/>
      <c r="AG300" s="39"/>
      <c r="AH300" s="39"/>
      <c r="AI300" s="39"/>
      <c r="AJ300" s="39"/>
      <c r="AK300" s="39"/>
      <c r="AL300" s="39"/>
      <c r="AM300" s="39"/>
      <c r="AN300" s="39"/>
    </row>
    <row r="301" spans="1:40" s="486" customFormat="1" ht="91.5" customHeight="1">
      <c r="A301" s="483"/>
      <c r="B301" s="514" t="s">
        <v>111</v>
      </c>
      <c r="C301" s="515" t="s">
        <v>611</v>
      </c>
      <c r="D301" s="487" t="s">
        <v>891</v>
      </c>
      <c r="E301" s="129"/>
      <c r="F301" s="488" t="str">
        <f>""&amp;Table12[[#This Row],[TTM Stage]]&amp;Table12[[#This Row],[Task No.]]&amp;"-"&amp;Table12[[#This Row],[Type of activity]]&amp;"-"&amp;Table12[[#This Row],[TargetGroup]]</f>
        <v>PC-M3 - A-Children</v>
      </c>
      <c r="G301" s="130" t="s">
        <v>892</v>
      </c>
      <c r="H301" s="130"/>
      <c r="I301" s="131"/>
      <c r="J301" s="489"/>
      <c r="K301" s="383" t="s">
        <v>1654</v>
      </c>
      <c r="L301" s="254" t="s">
        <v>75</v>
      </c>
      <c r="M301" s="509" t="s">
        <v>1655</v>
      </c>
      <c r="N301" s="516" t="s">
        <v>1656</v>
      </c>
      <c r="O301" s="129"/>
      <c r="P301" s="129"/>
      <c r="Q301" s="129"/>
      <c r="R301" s="129"/>
      <c r="S301" s="129"/>
      <c r="T301" s="129"/>
      <c r="U301" s="129"/>
      <c r="V301" s="129"/>
      <c r="W301" s="129"/>
      <c r="X301" s="129"/>
      <c r="Y301" s="129"/>
      <c r="Z301" s="133"/>
      <c r="AA301" s="39"/>
      <c r="AB301" s="39"/>
      <c r="AC301" s="39"/>
      <c r="AD301" s="39"/>
      <c r="AE301" s="39"/>
      <c r="AF301" s="39"/>
      <c r="AG301" s="39"/>
      <c r="AH301" s="39"/>
      <c r="AI301" s="39"/>
      <c r="AJ301" s="39"/>
      <c r="AK301" s="39"/>
      <c r="AL301" s="39"/>
      <c r="AM301" s="39"/>
      <c r="AN301" s="39"/>
    </row>
    <row r="302" spans="1:40" s="486" customFormat="1" ht="38.25" customHeight="1">
      <c r="A302" s="483"/>
      <c r="B302" s="514" t="s">
        <v>111</v>
      </c>
      <c r="C302" s="515" t="s">
        <v>611</v>
      </c>
      <c r="D302" s="490" t="s">
        <v>899</v>
      </c>
      <c r="E302" s="129"/>
      <c r="F302" s="488" t="str">
        <f>""&amp;Table12[[#This Row],[TTM Stage]]&amp;Table12[[#This Row],[Task No.]]&amp;"-"&amp;Table12[[#This Row],[Type of activity]]&amp;"-"&amp;Table12[[#This Row],[TargetGroup]]</f>
        <v>C-M3 - A-Children</v>
      </c>
      <c r="G302" s="130" t="s">
        <v>946</v>
      </c>
      <c r="H302" s="130"/>
      <c r="I302" s="131"/>
      <c r="J302" s="489"/>
      <c r="K302" s="383" t="s">
        <v>1657</v>
      </c>
      <c r="L302" s="254" t="s">
        <v>75</v>
      </c>
      <c r="M302" s="512" t="s">
        <v>1658</v>
      </c>
      <c r="N302" s="517"/>
      <c r="O302" s="129"/>
      <c r="P302" s="129"/>
      <c r="Q302" s="129"/>
      <c r="R302" s="129"/>
      <c r="S302" s="129"/>
      <c r="T302" s="129"/>
      <c r="U302" s="129"/>
      <c r="V302" s="129"/>
      <c r="W302" s="129"/>
      <c r="X302" s="129"/>
      <c r="Y302" s="129"/>
      <c r="Z302" s="133"/>
      <c r="AA302" s="39"/>
      <c r="AB302" s="39"/>
      <c r="AC302" s="39"/>
      <c r="AD302" s="39"/>
      <c r="AE302" s="39"/>
      <c r="AF302" s="39"/>
      <c r="AG302" s="39"/>
      <c r="AH302" s="39"/>
      <c r="AI302" s="39"/>
      <c r="AJ302" s="39"/>
      <c r="AK302" s="39"/>
      <c r="AL302" s="39"/>
      <c r="AM302" s="39"/>
      <c r="AN302" s="39"/>
    </row>
    <row r="303" spans="1:40" s="486" customFormat="1" ht="44.25" customHeight="1">
      <c r="A303" s="483"/>
      <c r="B303" s="514" t="s">
        <v>111</v>
      </c>
      <c r="C303" s="515" t="s">
        <v>611</v>
      </c>
      <c r="D303" s="490" t="s">
        <v>899</v>
      </c>
      <c r="E303" s="129"/>
      <c r="F303" s="488" t="str">
        <f>""&amp;Table12[[#This Row],[TTM Stage]]&amp;Table12[[#This Row],[Task No.]]&amp;"-"&amp;Table12[[#This Row],[Type of activity]]&amp;"-"&amp;Table12[[#This Row],[TargetGroup]]</f>
        <v>C-M3 - A-Children</v>
      </c>
      <c r="G303" s="130" t="s">
        <v>892</v>
      </c>
      <c r="H303" s="130"/>
      <c r="I303" s="131"/>
      <c r="J303" s="489"/>
      <c r="K303" s="383" t="s">
        <v>1659</v>
      </c>
      <c r="L303" s="254" t="s">
        <v>75</v>
      </c>
      <c r="M303" s="723" t="s">
        <v>1660</v>
      </c>
      <c r="N303" s="518" t="s">
        <v>1661</v>
      </c>
      <c r="O303" s="129"/>
      <c r="P303" s="129"/>
      <c r="Q303" s="129"/>
      <c r="R303" s="129"/>
      <c r="S303" s="129"/>
      <c r="T303" s="129"/>
      <c r="U303" s="129"/>
      <c r="V303" s="129"/>
      <c r="W303" s="129"/>
      <c r="X303" s="129"/>
      <c r="Y303" s="129"/>
      <c r="Z303" s="133"/>
      <c r="AA303" s="39"/>
      <c r="AB303" s="39"/>
      <c r="AC303" s="39"/>
      <c r="AD303" s="39"/>
      <c r="AE303" s="39"/>
      <c r="AF303" s="39"/>
      <c r="AG303" s="39"/>
      <c r="AH303" s="39"/>
      <c r="AI303" s="39"/>
      <c r="AJ303" s="39"/>
      <c r="AK303" s="39"/>
      <c r="AL303" s="39"/>
      <c r="AM303" s="39"/>
      <c r="AN303" s="39"/>
    </row>
    <row r="304" spans="1:40" s="486" customFormat="1" ht="87">
      <c r="A304" s="483"/>
      <c r="B304" s="514" t="s">
        <v>111</v>
      </c>
      <c r="C304" s="515" t="s">
        <v>611</v>
      </c>
      <c r="D304" s="503" t="s">
        <v>908</v>
      </c>
      <c r="E304" s="129"/>
      <c r="F304" s="488" t="str">
        <f>""&amp;Table12[[#This Row],[TTM Stage]]&amp;Table12[[#This Row],[Task No.]]&amp;"-"&amp;Table12[[#This Row],[Type of activity]]&amp;"-"&amp;Table12[[#This Row],[TargetGroup]]</f>
        <v>P-M3 - A-Children</v>
      </c>
      <c r="G304" s="130" t="s">
        <v>957</v>
      </c>
      <c r="H304" s="130"/>
      <c r="I304" s="131"/>
      <c r="J304" s="489"/>
      <c r="K304" s="383" t="s">
        <v>1662</v>
      </c>
      <c r="L304" s="254" t="s">
        <v>75</v>
      </c>
      <c r="M304" s="509" t="s">
        <v>1663</v>
      </c>
      <c r="N304" s="264" t="s">
        <v>1664</v>
      </c>
      <c r="O304" s="129"/>
      <c r="P304" s="129"/>
      <c r="Q304" s="129"/>
      <c r="R304" s="129"/>
      <c r="S304" s="129"/>
      <c r="T304" s="129"/>
      <c r="U304" s="129"/>
      <c r="V304" s="129"/>
      <c r="W304" s="129"/>
      <c r="X304" s="129"/>
      <c r="Y304" s="129"/>
      <c r="Z304" s="133"/>
      <c r="AA304" s="39"/>
      <c r="AB304" s="39"/>
      <c r="AC304" s="39"/>
      <c r="AD304" s="39"/>
      <c r="AE304" s="39"/>
      <c r="AF304" s="39"/>
      <c r="AG304" s="39"/>
      <c r="AH304" s="39"/>
      <c r="AI304" s="39"/>
      <c r="AJ304" s="39"/>
      <c r="AK304" s="39"/>
      <c r="AL304" s="39"/>
      <c r="AM304" s="39"/>
      <c r="AN304" s="39"/>
    </row>
    <row r="305" spans="1:40" s="486" customFormat="1" ht="38.25" customHeight="1">
      <c r="A305" s="483"/>
      <c r="B305" s="514" t="s">
        <v>111</v>
      </c>
      <c r="C305" s="515" t="s">
        <v>611</v>
      </c>
      <c r="D305" s="503" t="s">
        <v>908</v>
      </c>
      <c r="E305" s="129"/>
      <c r="F305" s="488" t="str">
        <f>""&amp;Table12[[#This Row],[TTM Stage]]&amp;Table12[[#This Row],[Task No.]]&amp;"-"&amp;Table12[[#This Row],[Type of activity]]&amp;"-"&amp;Table12[[#This Row],[TargetGroup]]</f>
        <v>P-M3 - A-Children</v>
      </c>
      <c r="G305" s="130" t="s">
        <v>962</v>
      </c>
      <c r="H305" s="130"/>
      <c r="I305" s="131"/>
      <c r="J305" s="489"/>
      <c r="K305" s="383" t="s">
        <v>1665</v>
      </c>
      <c r="L305" s="254" t="s">
        <v>75</v>
      </c>
      <c r="M305" s="509" t="s">
        <v>1666</v>
      </c>
      <c r="N305" s="264" t="s">
        <v>1667</v>
      </c>
      <c r="O305" s="129"/>
      <c r="P305" s="129"/>
      <c r="Q305" s="129"/>
      <c r="R305" s="129"/>
      <c r="S305" s="129"/>
      <c r="T305" s="129"/>
      <c r="U305" s="129"/>
      <c r="V305" s="129"/>
      <c r="W305" s="129"/>
      <c r="X305" s="129"/>
      <c r="Y305" s="129"/>
      <c r="Z305" s="133"/>
      <c r="AA305" s="39"/>
      <c r="AB305" s="39"/>
      <c r="AC305" s="39"/>
      <c r="AD305" s="39"/>
      <c r="AE305" s="39"/>
      <c r="AF305" s="39"/>
      <c r="AG305" s="39"/>
      <c r="AH305" s="39"/>
      <c r="AI305" s="39"/>
      <c r="AJ305" s="39"/>
      <c r="AK305" s="39"/>
      <c r="AL305" s="39"/>
      <c r="AM305" s="39"/>
      <c r="AN305" s="39"/>
    </row>
    <row r="306" spans="1:40" s="486" customFormat="1" ht="45.75" customHeight="1">
      <c r="A306" s="483"/>
      <c r="B306" s="514" t="s">
        <v>111</v>
      </c>
      <c r="C306" s="515" t="s">
        <v>611</v>
      </c>
      <c r="D306" s="504" t="s">
        <v>921</v>
      </c>
      <c r="E306" s="129"/>
      <c r="F306" s="488" t="str">
        <f>""&amp;Table12[[#This Row],[TTM Stage]]&amp;Table12[[#This Row],[Task No.]]&amp;"-"&amp;Table12[[#This Row],[Type of activity]]&amp;"-"&amp;Table12[[#This Row],[TargetGroup]]</f>
        <v>A-M3 - A-Children</v>
      </c>
      <c r="G306" s="130" t="s">
        <v>962</v>
      </c>
      <c r="H306" s="130"/>
      <c r="I306" s="131"/>
      <c r="J306" s="489"/>
      <c r="K306" s="383" t="s">
        <v>1668</v>
      </c>
      <c r="L306" s="254" t="s">
        <v>75</v>
      </c>
      <c r="M306" s="512" t="s">
        <v>1669</v>
      </c>
      <c r="N306" s="264"/>
      <c r="O306" s="129"/>
      <c r="P306" s="129"/>
      <c r="Q306" s="129"/>
      <c r="R306" s="129"/>
      <c r="S306" s="129"/>
      <c r="T306" s="129"/>
      <c r="U306" s="129"/>
      <c r="V306" s="129"/>
      <c r="W306" s="129"/>
      <c r="X306" s="129"/>
      <c r="Y306" s="129"/>
      <c r="Z306" s="133"/>
      <c r="AA306" s="39"/>
      <c r="AB306" s="39"/>
      <c r="AC306" s="39"/>
      <c r="AD306" s="39"/>
      <c r="AE306" s="39"/>
      <c r="AF306" s="39"/>
      <c r="AG306" s="39"/>
      <c r="AH306" s="39"/>
      <c r="AI306" s="39"/>
      <c r="AJ306" s="39"/>
      <c r="AK306" s="39"/>
      <c r="AL306" s="39"/>
      <c r="AM306" s="39"/>
      <c r="AN306" s="39"/>
    </row>
    <row r="307" spans="1:40" s="486" customFormat="1" ht="40.5" customHeight="1">
      <c r="A307" s="483"/>
      <c r="B307" s="514" t="s">
        <v>111</v>
      </c>
      <c r="C307" s="515" t="s">
        <v>611</v>
      </c>
      <c r="D307" s="504" t="s">
        <v>921</v>
      </c>
      <c r="E307" s="129"/>
      <c r="F307" s="488" t="str">
        <f>""&amp;Table12[[#This Row],[TTM Stage]]&amp;Table12[[#This Row],[Task No.]]&amp;"-"&amp;Table12[[#This Row],[Type of activity]]&amp;"-"&amp;Table12[[#This Row],[TargetGroup]]</f>
        <v>A-M3 - A-Children</v>
      </c>
      <c r="G307" s="130" t="s">
        <v>962</v>
      </c>
      <c r="H307" s="130"/>
      <c r="I307" s="131"/>
      <c r="J307" s="489"/>
      <c r="K307" s="383" t="s">
        <v>1670</v>
      </c>
      <c r="L307" s="254" t="s">
        <v>75</v>
      </c>
      <c r="M307" s="512" t="s">
        <v>1671</v>
      </c>
      <c r="N307" s="264"/>
      <c r="O307" s="129"/>
      <c r="P307" s="129"/>
      <c r="Q307" s="129"/>
      <c r="R307" s="129"/>
      <c r="S307" s="129"/>
      <c r="T307" s="129"/>
      <c r="U307" s="129"/>
      <c r="V307" s="129"/>
      <c r="W307" s="129"/>
      <c r="X307" s="129"/>
      <c r="Y307" s="129"/>
      <c r="Z307" s="133"/>
      <c r="AA307" s="39"/>
      <c r="AB307" s="39"/>
      <c r="AC307" s="39"/>
      <c r="AD307" s="39"/>
      <c r="AE307" s="39"/>
      <c r="AF307" s="39"/>
      <c r="AG307" s="39"/>
      <c r="AH307" s="39"/>
      <c r="AI307" s="39"/>
      <c r="AJ307" s="39"/>
      <c r="AK307" s="39"/>
      <c r="AL307" s="39"/>
      <c r="AM307" s="39"/>
      <c r="AN307" s="39"/>
    </row>
    <row r="308" spans="1:40" s="486" customFormat="1" ht="45" customHeight="1">
      <c r="A308" s="483"/>
      <c r="B308" s="514" t="s">
        <v>111</v>
      </c>
      <c r="C308" s="515" t="s">
        <v>611</v>
      </c>
      <c r="D308" s="504" t="s">
        <v>921</v>
      </c>
      <c r="E308" s="129"/>
      <c r="F308" s="488" t="str">
        <f>""&amp;Table12[[#This Row],[TTM Stage]]&amp;Table12[[#This Row],[Task No.]]&amp;"-"&amp;Table12[[#This Row],[Type of activity]]&amp;"-"&amp;Table12[[#This Row],[TargetGroup]]</f>
        <v>A-M3 - A-Children</v>
      </c>
      <c r="G308" s="130" t="s">
        <v>962</v>
      </c>
      <c r="H308" s="130"/>
      <c r="I308" s="131"/>
      <c r="J308" s="489"/>
      <c r="K308" s="383" t="s">
        <v>1672</v>
      </c>
      <c r="L308" s="254" t="s">
        <v>75</v>
      </c>
      <c r="M308" s="509" t="s">
        <v>1673</v>
      </c>
      <c r="N308" s="264"/>
      <c r="O308" s="129"/>
      <c r="P308" s="129"/>
      <c r="Q308" s="129"/>
      <c r="R308" s="129"/>
      <c r="S308" s="129"/>
      <c r="T308" s="129"/>
      <c r="U308" s="129"/>
      <c r="V308" s="129"/>
      <c r="W308" s="129"/>
      <c r="X308" s="129"/>
      <c r="Y308" s="129"/>
      <c r="Z308" s="133"/>
      <c r="AA308" s="39"/>
      <c r="AB308" s="39"/>
      <c r="AC308" s="39"/>
      <c r="AD308" s="39"/>
      <c r="AE308" s="39"/>
      <c r="AF308" s="39"/>
      <c r="AG308" s="39"/>
      <c r="AH308" s="39"/>
      <c r="AI308" s="39"/>
      <c r="AJ308" s="39"/>
      <c r="AK308" s="39"/>
      <c r="AL308" s="39"/>
      <c r="AM308" s="39"/>
      <c r="AN308" s="39"/>
    </row>
    <row r="309" spans="1:40" s="486" customFormat="1" ht="101.25">
      <c r="A309" s="483"/>
      <c r="B309" s="514" t="s">
        <v>111</v>
      </c>
      <c r="C309" s="515" t="s">
        <v>611</v>
      </c>
      <c r="D309" s="504" t="s">
        <v>921</v>
      </c>
      <c r="E309" s="129"/>
      <c r="F309" s="488" t="str">
        <f>""&amp;Table12[[#This Row],[TTM Stage]]&amp;Table12[[#This Row],[Task No.]]&amp;"-"&amp;Table12[[#This Row],[Type of activity]]&amp;"-"&amp;Table12[[#This Row],[TargetGroup]]</f>
        <v>A-M3 - A-Children</v>
      </c>
      <c r="G309" s="130" t="s">
        <v>962</v>
      </c>
      <c r="H309" s="130"/>
      <c r="I309" s="131"/>
      <c r="J309" s="489"/>
      <c r="K309" s="383" t="s">
        <v>1674</v>
      </c>
      <c r="L309" s="254" t="s">
        <v>75</v>
      </c>
      <c r="M309" s="507" t="s">
        <v>1675</v>
      </c>
      <c r="N309" s="264" t="s">
        <v>1676</v>
      </c>
      <c r="O309" s="129"/>
      <c r="P309" s="129"/>
      <c r="Q309" s="129"/>
      <c r="R309" s="129"/>
      <c r="S309" s="129"/>
      <c r="T309" s="129"/>
      <c r="U309" s="129"/>
      <c r="V309" s="129"/>
      <c r="W309" s="129"/>
      <c r="X309" s="129"/>
      <c r="Y309" s="129"/>
      <c r="Z309" s="133"/>
      <c r="AA309" s="39"/>
      <c r="AB309" s="39"/>
      <c r="AC309" s="39"/>
      <c r="AD309" s="39"/>
      <c r="AE309" s="39"/>
      <c r="AF309" s="39"/>
      <c r="AG309" s="39"/>
      <c r="AH309" s="39"/>
      <c r="AI309" s="39"/>
      <c r="AJ309" s="39"/>
      <c r="AK309" s="39"/>
      <c r="AL309" s="39"/>
      <c r="AM309" s="39"/>
      <c r="AN309" s="39"/>
    </row>
    <row r="310" spans="1:40" s="486" customFormat="1" ht="37.5" customHeight="1">
      <c r="A310" s="483"/>
      <c r="B310" s="514" t="s">
        <v>111</v>
      </c>
      <c r="C310" s="515" t="s">
        <v>611</v>
      </c>
      <c r="D310" s="508" t="s">
        <v>933</v>
      </c>
      <c r="E310" s="129"/>
      <c r="F310" s="488" t="str">
        <f>""&amp;Table12[[#This Row],[TTM Stage]]&amp;Table12[[#This Row],[Task No.]]&amp;"-"&amp;Table12[[#This Row],[Type of activity]]&amp;"-"&amp;Table12[[#This Row],[TargetGroup]]</f>
        <v>M-M3 - A-Children</v>
      </c>
      <c r="G310" s="130" t="s">
        <v>962</v>
      </c>
      <c r="H310" s="130"/>
      <c r="I310" s="131"/>
      <c r="J310" s="489"/>
      <c r="K310" s="383" t="s">
        <v>1677</v>
      </c>
      <c r="L310" s="254" t="s">
        <v>75</v>
      </c>
      <c r="M310" s="509" t="s">
        <v>1678</v>
      </c>
      <c r="N310" s="264"/>
      <c r="O310" s="129"/>
      <c r="P310" s="129"/>
      <c r="Q310" s="129"/>
      <c r="R310" s="129"/>
      <c r="S310" s="129"/>
      <c r="T310" s="129"/>
      <c r="U310" s="129"/>
      <c r="V310" s="129"/>
      <c r="W310" s="129"/>
      <c r="X310" s="129"/>
      <c r="Y310" s="129"/>
      <c r="Z310" s="133"/>
      <c r="AA310" s="39"/>
      <c r="AB310" s="39"/>
      <c r="AC310" s="39"/>
      <c r="AD310" s="39"/>
      <c r="AE310" s="39"/>
      <c r="AF310" s="39"/>
      <c r="AG310" s="39"/>
      <c r="AH310" s="39"/>
      <c r="AI310" s="39"/>
      <c r="AJ310" s="39"/>
      <c r="AK310" s="39"/>
      <c r="AL310" s="39"/>
      <c r="AM310" s="39"/>
      <c r="AN310" s="39"/>
    </row>
    <row r="311" spans="1:40" s="486" customFormat="1" ht="25.5" customHeight="1">
      <c r="A311" s="483"/>
      <c r="B311" s="514" t="s">
        <v>111</v>
      </c>
      <c r="C311" s="515" t="s">
        <v>611</v>
      </c>
      <c r="D311" s="508" t="s">
        <v>933</v>
      </c>
      <c r="E311" s="129"/>
      <c r="F311" s="488" t="str">
        <f>""&amp;Table12[[#This Row],[TTM Stage]]&amp;Table12[[#This Row],[Task No.]]&amp;"-"&amp;Table12[[#This Row],[Type of activity]]&amp;"-"&amp;Table12[[#This Row],[TargetGroup]]</f>
        <v>M-M3 - A-Children</v>
      </c>
      <c r="G311" s="130" t="s">
        <v>962</v>
      </c>
      <c r="H311" s="130"/>
      <c r="I311" s="131"/>
      <c r="J311" s="489"/>
      <c r="K311" s="383" t="s">
        <v>1679</v>
      </c>
      <c r="L311" s="254" t="s">
        <v>75</v>
      </c>
      <c r="M311" s="505" t="s">
        <v>1680</v>
      </c>
      <c r="N311" s="264"/>
      <c r="O311" s="129"/>
      <c r="P311" s="129"/>
      <c r="Q311" s="129"/>
      <c r="R311" s="129"/>
      <c r="S311" s="129"/>
      <c r="T311" s="129"/>
      <c r="U311" s="129"/>
      <c r="V311" s="129"/>
      <c r="W311" s="129"/>
      <c r="X311" s="129"/>
      <c r="Y311" s="129"/>
      <c r="Z311" s="133"/>
      <c r="AA311" s="39"/>
      <c r="AB311" s="39"/>
      <c r="AC311" s="39"/>
      <c r="AD311" s="39"/>
      <c r="AE311" s="39"/>
      <c r="AF311" s="39"/>
      <c r="AG311" s="39"/>
      <c r="AH311" s="39"/>
      <c r="AI311" s="39"/>
      <c r="AJ311" s="39"/>
      <c r="AK311" s="39"/>
      <c r="AL311" s="39"/>
      <c r="AM311" s="39"/>
      <c r="AN311" s="39"/>
    </row>
    <row r="312" spans="1:40" s="486" customFormat="1" ht="40.5" customHeight="1">
      <c r="A312" s="483"/>
      <c r="B312" s="514" t="s">
        <v>111</v>
      </c>
      <c r="C312" s="515" t="s">
        <v>611</v>
      </c>
      <c r="D312" s="508" t="s">
        <v>933</v>
      </c>
      <c r="E312" s="129"/>
      <c r="F312" s="488" t="str">
        <f>""&amp;Table12[[#This Row],[TTM Stage]]&amp;Table12[[#This Row],[Task No.]]&amp;"-"&amp;Table12[[#This Row],[Type of activity]]&amp;"-"&amp;Table12[[#This Row],[TargetGroup]]</f>
        <v>M-M3 - A-Children</v>
      </c>
      <c r="G312" s="130" t="s">
        <v>962</v>
      </c>
      <c r="H312" s="130"/>
      <c r="I312" s="131"/>
      <c r="J312" s="489"/>
      <c r="K312" s="383" t="s">
        <v>1681</v>
      </c>
      <c r="L312" s="254" t="s">
        <v>75</v>
      </c>
      <c r="M312" s="505" t="s">
        <v>1682</v>
      </c>
      <c r="N312" s="264"/>
      <c r="O312" s="129"/>
      <c r="P312" s="129"/>
      <c r="Q312" s="129"/>
      <c r="R312" s="129"/>
      <c r="S312" s="129"/>
      <c r="T312" s="129"/>
      <c r="U312" s="129"/>
      <c r="V312" s="129"/>
      <c r="W312" s="129"/>
      <c r="X312" s="129"/>
      <c r="Y312" s="129"/>
      <c r="Z312" s="133"/>
      <c r="AA312" s="39"/>
      <c r="AB312" s="39"/>
      <c r="AC312" s="39"/>
      <c r="AD312" s="39"/>
      <c r="AE312" s="39"/>
      <c r="AF312" s="39"/>
      <c r="AG312" s="39"/>
      <c r="AH312" s="39"/>
      <c r="AI312" s="39"/>
      <c r="AJ312" s="39"/>
      <c r="AK312" s="39"/>
      <c r="AL312" s="39"/>
      <c r="AM312" s="39"/>
      <c r="AN312" s="39"/>
    </row>
    <row r="313" spans="1:40" s="486" customFormat="1" ht="87">
      <c r="A313" s="483"/>
      <c r="B313" s="514" t="s">
        <v>111</v>
      </c>
      <c r="C313" s="515" t="s">
        <v>611</v>
      </c>
      <c r="D313" s="508" t="s">
        <v>933</v>
      </c>
      <c r="E313" s="129"/>
      <c r="F313" s="488" t="str">
        <f>""&amp;Table12[[#This Row],[TTM Stage]]&amp;Table12[[#This Row],[Task No.]]&amp;"-"&amp;Table12[[#This Row],[Type of activity]]&amp;"-"&amp;Table12[[#This Row],[TargetGroup]]</f>
        <v>M-M3 - A-Children</v>
      </c>
      <c r="G313" s="130" t="s">
        <v>962</v>
      </c>
      <c r="H313" s="130"/>
      <c r="I313" s="131"/>
      <c r="J313" s="489"/>
      <c r="K313" s="383" t="s">
        <v>1683</v>
      </c>
      <c r="L313" s="254" t="s">
        <v>75</v>
      </c>
      <c r="M313" s="509" t="s">
        <v>1684</v>
      </c>
      <c r="N313" s="264" t="s">
        <v>1685</v>
      </c>
      <c r="O313" s="129"/>
      <c r="P313" s="129"/>
      <c r="Q313" s="129"/>
      <c r="R313" s="129"/>
      <c r="S313" s="129"/>
      <c r="T313" s="129"/>
      <c r="U313" s="129"/>
      <c r="V313" s="129"/>
      <c r="W313" s="129"/>
      <c r="X313" s="129"/>
      <c r="Y313" s="129"/>
      <c r="Z313" s="133"/>
      <c r="AA313" s="39"/>
      <c r="AB313" s="39"/>
      <c r="AC313" s="39"/>
      <c r="AD313" s="39"/>
      <c r="AE313" s="39"/>
      <c r="AF313" s="39"/>
      <c r="AG313" s="39"/>
      <c r="AH313" s="39"/>
      <c r="AI313" s="39"/>
      <c r="AJ313" s="39"/>
      <c r="AK313" s="39"/>
      <c r="AL313" s="39"/>
      <c r="AM313" s="39"/>
      <c r="AN313" s="39"/>
    </row>
    <row r="314" spans="1:40" s="486" customFormat="1" ht="87">
      <c r="A314" s="483"/>
      <c r="B314" s="491" t="s">
        <v>114</v>
      </c>
      <c r="C314" s="492" t="s">
        <v>629</v>
      </c>
      <c r="D314" s="487" t="s">
        <v>891</v>
      </c>
      <c r="E314" s="129"/>
      <c r="F314" s="488" t="str">
        <f>""&amp;Table12[[#This Row],[TTM Stage]]&amp;Table12[[#This Row],[Task No.]]&amp;"-"&amp;Table12[[#This Row],[Type of activity]]&amp;"-"&amp;Table12[[#This Row],[TargetGroup]]</f>
        <v>PC-M4 - A-Children</v>
      </c>
      <c r="G314" s="130" t="s">
        <v>900</v>
      </c>
      <c r="H314" s="130"/>
      <c r="I314" s="131"/>
      <c r="J314" s="489"/>
      <c r="K314" s="383" t="s">
        <v>1686</v>
      </c>
      <c r="L314" s="254" t="s">
        <v>75</v>
      </c>
      <c r="M314" s="509" t="s">
        <v>1687</v>
      </c>
      <c r="N314" s="264" t="s">
        <v>1688</v>
      </c>
      <c r="O314" s="129"/>
      <c r="P314" s="129"/>
      <c r="Q314" s="129"/>
      <c r="R314" s="129"/>
      <c r="S314" s="129"/>
      <c r="T314" s="129"/>
      <c r="U314" s="129"/>
      <c r="V314" s="129"/>
      <c r="W314" s="129"/>
      <c r="X314" s="129"/>
      <c r="Y314" s="129"/>
      <c r="Z314" s="133"/>
      <c r="AA314" s="39"/>
      <c r="AB314" s="39"/>
      <c r="AC314" s="39"/>
      <c r="AD314" s="39"/>
      <c r="AE314" s="39"/>
      <c r="AF314" s="39"/>
      <c r="AG314" s="39"/>
      <c r="AH314" s="39"/>
      <c r="AI314" s="39"/>
      <c r="AJ314" s="39"/>
      <c r="AK314" s="39"/>
      <c r="AL314" s="39"/>
      <c r="AM314" s="39"/>
      <c r="AN314" s="39"/>
    </row>
    <row r="315" spans="1:40" s="486" customFormat="1" ht="81.75" customHeight="1">
      <c r="A315" s="483"/>
      <c r="B315" s="491" t="s">
        <v>114</v>
      </c>
      <c r="C315" s="492" t="s">
        <v>629</v>
      </c>
      <c r="D315" s="487" t="s">
        <v>891</v>
      </c>
      <c r="E315" s="129"/>
      <c r="F315" s="488" t="str">
        <f>""&amp;Table12[[#This Row],[TTM Stage]]&amp;Table12[[#This Row],[Task No.]]&amp;"-"&amp;Table12[[#This Row],[Type of activity]]&amp;"-"&amp;Table12[[#This Row],[TargetGroup]]</f>
        <v>PC-M4 - A-Children</v>
      </c>
      <c r="G315" s="130" t="s">
        <v>957</v>
      </c>
      <c r="H315" s="130"/>
      <c r="I315" s="131"/>
      <c r="J315" s="489"/>
      <c r="K315" s="383" t="s">
        <v>1689</v>
      </c>
      <c r="L315" s="254" t="s">
        <v>75</v>
      </c>
      <c r="M315" s="509" t="s">
        <v>1690</v>
      </c>
      <c r="N315" s="264" t="s">
        <v>1691</v>
      </c>
      <c r="O315" s="129"/>
      <c r="P315" s="129"/>
      <c r="Q315" s="129"/>
      <c r="R315" s="129"/>
      <c r="S315" s="129"/>
      <c r="T315" s="129"/>
      <c r="U315" s="129"/>
      <c r="V315" s="129"/>
      <c r="W315" s="129"/>
      <c r="X315" s="129"/>
      <c r="Y315" s="129"/>
      <c r="Z315" s="133"/>
      <c r="AA315" s="39"/>
      <c r="AB315" s="39"/>
      <c r="AC315" s="39"/>
      <c r="AD315" s="39"/>
      <c r="AE315" s="39"/>
      <c r="AF315" s="39"/>
      <c r="AG315" s="39"/>
      <c r="AH315" s="39"/>
      <c r="AI315" s="39"/>
      <c r="AJ315" s="39"/>
      <c r="AK315" s="39"/>
      <c r="AL315" s="39"/>
      <c r="AM315" s="39"/>
      <c r="AN315" s="39"/>
    </row>
    <row r="316" spans="1:40" s="486" customFormat="1" ht="72.75">
      <c r="A316" s="483"/>
      <c r="B316" s="491" t="s">
        <v>114</v>
      </c>
      <c r="C316" s="492" t="s">
        <v>629</v>
      </c>
      <c r="D316" s="490" t="s">
        <v>899</v>
      </c>
      <c r="E316" s="129"/>
      <c r="F316" s="488" t="str">
        <f>""&amp;Table12[[#This Row],[TTM Stage]]&amp;Table12[[#This Row],[Task No.]]&amp;"-"&amp;Table12[[#This Row],[Type of activity]]&amp;"-"&amp;Table12[[#This Row],[TargetGroup]]</f>
        <v>C-M4 - A-Children</v>
      </c>
      <c r="G316" s="130" t="s">
        <v>962</v>
      </c>
      <c r="H316" s="130"/>
      <c r="I316" s="131"/>
      <c r="J316" s="489"/>
      <c r="K316" s="535" t="s">
        <v>1692</v>
      </c>
      <c r="L316" s="254" t="s">
        <v>75</v>
      </c>
      <c r="M316" s="509" t="s">
        <v>1693</v>
      </c>
      <c r="N316" s="264" t="s">
        <v>1694</v>
      </c>
      <c r="O316" s="129"/>
      <c r="P316" s="129"/>
      <c r="Q316" s="129"/>
      <c r="R316" s="129"/>
      <c r="S316" s="129"/>
      <c r="T316" s="129"/>
      <c r="U316" s="129"/>
      <c r="V316" s="129"/>
      <c r="W316" s="129"/>
      <c r="X316" s="129"/>
      <c r="Y316" s="129"/>
      <c r="Z316" s="133"/>
      <c r="AA316" s="39"/>
      <c r="AB316" s="39"/>
      <c r="AC316" s="39"/>
      <c r="AD316" s="39"/>
      <c r="AE316" s="39"/>
      <c r="AF316" s="39"/>
      <c r="AG316" s="39"/>
      <c r="AH316" s="39"/>
      <c r="AI316" s="39"/>
      <c r="AJ316" s="39"/>
      <c r="AK316" s="39"/>
      <c r="AL316" s="39"/>
      <c r="AM316" s="39"/>
      <c r="AN316" s="39"/>
    </row>
    <row r="317" spans="1:40" s="486" customFormat="1" ht="75" customHeight="1">
      <c r="A317" s="483"/>
      <c r="B317" s="491" t="s">
        <v>114</v>
      </c>
      <c r="C317" s="492" t="s">
        <v>629</v>
      </c>
      <c r="D317" s="714" t="s">
        <v>899</v>
      </c>
      <c r="E317" s="715"/>
      <c r="F317" s="716" t="str">
        <f>""&amp;Table12[[#This Row],[TTM Stage]]&amp;Table12[[#This Row],[Task No.]]&amp;"-"&amp;Table12[[#This Row],[Type of activity]]&amp;"-"&amp;Table12[[#This Row],[TargetGroup]]</f>
        <v>C-M4 - A-Children</v>
      </c>
      <c r="G317" s="717" t="s">
        <v>892</v>
      </c>
      <c r="H317" s="717"/>
      <c r="I317" s="718"/>
      <c r="J317" s="719"/>
      <c r="K317" s="720" t="s">
        <v>1695</v>
      </c>
      <c r="L317" s="721" t="s">
        <v>75</v>
      </c>
      <c r="M317" s="723" t="s">
        <v>1696</v>
      </c>
      <c r="N317" s="724" t="s">
        <v>1697</v>
      </c>
      <c r="O317" s="129"/>
      <c r="P317" s="129"/>
      <c r="Q317" s="129"/>
      <c r="R317" s="129"/>
      <c r="S317" s="129"/>
      <c r="T317" s="129"/>
      <c r="U317" s="129"/>
      <c r="V317" s="129"/>
      <c r="W317" s="129"/>
      <c r="X317" s="129"/>
      <c r="Y317" s="129"/>
      <c r="Z317" s="133"/>
      <c r="AA317" s="39"/>
      <c r="AB317" s="39"/>
      <c r="AC317" s="39"/>
      <c r="AD317" s="39"/>
      <c r="AE317" s="39"/>
      <c r="AF317" s="39"/>
      <c r="AG317" s="39"/>
      <c r="AH317" s="39"/>
      <c r="AI317" s="39"/>
      <c r="AJ317" s="39"/>
      <c r="AK317" s="39"/>
      <c r="AL317" s="39"/>
      <c r="AM317" s="39"/>
      <c r="AN317" s="39"/>
    </row>
    <row r="318" spans="1:40" s="486" customFormat="1" ht="38.25" customHeight="1">
      <c r="A318" s="483"/>
      <c r="B318" s="491" t="s">
        <v>114</v>
      </c>
      <c r="C318" s="492" t="s">
        <v>629</v>
      </c>
      <c r="D318" s="503" t="s">
        <v>908</v>
      </c>
      <c r="E318" s="129"/>
      <c r="F318" s="488" t="str">
        <f>""&amp;Table12[[#This Row],[TTM Stage]]&amp;Table12[[#This Row],[Task No.]]&amp;"-"&amp;Table12[[#This Row],[Type of activity]]&amp;"-"&amp;Table12[[#This Row],[TargetGroup]]</f>
        <v>P-M4 - A-Children</v>
      </c>
      <c r="G318" s="130" t="s">
        <v>962</v>
      </c>
      <c r="H318" s="130"/>
      <c r="I318" s="131"/>
      <c r="J318" s="489"/>
      <c r="K318" s="383" t="s">
        <v>1698</v>
      </c>
      <c r="L318" s="254" t="s">
        <v>75</v>
      </c>
      <c r="M318" s="509" t="s">
        <v>1699</v>
      </c>
      <c r="N318" s="264"/>
      <c r="O318" s="129"/>
      <c r="P318" s="129"/>
      <c r="Q318" s="129"/>
      <c r="R318" s="129"/>
      <c r="S318" s="129"/>
      <c r="T318" s="129"/>
      <c r="U318" s="129"/>
      <c r="V318" s="129"/>
      <c r="W318" s="129"/>
      <c r="X318" s="129"/>
      <c r="Y318" s="129"/>
      <c r="Z318" s="133"/>
      <c r="AA318" s="39"/>
      <c r="AB318" s="39"/>
      <c r="AC318" s="39"/>
      <c r="AD318" s="39"/>
      <c r="AE318" s="39"/>
      <c r="AF318" s="39"/>
      <c r="AG318" s="39"/>
      <c r="AH318" s="39"/>
      <c r="AI318" s="39"/>
      <c r="AJ318" s="39"/>
      <c r="AK318" s="39"/>
      <c r="AL318" s="39"/>
      <c r="AM318" s="39"/>
      <c r="AN318" s="39"/>
    </row>
    <row r="319" spans="1:40" s="486" customFormat="1" ht="87">
      <c r="A319" s="483"/>
      <c r="B319" s="491" t="s">
        <v>114</v>
      </c>
      <c r="C319" s="492" t="s">
        <v>629</v>
      </c>
      <c r="D319" s="503" t="s">
        <v>908</v>
      </c>
      <c r="E319" s="129"/>
      <c r="F319" s="488" t="str">
        <f>""&amp;Table12[[#This Row],[TTM Stage]]&amp;Table12[[#This Row],[Task No.]]&amp;"-"&amp;Table12[[#This Row],[Type of activity]]&amp;"-"&amp;Table12[[#This Row],[TargetGroup]]</f>
        <v>P-M4 - A-Children</v>
      </c>
      <c r="G319" s="130" t="s">
        <v>962</v>
      </c>
      <c r="H319" s="130"/>
      <c r="I319" s="131"/>
      <c r="J319" s="489"/>
      <c r="K319" s="383" t="s">
        <v>1700</v>
      </c>
      <c r="L319" s="254" t="s">
        <v>75</v>
      </c>
      <c r="M319" s="509" t="s">
        <v>1701</v>
      </c>
      <c r="N319" s="264" t="s">
        <v>1702</v>
      </c>
      <c r="O319" s="129"/>
      <c r="P319" s="129"/>
      <c r="Q319" s="129"/>
      <c r="R319" s="129"/>
      <c r="S319" s="129"/>
      <c r="T319" s="129"/>
      <c r="U319" s="129"/>
      <c r="V319" s="129"/>
      <c r="W319" s="129"/>
      <c r="X319" s="129"/>
      <c r="Y319" s="129"/>
      <c r="Z319" s="133"/>
      <c r="AA319" s="39"/>
      <c r="AB319" s="39"/>
      <c r="AC319" s="39"/>
      <c r="AD319" s="39"/>
      <c r="AE319" s="39"/>
      <c r="AF319" s="39"/>
      <c r="AG319" s="39"/>
      <c r="AH319" s="39"/>
      <c r="AI319" s="39"/>
      <c r="AJ319" s="39"/>
      <c r="AK319" s="39"/>
      <c r="AL319" s="39"/>
      <c r="AM319" s="39"/>
      <c r="AN319" s="39"/>
    </row>
    <row r="320" spans="1:40" s="486" customFormat="1" ht="36.75" customHeight="1">
      <c r="A320" s="483"/>
      <c r="B320" s="491" t="s">
        <v>114</v>
      </c>
      <c r="C320" s="492" t="s">
        <v>629</v>
      </c>
      <c r="D320" s="504" t="s">
        <v>921</v>
      </c>
      <c r="E320" s="129"/>
      <c r="F320" s="488" t="str">
        <f>""&amp;Table12[[#This Row],[TTM Stage]]&amp;Table12[[#This Row],[Task No.]]&amp;"-"&amp;Table12[[#This Row],[Type of activity]]&amp;"-"&amp;Table12[[#This Row],[TargetGroup]]</f>
        <v>A-M4 - A-Children</v>
      </c>
      <c r="G320" s="130" t="s">
        <v>962</v>
      </c>
      <c r="H320" s="130"/>
      <c r="I320" s="131"/>
      <c r="J320" s="489"/>
      <c r="K320" s="383" t="s">
        <v>1703</v>
      </c>
      <c r="L320" s="254" t="s">
        <v>75</v>
      </c>
      <c r="M320" s="509" t="s">
        <v>1704</v>
      </c>
      <c r="N320" s="264"/>
      <c r="O320" s="129"/>
      <c r="P320" s="129"/>
      <c r="Q320" s="129"/>
      <c r="R320" s="129"/>
      <c r="S320" s="129"/>
      <c r="T320" s="129"/>
      <c r="U320" s="129"/>
      <c r="V320" s="129"/>
      <c r="W320" s="129"/>
      <c r="X320" s="129"/>
      <c r="Y320" s="129"/>
      <c r="Z320" s="133"/>
      <c r="AA320" s="39"/>
      <c r="AB320" s="39"/>
      <c r="AC320" s="39"/>
      <c r="AD320" s="39"/>
      <c r="AE320" s="39"/>
      <c r="AF320" s="39"/>
      <c r="AG320" s="39"/>
      <c r="AH320" s="39"/>
      <c r="AI320" s="39"/>
      <c r="AJ320" s="39"/>
      <c r="AK320" s="39"/>
      <c r="AL320" s="39"/>
      <c r="AM320" s="39"/>
      <c r="AN320" s="39"/>
    </row>
    <row r="321" spans="1:40" s="486" customFormat="1" ht="29.25">
      <c r="A321" s="483"/>
      <c r="B321" s="491" t="s">
        <v>114</v>
      </c>
      <c r="C321" s="492" t="s">
        <v>629</v>
      </c>
      <c r="D321" s="504" t="s">
        <v>921</v>
      </c>
      <c r="E321" s="129"/>
      <c r="F321" s="488" t="str">
        <f>""&amp;Table12[[#This Row],[TTM Stage]]&amp;Table12[[#This Row],[Task No.]]&amp;"-"&amp;Table12[[#This Row],[Type of activity]]&amp;"-"&amp;Table12[[#This Row],[TargetGroup]]</f>
        <v>A-M4 - A-Children</v>
      </c>
      <c r="G321" s="130" t="s">
        <v>962</v>
      </c>
      <c r="H321" s="130"/>
      <c r="I321" s="131"/>
      <c r="J321" s="489"/>
      <c r="K321" s="383" t="s">
        <v>1705</v>
      </c>
      <c r="L321" s="254" t="s">
        <v>75</v>
      </c>
      <c r="M321" s="509" t="s">
        <v>1706</v>
      </c>
      <c r="N321" s="264"/>
      <c r="O321" s="129"/>
      <c r="P321" s="129"/>
      <c r="Q321" s="129"/>
      <c r="R321" s="129"/>
      <c r="S321" s="129"/>
      <c r="T321" s="129"/>
      <c r="U321" s="129"/>
      <c r="V321" s="129"/>
      <c r="W321" s="129"/>
      <c r="X321" s="129"/>
      <c r="Y321" s="129"/>
      <c r="Z321" s="133"/>
      <c r="AA321" s="39"/>
      <c r="AB321" s="39"/>
      <c r="AC321" s="39"/>
      <c r="AD321" s="39"/>
      <c r="AE321" s="39"/>
      <c r="AF321" s="39"/>
      <c r="AG321" s="39"/>
      <c r="AH321" s="39"/>
      <c r="AI321" s="39"/>
      <c r="AJ321" s="39"/>
      <c r="AK321" s="39"/>
      <c r="AL321" s="39"/>
      <c r="AM321" s="39"/>
      <c r="AN321" s="39"/>
    </row>
    <row r="322" spans="1:40" s="486" customFormat="1" ht="45" customHeight="1">
      <c r="A322" s="483"/>
      <c r="B322" s="491" t="s">
        <v>114</v>
      </c>
      <c r="C322" s="492" t="s">
        <v>629</v>
      </c>
      <c r="D322" s="504" t="s">
        <v>921</v>
      </c>
      <c r="E322" s="129"/>
      <c r="F322" s="488" t="str">
        <f>""&amp;Table12[[#This Row],[TTM Stage]]&amp;Table12[[#This Row],[Task No.]]&amp;"-"&amp;Table12[[#This Row],[Type of activity]]&amp;"-"&amp;Table12[[#This Row],[TargetGroup]]</f>
        <v>A-M4 - A-Children</v>
      </c>
      <c r="G322" s="130" t="s">
        <v>962</v>
      </c>
      <c r="H322" s="130"/>
      <c r="I322" s="131"/>
      <c r="J322" s="489"/>
      <c r="K322" s="383" t="s">
        <v>1707</v>
      </c>
      <c r="L322" s="254" t="s">
        <v>75</v>
      </c>
      <c r="M322" s="509" t="s">
        <v>1708</v>
      </c>
      <c r="N322" s="264"/>
      <c r="O322" s="129"/>
      <c r="P322" s="129"/>
      <c r="Q322" s="129"/>
      <c r="R322" s="129"/>
      <c r="S322" s="129"/>
      <c r="T322" s="129"/>
      <c r="U322" s="129"/>
      <c r="V322" s="129"/>
      <c r="W322" s="129"/>
      <c r="X322" s="129"/>
      <c r="Y322" s="129"/>
      <c r="Z322" s="133"/>
      <c r="AA322" s="39"/>
      <c r="AB322" s="39"/>
      <c r="AC322" s="39"/>
      <c r="AD322" s="39"/>
      <c r="AE322" s="39"/>
      <c r="AF322" s="39"/>
      <c r="AG322" s="39"/>
      <c r="AH322" s="39"/>
      <c r="AI322" s="39"/>
      <c r="AJ322" s="39"/>
      <c r="AK322" s="39"/>
      <c r="AL322" s="39"/>
      <c r="AM322" s="39"/>
      <c r="AN322" s="39"/>
    </row>
    <row r="323" spans="1:40" s="486" customFormat="1" ht="41.25" customHeight="1">
      <c r="A323" s="483"/>
      <c r="B323" s="491" t="s">
        <v>114</v>
      </c>
      <c r="C323" s="492" t="s">
        <v>629</v>
      </c>
      <c r="D323" s="504" t="s">
        <v>921</v>
      </c>
      <c r="E323" s="129"/>
      <c r="F323" s="488" t="str">
        <f>""&amp;Table12[[#This Row],[TTM Stage]]&amp;Table12[[#This Row],[Task No.]]&amp;"-"&amp;Table12[[#This Row],[Type of activity]]&amp;"-"&amp;Table12[[#This Row],[TargetGroup]]</f>
        <v>A-M4 - A-Children</v>
      </c>
      <c r="G323" s="130" t="s">
        <v>962</v>
      </c>
      <c r="H323" s="130"/>
      <c r="I323" s="131"/>
      <c r="J323" s="489"/>
      <c r="K323" s="383" t="s">
        <v>1709</v>
      </c>
      <c r="L323" s="254" t="s">
        <v>75</v>
      </c>
      <c r="M323" s="509" t="s">
        <v>1710</v>
      </c>
      <c r="N323" s="264"/>
      <c r="O323" s="129"/>
      <c r="P323" s="129"/>
      <c r="Q323" s="129"/>
      <c r="R323" s="129"/>
      <c r="S323" s="129"/>
      <c r="T323" s="129"/>
      <c r="U323" s="129"/>
      <c r="V323" s="129"/>
      <c r="W323" s="129"/>
      <c r="X323" s="129"/>
      <c r="Y323" s="129"/>
      <c r="Z323" s="133"/>
      <c r="AA323" s="39"/>
      <c r="AB323" s="39"/>
      <c r="AC323" s="39"/>
      <c r="AD323" s="39"/>
      <c r="AE323" s="39"/>
      <c r="AF323" s="39"/>
      <c r="AG323" s="39"/>
      <c r="AH323" s="39"/>
      <c r="AI323" s="39"/>
      <c r="AJ323" s="39"/>
      <c r="AK323" s="39"/>
      <c r="AL323" s="39"/>
      <c r="AM323" s="39"/>
      <c r="AN323" s="39"/>
    </row>
    <row r="324" spans="1:40" s="486" customFormat="1" ht="32.25" customHeight="1">
      <c r="A324" s="483"/>
      <c r="B324" s="491" t="s">
        <v>114</v>
      </c>
      <c r="C324" s="492" t="s">
        <v>629</v>
      </c>
      <c r="D324" s="508" t="s">
        <v>933</v>
      </c>
      <c r="E324" s="129"/>
      <c r="F324" s="488" t="str">
        <f>""&amp;Table12[[#This Row],[TTM Stage]]&amp;Table12[[#This Row],[Task No.]]&amp;"-"&amp;Table12[[#This Row],[Type of activity]]&amp;"-"&amp;Table12[[#This Row],[TargetGroup]]</f>
        <v>M-M4 - A-Children</v>
      </c>
      <c r="G324" s="130" t="s">
        <v>962</v>
      </c>
      <c r="H324" s="130"/>
      <c r="I324" s="131"/>
      <c r="J324" s="489"/>
      <c r="K324" s="383" t="s">
        <v>1711</v>
      </c>
      <c r="L324" s="254" t="s">
        <v>75</v>
      </c>
      <c r="M324" s="509" t="s">
        <v>1712</v>
      </c>
      <c r="N324" s="264"/>
      <c r="O324" s="129"/>
      <c r="P324" s="129"/>
      <c r="Q324" s="129"/>
      <c r="R324" s="129"/>
      <c r="S324" s="129"/>
      <c r="T324" s="129"/>
      <c r="U324" s="129"/>
      <c r="V324" s="129"/>
      <c r="W324" s="129"/>
      <c r="X324" s="129"/>
      <c r="Y324" s="129"/>
      <c r="Z324" s="133"/>
      <c r="AA324" s="39"/>
      <c r="AB324" s="39"/>
      <c r="AC324" s="39"/>
      <c r="AD324" s="39"/>
      <c r="AE324" s="39"/>
      <c r="AF324" s="39"/>
      <c r="AG324" s="39"/>
      <c r="AH324" s="39"/>
      <c r="AI324" s="39"/>
      <c r="AJ324" s="39"/>
      <c r="AK324" s="39"/>
      <c r="AL324" s="39"/>
      <c r="AM324" s="39"/>
      <c r="AN324" s="39"/>
    </row>
    <row r="325" spans="1:40" s="486" customFormat="1" ht="24" customHeight="1">
      <c r="A325" s="483"/>
      <c r="B325" s="491" t="s">
        <v>114</v>
      </c>
      <c r="C325" s="492" t="s">
        <v>629</v>
      </c>
      <c r="D325" s="508" t="s">
        <v>933</v>
      </c>
      <c r="E325" s="129"/>
      <c r="F325" s="488" t="str">
        <f>""&amp;Table12[[#This Row],[TTM Stage]]&amp;Table12[[#This Row],[Task No.]]&amp;"-"&amp;Table12[[#This Row],[Type of activity]]&amp;"-"&amp;Table12[[#This Row],[TargetGroup]]</f>
        <v>M-M4 - A-Children</v>
      </c>
      <c r="G325" s="130" t="s">
        <v>962</v>
      </c>
      <c r="H325" s="130"/>
      <c r="I325" s="131"/>
      <c r="J325" s="489"/>
      <c r="K325" s="383" t="s">
        <v>1713</v>
      </c>
      <c r="L325" s="254" t="s">
        <v>75</v>
      </c>
      <c r="M325" s="505" t="s">
        <v>1714</v>
      </c>
      <c r="N325" s="264"/>
      <c r="O325" s="129"/>
      <c r="P325" s="129"/>
      <c r="Q325" s="129"/>
      <c r="R325" s="129"/>
      <c r="S325" s="129"/>
      <c r="T325" s="129"/>
      <c r="U325" s="129"/>
      <c r="V325" s="129"/>
      <c r="W325" s="129"/>
      <c r="X325" s="129"/>
      <c r="Y325" s="129"/>
      <c r="Z325" s="133"/>
      <c r="AA325" s="39"/>
      <c r="AB325" s="39"/>
      <c r="AC325" s="39"/>
      <c r="AD325" s="39"/>
      <c r="AE325" s="39"/>
      <c r="AF325" s="39"/>
      <c r="AG325" s="39"/>
      <c r="AH325" s="39"/>
      <c r="AI325" s="39"/>
      <c r="AJ325" s="39"/>
      <c r="AK325" s="39"/>
      <c r="AL325" s="39"/>
      <c r="AM325" s="39"/>
      <c r="AN325" s="39"/>
    </row>
    <row r="326" spans="1:40" s="486" customFormat="1" ht="36" customHeight="1">
      <c r="A326" s="483"/>
      <c r="B326" s="491" t="s">
        <v>114</v>
      </c>
      <c r="C326" s="492" t="s">
        <v>629</v>
      </c>
      <c r="D326" s="508" t="s">
        <v>933</v>
      </c>
      <c r="E326" s="129"/>
      <c r="F326" s="488" t="str">
        <f>""&amp;Table12[[#This Row],[TTM Stage]]&amp;Table12[[#This Row],[Task No.]]&amp;"-"&amp;Table12[[#This Row],[Type of activity]]&amp;"-"&amp;Table12[[#This Row],[TargetGroup]]</f>
        <v>M-M4 - A-Children</v>
      </c>
      <c r="G326" s="130" t="s">
        <v>962</v>
      </c>
      <c r="H326" s="130"/>
      <c r="I326" s="131"/>
      <c r="J326" s="489"/>
      <c r="K326" s="383" t="s">
        <v>1715</v>
      </c>
      <c r="L326" s="254" t="s">
        <v>75</v>
      </c>
      <c r="M326" s="509" t="s">
        <v>1716</v>
      </c>
      <c r="N326" s="264"/>
      <c r="O326" s="129"/>
      <c r="P326" s="129"/>
      <c r="Q326" s="129"/>
      <c r="R326" s="129"/>
      <c r="S326" s="129"/>
      <c r="T326" s="129"/>
      <c r="U326" s="129"/>
      <c r="V326" s="129"/>
      <c r="W326" s="129"/>
      <c r="X326" s="129"/>
      <c r="Y326" s="129"/>
      <c r="Z326" s="133"/>
      <c r="AA326" s="39"/>
      <c r="AB326" s="39"/>
      <c r="AC326" s="39"/>
      <c r="AD326" s="39"/>
      <c r="AE326" s="39"/>
      <c r="AF326" s="39"/>
      <c r="AG326" s="39"/>
      <c r="AH326" s="39"/>
      <c r="AI326" s="39"/>
      <c r="AJ326" s="39"/>
      <c r="AK326" s="39"/>
      <c r="AL326" s="39"/>
      <c r="AM326" s="39"/>
      <c r="AN326" s="39"/>
    </row>
    <row r="327" spans="1:40" s="486" customFormat="1" ht="34.5" customHeight="1">
      <c r="A327" s="483"/>
      <c r="B327" s="491" t="s">
        <v>114</v>
      </c>
      <c r="C327" s="492" t="s">
        <v>629</v>
      </c>
      <c r="D327" s="508" t="s">
        <v>933</v>
      </c>
      <c r="E327" s="129"/>
      <c r="F327" s="488" t="str">
        <f>""&amp;Table12[[#This Row],[TTM Stage]]&amp;Table12[[#This Row],[Task No.]]&amp;"-"&amp;Table12[[#This Row],[Type of activity]]&amp;"-"&amp;Table12[[#This Row],[TargetGroup]]</f>
        <v>M-M4 - A-Children</v>
      </c>
      <c r="G327" s="130" t="s">
        <v>962</v>
      </c>
      <c r="H327" s="130"/>
      <c r="I327" s="131"/>
      <c r="J327" s="489"/>
      <c r="K327" s="383" t="s">
        <v>1717</v>
      </c>
      <c r="L327" s="254" t="s">
        <v>75</v>
      </c>
      <c r="M327" s="513" t="s">
        <v>1718</v>
      </c>
      <c r="N327" s="264"/>
      <c r="O327" s="129"/>
      <c r="P327" s="129"/>
      <c r="Q327" s="129"/>
      <c r="R327" s="129"/>
      <c r="S327" s="129"/>
      <c r="T327" s="129"/>
      <c r="U327" s="129"/>
      <c r="V327" s="129"/>
      <c r="W327" s="129"/>
      <c r="X327" s="129"/>
      <c r="Y327" s="129"/>
      <c r="Z327" s="133"/>
      <c r="AA327" s="39"/>
      <c r="AB327" s="39"/>
      <c r="AC327" s="39"/>
      <c r="AD327" s="39"/>
      <c r="AE327" s="39"/>
      <c r="AF327" s="39"/>
      <c r="AG327" s="39"/>
      <c r="AH327" s="39"/>
      <c r="AI327" s="39"/>
      <c r="AJ327" s="39"/>
      <c r="AK327" s="39"/>
      <c r="AL327" s="39"/>
      <c r="AM327" s="39"/>
      <c r="AN327" s="39"/>
    </row>
    <row r="328" spans="1:40">
      <c r="B328" s="39"/>
      <c r="C328" s="39"/>
      <c r="D328" s="39"/>
      <c r="E328" s="39"/>
      <c r="F328" s="493"/>
      <c r="G328" s="494"/>
      <c r="H328" s="495"/>
      <c r="I328" s="495"/>
      <c r="J328" s="501"/>
      <c r="K328" s="496"/>
      <c r="L328" s="8"/>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row>
    <row r="329" spans="1:40">
      <c r="B329" s="41"/>
      <c r="C329" s="41"/>
      <c r="D329" s="41"/>
      <c r="E329" s="41"/>
      <c r="F329" s="103"/>
      <c r="G329" s="42"/>
      <c r="H329" s="104"/>
      <c r="I329" s="104"/>
      <c r="J329" s="502"/>
      <c r="K329" s="202"/>
      <c r="L329" s="47"/>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c r="B330" s="41"/>
      <c r="C330" s="41"/>
      <c r="D330" s="41"/>
      <c r="E330" s="41"/>
      <c r="F330" s="103"/>
      <c r="G330" s="42"/>
      <c r="H330" s="104"/>
      <c r="I330" s="104"/>
      <c r="J330" s="502"/>
      <c r="K330" s="202"/>
      <c r="L330" s="47"/>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c r="B331" s="41"/>
      <c r="C331" s="41"/>
      <c r="D331" s="41"/>
      <c r="E331" s="41"/>
      <c r="F331" s="103"/>
      <c r="G331" s="42"/>
      <c r="H331" s="104"/>
      <c r="I331" s="104"/>
      <c r="J331" s="502"/>
      <c r="K331" s="202"/>
      <c r="L331" s="47"/>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c r="B332" s="41"/>
      <c r="C332" s="41"/>
      <c r="D332" s="41"/>
      <c r="E332" s="41"/>
      <c r="F332" s="103"/>
      <c r="G332" s="42"/>
      <c r="H332" s="104"/>
      <c r="I332" s="104"/>
      <c r="J332" s="502"/>
      <c r="K332" s="202"/>
      <c r="L332" s="47"/>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c r="B333" s="41"/>
      <c r="C333" s="41"/>
      <c r="D333" s="41"/>
      <c r="E333" s="41"/>
      <c r="F333" s="103"/>
      <c r="G333" s="42"/>
      <c r="H333" s="104"/>
      <c r="I333" s="104"/>
      <c r="J333" s="502"/>
      <c r="K333" s="202"/>
      <c r="L333" s="47"/>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c r="B334" s="41"/>
      <c r="C334" s="41"/>
      <c r="D334" s="41"/>
      <c r="E334" s="41"/>
      <c r="F334" s="103"/>
      <c r="G334" s="42"/>
      <c r="H334" s="104"/>
      <c r="I334" s="104"/>
      <c r="J334" s="502"/>
      <c r="K334" s="202"/>
      <c r="L334" s="47"/>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c r="B335" s="41"/>
      <c r="C335" s="41"/>
      <c r="D335" s="41"/>
      <c r="E335" s="41"/>
      <c r="F335" s="103"/>
      <c r="G335" s="42"/>
      <c r="H335" s="104"/>
      <c r="I335" s="104"/>
      <c r="J335" s="502"/>
      <c r="K335" s="202"/>
      <c r="L335" s="47"/>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c r="B336" s="41"/>
      <c r="C336" s="41"/>
      <c r="D336" s="41"/>
      <c r="E336" s="41"/>
      <c r="F336" s="103"/>
      <c r="G336" s="42"/>
      <c r="H336" s="104"/>
      <c r="I336" s="104"/>
      <c r="J336" s="502"/>
      <c r="K336" s="202"/>
      <c r="L336" s="47"/>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2:40">
      <c r="B337" s="41"/>
      <c r="C337" s="41"/>
      <c r="D337" s="41"/>
      <c r="E337" s="41"/>
      <c r="F337" s="103"/>
      <c r="G337" s="42"/>
      <c r="H337" s="104"/>
      <c r="I337" s="104"/>
      <c r="J337" s="502"/>
      <c r="K337" s="202"/>
      <c r="L337" s="47"/>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2:40">
      <c r="B338" s="41"/>
      <c r="C338" s="41"/>
      <c r="D338" s="41"/>
      <c r="E338" s="41"/>
      <c r="F338" s="103"/>
      <c r="G338" s="42"/>
      <c r="H338" s="104"/>
      <c r="I338" s="104"/>
      <c r="J338" s="502"/>
      <c r="K338" s="202"/>
      <c r="L338" s="47"/>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2:40">
      <c r="B339" s="41"/>
      <c r="C339" s="41"/>
      <c r="D339" s="41"/>
      <c r="E339" s="41"/>
      <c r="F339" s="103"/>
      <c r="G339" s="42"/>
      <c r="H339" s="104"/>
      <c r="I339" s="104"/>
      <c r="J339" s="502"/>
      <c r="K339" s="202"/>
      <c r="L339" s="47"/>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2:40">
      <c r="B340" s="41"/>
      <c r="C340" s="41"/>
      <c r="D340" s="41"/>
      <c r="E340" s="41"/>
      <c r="F340" s="103"/>
      <c r="G340" s="42"/>
      <c r="H340" s="104"/>
      <c r="I340" s="104"/>
      <c r="J340" s="502"/>
      <c r="K340" s="202"/>
      <c r="L340" s="47"/>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2:40">
      <c r="B341" s="41"/>
      <c r="C341" s="41"/>
      <c r="D341" s="41"/>
      <c r="E341" s="41"/>
      <c r="F341" s="103"/>
      <c r="G341" s="42"/>
      <c r="H341" s="104"/>
      <c r="I341" s="104"/>
      <c r="J341" s="502"/>
      <c r="K341" s="202"/>
      <c r="L341" s="47"/>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2:40">
      <c r="B342" s="41"/>
      <c r="C342" s="41"/>
      <c r="D342" s="41"/>
      <c r="E342" s="41"/>
      <c r="F342" s="103"/>
      <c r="G342" s="42"/>
      <c r="H342" s="104"/>
      <c r="I342" s="104"/>
      <c r="J342" s="502"/>
      <c r="K342" s="202"/>
      <c r="L342" s="47"/>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2:40">
      <c r="B343" s="41"/>
      <c r="C343" s="41"/>
      <c r="D343" s="41"/>
      <c r="E343" s="41"/>
      <c r="F343" s="103"/>
      <c r="G343" s="42"/>
      <c r="H343" s="104"/>
      <c r="I343" s="104"/>
      <c r="J343" s="502"/>
      <c r="K343" s="202"/>
      <c r="L343" s="47"/>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2:40">
      <c r="B344" s="41"/>
      <c r="C344" s="41"/>
      <c r="D344" s="41"/>
      <c r="E344" s="41"/>
      <c r="F344" s="103"/>
      <c r="G344" s="42"/>
      <c r="H344" s="104"/>
      <c r="I344" s="104"/>
      <c r="J344" s="502"/>
      <c r="K344" s="202"/>
      <c r="L344" s="47"/>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2:40">
      <c r="B345" s="41"/>
      <c r="C345" s="41"/>
      <c r="D345" s="41"/>
      <c r="E345" s="41"/>
      <c r="F345" s="103"/>
      <c r="G345" s="42"/>
      <c r="H345" s="104"/>
      <c r="I345" s="104"/>
      <c r="J345" s="502"/>
      <c r="K345" s="202"/>
      <c r="L345" s="47"/>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2:40">
      <c r="B346" s="41"/>
      <c r="C346" s="41"/>
      <c r="D346" s="41"/>
      <c r="E346" s="41"/>
      <c r="F346" s="103"/>
      <c r="G346" s="42"/>
      <c r="H346" s="104"/>
      <c r="I346" s="104"/>
      <c r="J346" s="502"/>
      <c r="K346" s="202"/>
      <c r="L346" s="47"/>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2:40">
      <c r="B347" s="41"/>
      <c r="C347" s="41"/>
      <c r="D347" s="41"/>
      <c r="E347" s="41"/>
      <c r="F347" s="103"/>
      <c r="G347" s="42"/>
      <c r="H347" s="104"/>
      <c r="I347" s="104"/>
      <c r="J347" s="502"/>
      <c r="K347" s="202"/>
      <c r="L347" s="47"/>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2:40">
      <c r="B348" s="41"/>
      <c r="C348" s="41"/>
      <c r="D348" s="41"/>
      <c r="E348" s="41"/>
      <c r="F348" s="103"/>
      <c r="G348" s="42"/>
      <c r="H348" s="104"/>
      <c r="I348" s="104"/>
      <c r="J348" s="502"/>
      <c r="K348" s="202"/>
      <c r="L348" s="47"/>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2:40">
      <c r="B349" s="41"/>
      <c r="C349" s="41"/>
      <c r="D349" s="41"/>
      <c r="E349" s="41"/>
      <c r="F349" s="103"/>
      <c r="G349" s="42"/>
      <c r="H349" s="104"/>
      <c r="I349" s="104"/>
      <c r="J349" s="502"/>
      <c r="K349" s="202"/>
      <c r="L349" s="47"/>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2:40">
      <c r="B350" s="41"/>
      <c r="C350" s="41"/>
      <c r="D350" s="41"/>
      <c r="E350" s="41"/>
      <c r="F350" s="103"/>
      <c r="G350" s="42"/>
      <c r="H350" s="104"/>
      <c r="I350" s="104"/>
      <c r="J350" s="502"/>
      <c r="K350" s="202"/>
      <c r="L350" s="47"/>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2:40">
      <c r="B351" s="41"/>
      <c r="C351" s="41"/>
      <c r="D351" s="41"/>
      <c r="E351" s="41"/>
      <c r="F351" s="103"/>
      <c r="G351" s="42"/>
      <c r="H351" s="104"/>
      <c r="I351" s="104"/>
      <c r="J351" s="502"/>
      <c r="K351" s="202"/>
      <c r="L351" s="47"/>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2:40">
      <c r="B352" s="41"/>
      <c r="C352" s="41"/>
      <c r="D352" s="41"/>
      <c r="E352" s="41"/>
      <c r="F352" s="103"/>
      <c r="G352" s="42"/>
      <c r="H352" s="104"/>
      <c r="I352" s="104"/>
      <c r="J352" s="502"/>
      <c r="K352" s="202"/>
      <c r="L352" s="47"/>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2:40">
      <c r="B353" s="41"/>
      <c r="C353" s="41"/>
      <c r="D353" s="41"/>
      <c r="E353" s="41"/>
      <c r="F353" s="103"/>
      <c r="G353" s="42"/>
      <c r="H353" s="104"/>
      <c r="I353" s="104"/>
      <c r="J353" s="502"/>
      <c r="K353" s="202"/>
      <c r="L353" s="47"/>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2:40">
      <c r="B354" s="41"/>
      <c r="C354" s="41"/>
      <c r="D354" s="41"/>
      <c r="E354" s="41"/>
      <c r="F354" s="103"/>
      <c r="G354" s="42"/>
      <c r="H354" s="104"/>
      <c r="I354" s="104"/>
      <c r="J354" s="502"/>
      <c r="K354" s="202"/>
      <c r="L354" s="47"/>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2:40">
      <c r="B355" s="41"/>
      <c r="C355" s="41"/>
      <c r="D355" s="41"/>
      <c r="E355" s="41"/>
      <c r="F355" s="103"/>
      <c r="G355" s="42"/>
      <c r="H355" s="104"/>
      <c r="I355" s="104"/>
      <c r="J355" s="502"/>
      <c r="K355" s="202"/>
      <c r="L355" s="47"/>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2:40">
      <c r="B356" s="41"/>
      <c r="C356" s="41"/>
      <c r="D356" s="41"/>
      <c r="E356" s="41"/>
      <c r="F356" s="103"/>
      <c r="G356" s="42"/>
      <c r="H356" s="104"/>
      <c r="I356" s="104"/>
      <c r="J356" s="502"/>
      <c r="K356" s="202"/>
      <c r="L356" s="47"/>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2:40">
      <c r="B357" s="41"/>
      <c r="C357" s="41"/>
      <c r="D357" s="41"/>
      <c r="E357" s="41"/>
      <c r="F357" s="103"/>
      <c r="G357" s="42"/>
      <c r="H357" s="104"/>
      <c r="I357" s="104"/>
      <c r="J357" s="502"/>
      <c r="K357" s="202"/>
      <c r="L357" s="47"/>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row>
    <row r="358" spans="2:40">
      <c r="B358" s="41"/>
      <c r="C358" s="41"/>
      <c r="D358" s="41"/>
      <c r="E358" s="41"/>
      <c r="F358" s="103"/>
      <c r="G358" s="42"/>
      <c r="H358" s="104"/>
      <c r="I358" s="104"/>
      <c r="J358" s="502"/>
      <c r="K358" s="202"/>
      <c r="L358" s="47"/>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row>
    <row r="359" spans="2:40">
      <c r="B359" s="41"/>
      <c r="C359" s="41"/>
      <c r="D359" s="41"/>
      <c r="E359" s="41"/>
      <c r="F359" s="103"/>
      <c r="G359" s="42"/>
      <c r="H359" s="104"/>
      <c r="I359" s="104"/>
      <c r="J359" s="502"/>
      <c r="K359" s="202"/>
      <c r="L359" s="47"/>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row>
    <row r="360" spans="2:40">
      <c r="B360" s="41"/>
      <c r="C360" s="41"/>
      <c r="D360" s="41"/>
      <c r="E360" s="41"/>
      <c r="F360" s="103"/>
      <c r="G360" s="42"/>
      <c r="H360" s="104"/>
      <c r="I360" s="104"/>
      <c r="J360" s="502"/>
      <c r="K360" s="202"/>
      <c r="L360" s="47"/>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row>
    <row r="361" spans="2:40">
      <c r="B361" s="41"/>
      <c r="C361" s="41"/>
      <c r="D361" s="41"/>
      <c r="E361" s="41"/>
      <c r="F361" s="103"/>
      <c r="G361" s="42"/>
      <c r="H361" s="104"/>
      <c r="I361" s="104"/>
      <c r="J361" s="502"/>
      <c r="K361" s="202"/>
      <c r="L361" s="47"/>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row>
    <row r="362" spans="2:40">
      <c r="B362" s="41"/>
      <c r="C362" s="41"/>
      <c r="D362" s="41"/>
      <c r="E362" s="41"/>
      <c r="F362" s="103"/>
      <c r="G362" s="42"/>
      <c r="H362" s="104"/>
      <c r="I362" s="104"/>
      <c r="J362" s="502"/>
      <c r="K362" s="202"/>
      <c r="L362" s="47"/>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row>
    <row r="363" spans="2:40">
      <c r="B363" s="41"/>
      <c r="C363" s="41"/>
      <c r="D363" s="41"/>
      <c r="E363" s="41"/>
      <c r="F363" s="103"/>
      <c r="G363" s="42"/>
      <c r="H363" s="104"/>
      <c r="I363" s="104"/>
      <c r="J363" s="502"/>
      <c r="K363" s="202"/>
      <c r="L363" s="47"/>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row>
    <row r="364" spans="2:40">
      <c r="B364" s="41"/>
      <c r="C364" s="41"/>
      <c r="D364" s="41"/>
      <c r="E364" s="41"/>
      <c r="F364" s="103"/>
      <c r="G364" s="42"/>
      <c r="H364" s="104"/>
      <c r="I364" s="104"/>
      <c r="J364" s="502"/>
      <c r="K364" s="202"/>
      <c r="L364" s="47"/>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row>
    <row r="365" spans="2:40">
      <c r="B365" s="41"/>
      <c r="C365" s="41"/>
      <c r="D365" s="41"/>
      <c r="E365" s="41"/>
      <c r="F365" s="103"/>
      <c r="G365" s="42"/>
      <c r="H365" s="104"/>
      <c r="I365" s="104"/>
      <c r="J365" s="502"/>
      <c r="K365" s="202"/>
      <c r="L365" s="47"/>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row>
    <row r="366" spans="2:40">
      <c r="B366" s="41"/>
      <c r="C366" s="41"/>
      <c r="D366" s="41"/>
      <c r="E366" s="41"/>
      <c r="F366" s="103"/>
      <c r="G366" s="42"/>
      <c r="H366" s="104"/>
      <c r="I366" s="104"/>
      <c r="J366" s="502"/>
      <c r="K366" s="202"/>
      <c r="L366" s="47"/>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row>
    <row r="367" spans="2:40">
      <c r="B367" s="41"/>
      <c r="C367" s="41"/>
      <c r="D367" s="41"/>
      <c r="E367" s="41"/>
      <c r="F367" s="103"/>
      <c r="G367" s="42"/>
      <c r="H367" s="104"/>
      <c r="I367" s="104"/>
      <c r="J367" s="502"/>
      <c r="K367" s="202"/>
      <c r="L367" s="47"/>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row>
    <row r="368" spans="2:40">
      <c r="B368" s="41"/>
      <c r="C368" s="41"/>
      <c r="D368" s="41"/>
      <c r="E368" s="41"/>
      <c r="F368" s="103"/>
      <c r="G368" s="42"/>
      <c r="H368" s="104"/>
      <c r="I368" s="104"/>
      <c r="J368" s="502"/>
      <c r="K368" s="202"/>
      <c r="L368" s="47"/>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row>
    <row r="369" spans="2:40">
      <c r="B369" s="41"/>
      <c r="C369" s="41"/>
      <c r="D369" s="41"/>
      <c r="E369" s="41"/>
      <c r="F369" s="103"/>
      <c r="G369" s="42"/>
      <c r="H369" s="104"/>
      <c r="I369" s="104"/>
      <c r="J369" s="502"/>
      <c r="K369" s="202"/>
      <c r="L369" s="47"/>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row>
    <row r="370" spans="2:40">
      <c r="B370" s="41"/>
      <c r="C370" s="41"/>
      <c r="D370" s="41"/>
      <c r="E370" s="41"/>
      <c r="F370" s="103"/>
      <c r="G370" s="42"/>
      <c r="H370" s="104"/>
      <c r="I370" s="104"/>
      <c r="J370" s="502"/>
      <c r="K370" s="202"/>
      <c r="L370" s="47"/>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row>
    <row r="371" spans="2:40">
      <c r="B371" s="41"/>
      <c r="C371" s="41"/>
      <c r="D371" s="41"/>
      <c r="E371" s="41"/>
      <c r="F371" s="103"/>
      <c r="G371" s="42"/>
      <c r="H371" s="104"/>
      <c r="I371" s="104"/>
      <c r="J371" s="502"/>
      <c r="K371" s="202"/>
      <c r="L371" s="47"/>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row>
    <row r="372" spans="2:40">
      <c r="B372" s="41"/>
      <c r="C372" s="41"/>
      <c r="D372" s="41"/>
      <c r="E372" s="41"/>
      <c r="F372" s="103"/>
      <c r="G372" s="42"/>
      <c r="H372" s="104"/>
      <c r="I372" s="104"/>
      <c r="J372" s="502"/>
      <c r="K372" s="202"/>
      <c r="L372" s="47"/>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row>
    <row r="373" spans="2:40">
      <c r="B373" s="41"/>
      <c r="C373" s="41"/>
      <c r="D373" s="41"/>
      <c r="E373" s="41"/>
      <c r="F373" s="103"/>
      <c r="G373" s="42"/>
      <c r="H373" s="104"/>
      <c r="I373" s="104"/>
      <c r="J373" s="502"/>
      <c r="K373" s="202"/>
      <c r="L373" s="47"/>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row>
    <row r="374" spans="2:40">
      <c r="B374" s="41"/>
      <c r="C374" s="41"/>
      <c r="D374" s="41"/>
      <c r="E374" s="41"/>
      <c r="F374" s="103"/>
      <c r="G374" s="42"/>
      <c r="H374" s="104"/>
      <c r="I374" s="104"/>
      <c r="J374" s="502"/>
      <c r="K374" s="202"/>
      <c r="L374" s="47"/>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row>
    <row r="375" spans="2:40">
      <c r="B375" s="41"/>
      <c r="C375" s="41"/>
      <c r="D375" s="41"/>
      <c r="E375" s="41"/>
      <c r="F375" s="103"/>
      <c r="G375" s="42"/>
      <c r="H375" s="104"/>
      <c r="I375" s="104"/>
      <c r="J375" s="502"/>
      <c r="K375" s="202"/>
      <c r="L375" s="47"/>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row>
    <row r="376" spans="2:40">
      <c r="B376" s="41"/>
      <c r="C376" s="41"/>
      <c r="D376" s="41"/>
      <c r="E376" s="41"/>
      <c r="F376" s="103"/>
      <c r="G376" s="42"/>
      <c r="H376" s="104"/>
      <c r="I376" s="104"/>
      <c r="J376" s="502"/>
      <c r="K376" s="202"/>
      <c r="L376" s="47"/>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row>
    <row r="377" spans="2:40">
      <c r="B377" s="41"/>
      <c r="C377" s="41"/>
      <c r="D377" s="41"/>
      <c r="E377" s="41"/>
      <c r="F377" s="103"/>
      <c r="G377" s="42"/>
      <c r="H377" s="104"/>
      <c r="I377" s="104"/>
      <c r="J377" s="502"/>
      <c r="K377" s="202"/>
      <c r="L377" s="47"/>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row>
    <row r="378" spans="2:40">
      <c r="B378" s="41"/>
      <c r="C378" s="41"/>
      <c r="D378" s="41"/>
      <c r="E378" s="41"/>
      <c r="F378" s="103"/>
      <c r="G378" s="42"/>
      <c r="H378" s="104"/>
      <c r="I378" s="104"/>
      <c r="J378" s="502"/>
      <c r="K378" s="202"/>
      <c r="L378" s="47"/>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row>
    <row r="379" spans="2:40">
      <c r="B379" s="41"/>
      <c r="C379" s="41"/>
      <c r="D379" s="41"/>
      <c r="E379" s="41"/>
      <c r="F379" s="103"/>
      <c r="G379" s="42"/>
      <c r="H379" s="104"/>
      <c r="I379" s="104"/>
      <c r="J379" s="502"/>
      <c r="K379" s="202"/>
      <c r="L379" s="47"/>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row>
    <row r="380" spans="2:40">
      <c r="B380" s="41"/>
      <c r="C380" s="41"/>
      <c r="D380" s="41"/>
      <c r="E380" s="41"/>
      <c r="F380" s="103"/>
      <c r="G380" s="42"/>
      <c r="H380" s="104"/>
      <c r="I380" s="104"/>
      <c r="J380" s="502"/>
      <c r="K380" s="202"/>
      <c r="L380" s="47"/>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row>
    <row r="381" spans="2:40">
      <c r="B381" s="41"/>
      <c r="C381" s="41"/>
      <c r="D381" s="41"/>
      <c r="E381" s="41"/>
      <c r="F381" s="103"/>
      <c r="G381" s="42"/>
      <c r="H381" s="104"/>
      <c r="I381" s="104"/>
      <c r="J381" s="502"/>
      <c r="K381" s="202"/>
      <c r="L381" s="47"/>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row>
    <row r="382" spans="2:40">
      <c r="B382" s="41"/>
      <c r="C382" s="41"/>
      <c r="D382" s="41"/>
      <c r="E382" s="41"/>
      <c r="F382" s="103"/>
      <c r="G382" s="42"/>
      <c r="H382" s="104"/>
      <c r="I382" s="104"/>
      <c r="J382" s="502"/>
      <c r="K382" s="202"/>
      <c r="L382" s="47"/>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row>
    <row r="383" spans="2:40">
      <c r="B383" s="41"/>
      <c r="C383" s="41"/>
      <c r="D383" s="41"/>
      <c r="E383" s="41"/>
      <c r="F383" s="103"/>
      <c r="G383" s="42"/>
      <c r="H383" s="104"/>
      <c r="I383" s="104"/>
      <c r="J383" s="502"/>
      <c r="K383" s="202"/>
      <c r="L383" s="47"/>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row>
    <row r="384" spans="2:40">
      <c r="B384" s="41"/>
      <c r="C384" s="41"/>
      <c r="D384" s="41"/>
      <c r="E384" s="41"/>
      <c r="F384" s="103"/>
      <c r="G384" s="42"/>
      <c r="H384" s="104"/>
      <c r="I384" s="104"/>
      <c r="J384" s="502"/>
      <c r="K384" s="202"/>
      <c r="L384" s="47"/>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row>
    <row r="385" spans="2:40">
      <c r="B385" s="41"/>
      <c r="C385" s="41"/>
      <c r="D385" s="41"/>
      <c r="E385" s="41"/>
      <c r="F385" s="103"/>
      <c r="G385" s="42"/>
      <c r="H385" s="104"/>
      <c r="I385" s="104"/>
      <c r="J385" s="502"/>
      <c r="K385" s="202"/>
      <c r="L385" s="47"/>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row>
    <row r="386" spans="2:40">
      <c r="B386" s="41"/>
      <c r="C386" s="41"/>
      <c r="D386" s="41"/>
      <c r="E386" s="41"/>
      <c r="F386" s="103"/>
      <c r="G386" s="42"/>
      <c r="H386" s="104"/>
      <c r="I386" s="104"/>
      <c r="J386" s="502"/>
      <c r="K386" s="202"/>
      <c r="L386" s="47"/>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row>
    <row r="387" spans="2:40">
      <c r="B387" s="41"/>
      <c r="C387" s="41"/>
      <c r="D387" s="41"/>
      <c r="E387" s="41"/>
      <c r="F387" s="103"/>
      <c r="G387" s="42"/>
      <c r="H387" s="104"/>
      <c r="I387" s="104"/>
      <c r="J387" s="502"/>
      <c r="K387" s="202"/>
      <c r="L387" s="47"/>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row>
    <row r="388" spans="2:40">
      <c r="B388" s="41"/>
      <c r="C388" s="41"/>
      <c r="D388" s="41"/>
      <c r="E388" s="41"/>
      <c r="F388" s="103"/>
      <c r="G388" s="42"/>
      <c r="H388" s="104"/>
      <c r="I388" s="104"/>
      <c r="J388" s="502"/>
      <c r="K388" s="202"/>
      <c r="L388" s="47"/>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row>
    <row r="389" spans="2:40">
      <c r="B389" s="41"/>
      <c r="C389" s="41"/>
      <c r="D389" s="41"/>
      <c r="E389" s="41"/>
      <c r="F389" s="103"/>
      <c r="G389" s="42"/>
      <c r="H389" s="104"/>
      <c r="I389" s="104"/>
      <c r="J389" s="502"/>
      <c r="K389" s="202"/>
      <c r="L389" s="47"/>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row>
    <row r="390" spans="2:40">
      <c r="B390" s="41"/>
      <c r="C390" s="41"/>
      <c r="D390" s="41"/>
      <c r="E390" s="41"/>
      <c r="F390" s="103"/>
      <c r="G390" s="42"/>
      <c r="H390" s="104"/>
      <c r="I390" s="104"/>
      <c r="J390" s="502"/>
      <c r="K390" s="202"/>
      <c r="L390" s="47"/>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row>
    <row r="391" spans="2:40">
      <c r="B391" s="41"/>
      <c r="C391" s="41"/>
      <c r="D391" s="41"/>
      <c r="E391" s="41"/>
      <c r="F391" s="103"/>
      <c r="G391" s="42"/>
      <c r="H391" s="104"/>
      <c r="I391" s="104"/>
      <c r="J391" s="502"/>
      <c r="K391" s="202"/>
      <c r="L391" s="47"/>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row>
    <row r="392" spans="2:40">
      <c r="B392" s="41"/>
      <c r="C392" s="41"/>
      <c r="D392" s="41"/>
      <c r="E392" s="41"/>
      <c r="F392" s="103"/>
      <c r="G392" s="42"/>
      <c r="H392" s="104"/>
      <c r="I392" s="104"/>
      <c r="J392" s="502"/>
      <c r="K392" s="202"/>
      <c r="L392" s="47"/>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row>
    <row r="393" spans="2:40">
      <c r="B393" s="41"/>
      <c r="C393" s="41"/>
      <c r="D393" s="41"/>
      <c r="E393" s="41"/>
      <c r="F393" s="103"/>
      <c r="G393" s="42"/>
      <c r="H393" s="104"/>
      <c r="I393" s="104"/>
      <c r="J393" s="502"/>
      <c r="K393" s="202"/>
      <c r="L393" s="47"/>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row>
    <row r="394" spans="2:40">
      <c r="B394" s="41"/>
      <c r="C394" s="41"/>
      <c r="D394" s="41"/>
      <c r="E394" s="41"/>
      <c r="F394" s="103"/>
      <c r="G394" s="42"/>
      <c r="H394" s="104"/>
      <c r="I394" s="104"/>
      <c r="J394" s="502"/>
      <c r="K394" s="202"/>
      <c r="L394" s="47"/>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row>
    <row r="395" spans="2:40">
      <c r="B395" s="41"/>
      <c r="C395" s="41"/>
      <c r="D395" s="41"/>
      <c r="E395" s="41"/>
      <c r="F395" s="103"/>
      <c r="G395" s="42"/>
      <c r="H395" s="104"/>
      <c r="I395" s="104"/>
      <c r="J395" s="502"/>
      <c r="K395" s="202"/>
      <c r="L395" s="47"/>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row>
    <row r="396" spans="2:40">
      <c r="B396" s="41"/>
      <c r="C396" s="41"/>
      <c r="D396" s="41"/>
      <c r="E396" s="41"/>
      <c r="F396" s="103"/>
      <c r="G396" s="42"/>
      <c r="H396" s="104"/>
      <c r="I396" s="104"/>
      <c r="J396" s="502"/>
      <c r="K396" s="202"/>
      <c r="L396" s="47"/>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row>
    <row r="397" spans="2:40">
      <c r="B397" s="41"/>
      <c r="C397" s="41"/>
      <c r="D397" s="41"/>
      <c r="E397" s="41"/>
      <c r="F397" s="103"/>
      <c r="G397" s="42"/>
      <c r="H397" s="104"/>
      <c r="I397" s="104"/>
      <c r="J397" s="502"/>
      <c r="K397" s="202"/>
      <c r="L397" s="47"/>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row>
    <row r="398" spans="2:40">
      <c r="B398" s="41"/>
      <c r="C398" s="41"/>
      <c r="D398" s="41"/>
      <c r="E398" s="41"/>
      <c r="F398" s="103"/>
      <c r="G398" s="42"/>
      <c r="H398" s="104"/>
      <c r="I398" s="104"/>
      <c r="J398" s="502"/>
      <c r="K398" s="202"/>
      <c r="L398" s="47"/>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row>
    <row r="399" spans="2:40">
      <c r="B399" s="41"/>
      <c r="C399" s="41"/>
      <c r="D399" s="41"/>
      <c r="E399" s="41"/>
      <c r="F399" s="103"/>
      <c r="G399" s="42"/>
      <c r="H399" s="104"/>
      <c r="I399" s="104"/>
      <c r="J399" s="502"/>
      <c r="K399" s="202"/>
      <c r="L399" s="47"/>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2:40">
      <c r="B400" s="41"/>
      <c r="C400" s="41"/>
      <c r="D400" s="41"/>
      <c r="E400" s="41"/>
      <c r="F400" s="103"/>
      <c r="G400" s="42"/>
      <c r="H400" s="104"/>
      <c r="I400" s="104"/>
      <c r="J400" s="502"/>
      <c r="K400" s="202"/>
      <c r="L400" s="47"/>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2:40">
      <c r="B401" s="41"/>
      <c r="C401" s="41"/>
      <c r="D401" s="41"/>
      <c r="E401" s="41"/>
      <c r="F401" s="103"/>
      <c r="G401" s="42"/>
      <c r="H401" s="104"/>
      <c r="I401" s="104"/>
      <c r="J401" s="502"/>
      <c r="K401" s="202"/>
      <c r="L401" s="47"/>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2:40">
      <c r="B402" s="41"/>
      <c r="C402" s="41"/>
      <c r="D402" s="41"/>
      <c r="E402" s="41"/>
      <c r="F402" s="103"/>
      <c r="G402" s="42"/>
      <c r="H402" s="104"/>
      <c r="I402" s="104"/>
      <c r="J402" s="502"/>
      <c r="K402" s="202"/>
      <c r="L402" s="47"/>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row>
    <row r="403" spans="2:40">
      <c r="B403" s="41"/>
      <c r="C403" s="41"/>
      <c r="D403" s="41"/>
      <c r="E403" s="41"/>
      <c r="F403" s="103"/>
      <c r="G403" s="42"/>
      <c r="H403" s="104"/>
      <c r="I403" s="104"/>
      <c r="J403" s="502"/>
      <c r="K403" s="202"/>
      <c r="L403" s="47"/>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row>
    <row r="404" spans="2:40">
      <c r="B404" s="41"/>
      <c r="C404" s="41"/>
      <c r="D404" s="41"/>
      <c r="E404" s="41"/>
      <c r="F404" s="103"/>
      <c r="G404" s="42"/>
      <c r="H404" s="104"/>
      <c r="I404" s="104"/>
      <c r="J404" s="502"/>
      <c r="K404" s="202"/>
      <c r="L404" s="47"/>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row>
    <row r="405" spans="2:40">
      <c r="B405" s="41"/>
      <c r="C405" s="41"/>
      <c r="D405" s="41"/>
      <c r="E405" s="41"/>
      <c r="F405" s="103"/>
      <c r="G405" s="42"/>
      <c r="H405" s="104"/>
      <c r="I405" s="104"/>
      <c r="J405" s="502"/>
      <c r="K405" s="202"/>
      <c r="L405" s="47"/>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row>
    <row r="406" spans="2:40">
      <c r="B406" s="41"/>
      <c r="C406" s="41"/>
      <c r="D406" s="41"/>
      <c r="E406" s="41"/>
      <c r="F406" s="103"/>
      <c r="G406" s="42"/>
      <c r="H406" s="104"/>
      <c r="I406" s="104"/>
      <c r="J406" s="502"/>
      <c r="K406" s="202"/>
      <c r="L406" s="47"/>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row>
    <row r="407" spans="2:40">
      <c r="B407" s="41"/>
      <c r="C407" s="41"/>
      <c r="D407" s="41"/>
      <c r="E407" s="41"/>
      <c r="F407" s="103"/>
      <c r="G407" s="42"/>
      <c r="H407" s="104"/>
      <c r="I407" s="104"/>
      <c r="J407" s="502"/>
      <c r="K407" s="202"/>
      <c r="L407" s="47"/>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row>
    <row r="408" spans="2:40">
      <c r="B408" s="41"/>
      <c r="C408" s="41"/>
      <c r="D408" s="41"/>
      <c r="E408" s="41"/>
      <c r="F408" s="103"/>
      <c r="G408" s="42"/>
      <c r="H408" s="104"/>
      <c r="I408" s="104"/>
      <c r="J408" s="502"/>
      <c r="K408" s="202"/>
      <c r="L408" s="47"/>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row>
    <row r="409" spans="2:40">
      <c r="B409" s="41"/>
      <c r="C409" s="41"/>
      <c r="D409" s="41"/>
      <c r="E409" s="41"/>
      <c r="F409" s="103"/>
      <c r="G409" s="42"/>
      <c r="H409" s="104"/>
      <c r="I409" s="104"/>
      <c r="J409" s="502"/>
      <c r="K409" s="202"/>
      <c r="L409" s="47"/>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row>
    <row r="410" spans="2:40">
      <c r="B410" s="41"/>
      <c r="C410" s="41"/>
      <c r="D410" s="41"/>
      <c r="E410" s="41"/>
      <c r="F410" s="103"/>
      <c r="G410" s="42"/>
      <c r="H410" s="104"/>
      <c r="I410" s="104"/>
      <c r="J410" s="502"/>
      <c r="K410" s="202"/>
      <c r="L410" s="47"/>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row>
    <row r="411" spans="2:40">
      <c r="B411" s="41"/>
      <c r="C411" s="41"/>
      <c r="D411" s="41"/>
      <c r="E411" s="41"/>
      <c r="F411" s="103"/>
      <c r="G411" s="42"/>
      <c r="H411" s="104"/>
      <c r="I411" s="104"/>
      <c r="J411" s="502"/>
      <c r="K411" s="202"/>
      <c r="L411" s="47"/>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row>
    <row r="412" spans="2:40">
      <c r="B412" s="41"/>
      <c r="C412" s="41"/>
      <c r="D412" s="41"/>
      <c r="E412" s="41"/>
      <c r="F412" s="103"/>
      <c r="G412" s="42"/>
      <c r="H412" s="104"/>
      <c r="I412" s="104"/>
      <c r="J412" s="502"/>
      <c r="K412" s="202"/>
      <c r="L412" s="47"/>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row>
    <row r="413" spans="2:40">
      <c r="B413" s="41"/>
      <c r="C413" s="41"/>
      <c r="D413" s="41"/>
      <c r="E413" s="41"/>
      <c r="F413" s="103"/>
      <c r="G413" s="42"/>
      <c r="H413" s="104"/>
      <c r="I413" s="104"/>
      <c r="J413" s="502"/>
      <c r="K413" s="202"/>
      <c r="L413" s="47"/>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row>
    <row r="414" spans="2:40">
      <c r="B414" s="41"/>
      <c r="C414" s="41"/>
      <c r="D414" s="41"/>
      <c r="E414" s="41"/>
      <c r="F414" s="103"/>
      <c r="G414" s="42"/>
      <c r="H414" s="104"/>
      <c r="I414" s="104"/>
      <c r="J414" s="502"/>
      <c r="K414" s="202"/>
      <c r="L414" s="47"/>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row>
    <row r="415" spans="2:40">
      <c r="B415" s="41"/>
      <c r="C415" s="41"/>
      <c r="D415" s="41"/>
      <c r="E415" s="41"/>
      <c r="F415" s="103"/>
      <c r="G415" s="42"/>
      <c r="H415" s="104"/>
      <c r="I415" s="104"/>
      <c r="J415" s="502"/>
      <c r="K415" s="202"/>
      <c r="L415" s="47"/>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row>
    <row r="416" spans="2:40">
      <c r="B416" s="41"/>
      <c r="C416" s="41"/>
      <c r="D416" s="41"/>
      <c r="E416" s="41"/>
      <c r="F416" s="103"/>
      <c r="G416" s="42"/>
      <c r="H416" s="104"/>
      <c r="I416" s="104"/>
      <c r="J416" s="502"/>
      <c r="K416" s="202"/>
      <c r="L416" s="47"/>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row>
    <row r="417" spans="2:40">
      <c r="B417" s="41"/>
      <c r="C417" s="41"/>
      <c r="D417" s="41"/>
      <c r="E417" s="41"/>
      <c r="F417" s="103"/>
      <c r="G417" s="42"/>
      <c r="H417" s="104"/>
      <c r="I417" s="104"/>
      <c r="J417" s="502"/>
      <c r="K417" s="202"/>
      <c r="L417" s="47"/>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row>
    <row r="418" spans="2:40">
      <c r="B418" s="41"/>
      <c r="C418" s="41"/>
      <c r="D418" s="41"/>
      <c r="E418" s="41"/>
      <c r="F418" s="103"/>
      <c r="G418" s="42"/>
      <c r="H418" s="104"/>
      <c r="I418" s="104"/>
      <c r="J418" s="502"/>
      <c r="K418" s="202"/>
      <c r="L418" s="47"/>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row>
    <row r="419" spans="2:40">
      <c r="B419" s="41"/>
      <c r="C419" s="41"/>
      <c r="D419" s="41"/>
      <c r="E419" s="41"/>
      <c r="F419" s="103"/>
      <c r="G419" s="42"/>
      <c r="H419" s="104"/>
      <c r="I419" s="104"/>
      <c r="J419" s="502"/>
      <c r="K419" s="202"/>
      <c r="L419" s="47"/>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row>
    <row r="420" spans="2:40" ht="15"/>
  </sheetData>
  <sheetProtection insertRows="0" deleteRows="0" selectLockedCells="1" sort="0" autoFilter="0"/>
  <mergeCells count="2">
    <mergeCell ref="Q1:S1"/>
    <mergeCell ref="U1:W1"/>
  </mergeCells>
  <phoneticPr fontId="39" type="noConversion"/>
  <conditionalFormatting sqref="B3:C3">
    <cfRule type="expression" dxfId="94" priority="45">
      <formula>FIND($B83,"PA")</formula>
    </cfRule>
  </conditionalFormatting>
  <conditionalFormatting sqref="B4:C4">
    <cfRule type="expression" dxfId="93" priority="64">
      <formula>FIND($B86,"PA")</formula>
    </cfRule>
  </conditionalFormatting>
  <conditionalFormatting sqref="B5:C5">
    <cfRule type="expression" dxfId="92" priority="44">
      <formula>FIND($B88,"PA")</formula>
    </cfRule>
  </conditionalFormatting>
  <conditionalFormatting sqref="B6:C6">
    <cfRule type="expression" dxfId="91" priority="68">
      <formula>FIND($B93,"PA")</formula>
    </cfRule>
  </conditionalFormatting>
  <conditionalFormatting sqref="B7:C7">
    <cfRule type="expression" dxfId="90" priority="72">
      <formula>FIND($B95,"PA")</formula>
    </cfRule>
  </conditionalFormatting>
  <conditionalFormatting sqref="B8:C8">
    <cfRule type="expression" dxfId="89" priority="76">
      <formula>FIND($B97,"PA")</formula>
    </cfRule>
  </conditionalFormatting>
  <conditionalFormatting sqref="B9:C9">
    <cfRule type="expression" dxfId="88" priority="80">
      <formula>FIND($B99,"PA")</formula>
    </cfRule>
  </conditionalFormatting>
  <conditionalFormatting sqref="B10:C10">
    <cfRule type="expression" dxfId="87" priority="84">
      <formula>FIND($B101,"PA")</formula>
    </cfRule>
  </conditionalFormatting>
  <conditionalFormatting sqref="B11:C11">
    <cfRule type="expression" dxfId="86" priority="88">
      <formula>FIND($B103,"PA")</formula>
    </cfRule>
  </conditionalFormatting>
  <conditionalFormatting sqref="B12:C12">
    <cfRule type="expression" dxfId="85" priority="92">
      <formula>FIND($B105,"PA")</formula>
    </cfRule>
  </conditionalFormatting>
  <conditionalFormatting sqref="B13:C13">
    <cfRule type="expression" dxfId="84" priority="96">
      <formula>FIND($B107,"PA")</formula>
    </cfRule>
  </conditionalFormatting>
  <conditionalFormatting sqref="B14:C14">
    <cfRule type="expression" dxfId="83" priority="100">
      <formula>FIND($B109,"PA")</formula>
    </cfRule>
  </conditionalFormatting>
  <conditionalFormatting sqref="B76:C78">
    <cfRule type="expression" dxfId="82" priority="52">
      <formula>FIND($B163,"PA")</formula>
    </cfRule>
  </conditionalFormatting>
  <conditionalFormatting sqref="B79:C87 B90:C99 B102:C103">
    <cfRule type="expression" dxfId="81" priority="47">
      <formula>FIND($B165,"PA")</formula>
    </cfRule>
  </conditionalFormatting>
  <conditionalFormatting sqref="B17:C22 B51:C72">
    <cfRule type="expression" dxfId="80" priority="50">
      <formula>FIND($B115,"PA")</formula>
    </cfRule>
  </conditionalFormatting>
  <conditionalFormatting sqref="B23:C36 C33:C44">
    <cfRule type="expression" dxfId="79" priority="63">
      <formula>FIND($B122,"PA")</formula>
    </cfRule>
  </conditionalFormatting>
  <conditionalFormatting sqref="B37:C45 B46:B47 C46:C72">
    <cfRule type="expression" dxfId="78" priority="61">
      <formula>FIND($B137,"PA")</formula>
    </cfRule>
  </conditionalFormatting>
  <conditionalFormatting sqref="C47">
    <cfRule type="expression" dxfId="77" priority="58">
      <formula>FIND($B145,"PA")</formula>
    </cfRule>
  </conditionalFormatting>
  <conditionalFormatting sqref="C104:C187 C3:E75">
    <cfRule type="cellIs" dxfId="76" priority="40" operator="equal">
      <formula>"''"</formula>
    </cfRule>
    <cfRule type="cellIs" dxfId="75" priority="42" operator="equal">
      <formula>""""""</formula>
    </cfRule>
  </conditionalFormatting>
  <conditionalFormatting sqref="C82:C88">
    <cfRule type="expression" dxfId="74" priority="39">
      <formula>FIND($B167,"PA")</formula>
    </cfRule>
  </conditionalFormatting>
  <conditionalFormatting sqref="B48:C50 B73:C75 B16:C16 C63:C72">
    <cfRule type="expression" dxfId="73" priority="38">
      <formula>FIND($B113,"PA")</formula>
    </cfRule>
  </conditionalFormatting>
  <conditionalFormatting sqref="C76:E103">
    <cfRule type="cellIs" dxfId="72" priority="35" operator="equal">
      <formula>"''"</formula>
    </cfRule>
    <cfRule type="cellIs" dxfId="71" priority="36" operator="equal">
      <formula>""""""</formula>
    </cfRule>
  </conditionalFormatting>
  <conditionalFormatting sqref="D104:D117">
    <cfRule type="cellIs" dxfId="70" priority="33" operator="equal">
      <formula>"''"</formula>
    </cfRule>
    <cfRule type="cellIs" dxfId="69" priority="34" operator="equal">
      <formula>""""""</formula>
    </cfRule>
  </conditionalFormatting>
  <conditionalFormatting sqref="D118:D131">
    <cfRule type="cellIs" dxfId="68" priority="31" operator="equal">
      <formula>"''"</formula>
    </cfRule>
    <cfRule type="cellIs" dxfId="67" priority="32" operator="equal">
      <formula>""""""</formula>
    </cfRule>
  </conditionalFormatting>
  <conditionalFormatting sqref="D132:D145">
    <cfRule type="cellIs" dxfId="66" priority="29" operator="equal">
      <formula>"''"</formula>
    </cfRule>
    <cfRule type="cellIs" dxfId="65" priority="30" operator="equal">
      <formula>""""""</formula>
    </cfRule>
  </conditionalFormatting>
  <conditionalFormatting sqref="D146:D159">
    <cfRule type="cellIs" dxfId="64" priority="27" operator="equal">
      <formula>"''"</formula>
    </cfRule>
    <cfRule type="cellIs" dxfId="63" priority="28" operator="equal">
      <formula>""""""</formula>
    </cfRule>
  </conditionalFormatting>
  <conditionalFormatting sqref="D160:D173">
    <cfRule type="cellIs" dxfId="62" priority="25" operator="equal">
      <formula>"''"</formula>
    </cfRule>
    <cfRule type="cellIs" dxfId="61" priority="26" operator="equal">
      <formula>""""""</formula>
    </cfRule>
  </conditionalFormatting>
  <conditionalFormatting sqref="D174:D187">
    <cfRule type="cellIs" dxfId="60" priority="23" operator="equal">
      <formula>"''"</formula>
    </cfRule>
    <cfRule type="cellIs" dxfId="59" priority="24" operator="equal">
      <formula>""""""</formula>
    </cfRule>
  </conditionalFormatting>
  <conditionalFormatting sqref="E104:E117">
    <cfRule type="cellIs" dxfId="58" priority="21" operator="equal">
      <formula>"''"</formula>
    </cfRule>
    <cfRule type="cellIs" dxfId="57" priority="22" operator="equal">
      <formula>""""""</formula>
    </cfRule>
  </conditionalFormatting>
  <conditionalFormatting sqref="E118:E131">
    <cfRule type="cellIs" dxfId="56" priority="19" operator="equal">
      <formula>"''"</formula>
    </cfRule>
    <cfRule type="cellIs" dxfId="55" priority="20" operator="equal">
      <formula>""""""</formula>
    </cfRule>
  </conditionalFormatting>
  <conditionalFormatting sqref="E132:E145">
    <cfRule type="cellIs" dxfId="54" priority="17" operator="equal">
      <formula>"''"</formula>
    </cfRule>
    <cfRule type="cellIs" dxfId="53" priority="18" operator="equal">
      <formula>""""""</formula>
    </cfRule>
  </conditionalFormatting>
  <conditionalFormatting sqref="E146:E159">
    <cfRule type="cellIs" dxfId="52" priority="15" operator="equal">
      <formula>"''"</formula>
    </cfRule>
    <cfRule type="cellIs" dxfId="51" priority="16" operator="equal">
      <formula>""""""</formula>
    </cfRule>
  </conditionalFormatting>
  <conditionalFormatting sqref="E160:E173">
    <cfRule type="cellIs" dxfId="50" priority="13" operator="equal">
      <formula>"''"</formula>
    </cfRule>
    <cfRule type="cellIs" dxfId="49" priority="14" operator="equal">
      <formula>""""""</formula>
    </cfRule>
  </conditionalFormatting>
  <conditionalFormatting sqref="E174:E187">
    <cfRule type="cellIs" dxfId="48" priority="11" operator="equal">
      <formula>"''"</formula>
    </cfRule>
    <cfRule type="cellIs" dxfId="47" priority="12" operator="equal">
      <formula>""""""</formula>
    </cfRule>
  </conditionalFormatting>
  <conditionalFormatting sqref="B88:C89">
    <cfRule type="expression" dxfId="46" priority="102">
      <formula>FIND($B186,"PA")</formula>
    </cfRule>
  </conditionalFormatting>
  <conditionalFormatting sqref="B100:C101">
    <cfRule type="expression" dxfId="45" priority="103">
      <formula>FIND(#REF!,"PA")</formula>
    </cfRule>
  </conditionalFormatting>
  <conditionalFormatting sqref="B15:C15">
    <cfRule type="expression" dxfId="44" priority="104">
      <formula>FIND($B111,"PA")</formula>
    </cfRule>
  </conditionalFormatting>
  <conditionalFormatting sqref="D202:D215">
    <cfRule type="cellIs" dxfId="43" priority="9" operator="equal">
      <formula>"''"</formula>
    </cfRule>
    <cfRule type="cellIs" dxfId="42" priority="10" operator="equal">
      <formula>""""""</formula>
    </cfRule>
  </conditionalFormatting>
  <conditionalFormatting sqref="D216:D229">
    <cfRule type="cellIs" dxfId="41" priority="7" operator="equal">
      <formula>"''"</formula>
    </cfRule>
    <cfRule type="cellIs" dxfId="40" priority="8" operator="equal">
      <formula>""""""</formula>
    </cfRule>
  </conditionalFormatting>
  <conditionalFormatting sqref="D230:D243">
    <cfRule type="cellIs" dxfId="39" priority="5" operator="equal">
      <formula>"''"</formula>
    </cfRule>
    <cfRule type="cellIs" dxfId="38" priority="6" operator="equal">
      <formula>""""""</formula>
    </cfRule>
  </conditionalFormatting>
  <conditionalFormatting sqref="D244:D257">
    <cfRule type="cellIs" dxfId="37" priority="3" operator="equal">
      <formula>"''"</formula>
    </cfRule>
    <cfRule type="cellIs" dxfId="36" priority="4" operator="equal">
      <formula>""""""</formula>
    </cfRule>
  </conditionalFormatting>
  <conditionalFormatting sqref="D258:D327">
    <cfRule type="cellIs" dxfId="35" priority="1" operator="equal">
      <formula>"''"</formula>
    </cfRule>
    <cfRule type="cellIs" dxfId="34" priority="2" operator="equal">
      <formula>""""""</formula>
    </cfRule>
  </conditionalFormatting>
  <dataValidations count="4">
    <dataValidation type="list" allowBlank="1" showInputMessage="1" showErrorMessage="1" sqref="L129:L327 L3:L124" xr:uid="{B1D3FD51-5D50-674F-AE55-03A54DD78CB2}">
      <formula1>INDIRECT("TargetGroups[TargetGroups]")</formula1>
    </dataValidation>
    <dataValidation type="list" allowBlank="1" showInputMessage="1" showErrorMessage="1" sqref="D3:D327" xr:uid="{99665E93-F129-294A-9F77-B007160EEDD5}">
      <formula1>INDIRECT("TTMStage[TTMStage]")</formula1>
    </dataValidation>
    <dataValidation type="list" allowBlank="1" showInputMessage="1" showErrorMessage="1" sqref="G3:G327" xr:uid="{4A8D6F81-96C8-C647-A3D9-DFA01E0C7FCF}">
      <formula1>INDIRECT("TaskTypes[TaskType]")</formula1>
    </dataValidation>
    <dataValidation type="list" allowBlank="1" showInputMessage="1" showErrorMessage="1" sqref="A3:A327" xr:uid="{670F29E0-9A45-0042-8075-420E400A7EDA}">
      <formula1>INDIRECT("Waives[Waives]")</formula1>
    </dataValidation>
  </dataValidation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07B69-F9A2-453D-9D0A-4FED3AE0A2B8}">
  <dimension ref="A1:E3"/>
  <sheetViews>
    <sheetView workbookViewId="0">
      <selection activeCell="C3" sqref="C3"/>
    </sheetView>
  </sheetViews>
  <sheetFormatPr defaultRowHeight="15"/>
  <cols>
    <col min="3" max="3" width="41.85546875" customWidth="1"/>
    <col min="4" max="4" width="32.85546875" customWidth="1"/>
    <col min="5" max="5" width="15.85546875" bestFit="1" customWidth="1"/>
    <col min="6" max="7" width="9.28515625" customWidth="1"/>
  </cols>
  <sheetData>
    <row r="1" spans="1:5" s="2" customFormat="1">
      <c r="A1" s="2" t="s">
        <v>1719</v>
      </c>
      <c r="B1" s="2" t="s">
        <v>1720</v>
      </c>
      <c r="C1" s="2" t="s">
        <v>1721</v>
      </c>
      <c r="D1" s="2" t="s">
        <v>1722</v>
      </c>
      <c r="E1" s="2" t="s">
        <v>1723</v>
      </c>
    </row>
    <row r="2" spans="1:5" s="543" customFormat="1" ht="171" customHeight="1">
      <c r="A2" s="668" t="s">
        <v>403</v>
      </c>
      <c r="B2" s="668" t="s">
        <v>97</v>
      </c>
      <c r="C2" s="669" t="s">
        <v>1265</v>
      </c>
      <c r="D2" s="670" t="s">
        <v>1266</v>
      </c>
      <c r="E2" s="671" t="s">
        <v>1724</v>
      </c>
    </row>
    <row r="3" spans="1:5" ht="205.5" customHeight="1">
      <c r="A3" s="673" t="s">
        <v>108</v>
      </c>
      <c r="B3" s="674" t="s">
        <v>94</v>
      </c>
      <c r="C3" s="744" t="s">
        <v>1619</v>
      </c>
      <c r="D3" s="675"/>
      <c r="E3" s="674" t="s">
        <v>1618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50FB-6D54-4708-AA32-61683C065C1A}">
  <dimension ref="A1:D95"/>
  <sheetViews>
    <sheetView tabSelected="1" workbookViewId="0">
      <selection activeCell="D11" sqref="D11:D12"/>
    </sheetView>
  </sheetViews>
  <sheetFormatPr defaultRowHeight="15"/>
  <cols>
    <col min="1" max="1" width="11.5703125" bestFit="1" customWidth="1"/>
    <col min="2" max="2" width="36.42578125" bestFit="1" customWidth="1"/>
    <col min="3" max="3" width="23.7109375" customWidth="1"/>
  </cols>
  <sheetData>
    <row r="1" spans="1:4">
      <c r="A1" s="684" t="s">
        <v>78</v>
      </c>
      <c r="B1" t="s">
        <v>1725</v>
      </c>
      <c r="C1" s="154" t="s">
        <v>95</v>
      </c>
      <c r="D1" t="s">
        <v>1726</v>
      </c>
    </row>
    <row r="2" spans="1:4">
      <c r="C2" s="154" t="s">
        <v>98</v>
      </c>
      <c r="D2" t="s">
        <v>1727</v>
      </c>
    </row>
    <row r="3" spans="1:4">
      <c r="C3" s="154" t="s">
        <v>101</v>
      </c>
      <c r="D3" t="s">
        <v>1728</v>
      </c>
    </row>
    <row r="4" spans="1:4">
      <c r="C4" s="154" t="s">
        <v>104</v>
      </c>
      <c r="D4" t="s">
        <v>1729</v>
      </c>
    </row>
    <row r="5" spans="1:4">
      <c r="C5" s="154" t="s">
        <v>107</v>
      </c>
      <c r="D5" t="s">
        <v>1730</v>
      </c>
    </row>
    <row r="6" spans="1:4">
      <c r="C6" s="154" t="s">
        <v>110</v>
      </c>
      <c r="D6" s="676" t="s">
        <v>1731</v>
      </c>
    </row>
    <row r="7" spans="1:4">
      <c r="C7" s="154" t="s">
        <v>113</v>
      </c>
      <c r="D7" t="s">
        <v>1732</v>
      </c>
    </row>
    <row r="8" spans="1:4">
      <c r="C8" s="154" t="s">
        <v>115</v>
      </c>
      <c r="D8" s="676" t="s">
        <v>1733</v>
      </c>
    </row>
    <row r="9" spans="1:4">
      <c r="B9" t="s">
        <v>1734</v>
      </c>
      <c r="C9" s="677" t="s">
        <v>95</v>
      </c>
      <c r="D9" t="s">
        <v>1735</v>
      </c>
    </row>
    <row r="10" spans="1:4">
      <c r="C10" s="677" t="s">
        <v>98</v>
      </c>
      <c r="D10" t="s">
        <v>1727</v>
      </c>
    </row>
    <row r="11" spans="1:4">
      <c r="C11" s="677" t="s">
        <v>101</v>
      </c>
      <c r="D11" s="678" t="s">
        <v>1728</v>
      </c>
    </row>
    <row r="12" spans="1:4">
      <c r="C12" s="677" t="s">
        <v>104</v>
      </c>
      <c r="D12" t="s">
        <v>1729</v>
      </c>
    </row>
    <row r="13" spans="1:4">
      <c r="C13" s="677" t="s">
        <v>107</v>
      </c>
      <c r="D13" t="s">
        <v>1736</v>
      </c>
    </row>
    <row r="14" spans="1:4">
      <c r="C14" s="677" t="s">
        <v>110</v>
      </c>
      <c r="D14" s="676" t="s">
        <v>1731</v>
      </c>
    </row>
    <row r="15" spans="1:4">
      <c r="C15" s="677" t="s">
        <v>113</v>
      </c>
      <c r="D15" t="s">
        <v>1737</v>
      </c>
    </row>
    <row r="16" spans="1:4">
      <c r="C16" s="677" t="s">
        <v>115</v>
      </c>
      <c r="D16" s="676" t="s">
        <v>1738</v>
      </c>
    </row>
    <row r="17" spans="2:4">
      <c r="B17" t="s">
        <v>1739</v>
      </c>
      <c r="C17" s="679" t="s">
        <v>95</v>
      </c>
      <c r="D17" t="s">
        <v>1740</v>
      </c>
    </row>
    <row r="18" spans="2:4">
      <c r="C18" s="679" t="s">
        <v>98</v>
      </c>
      <c r="D18" t="s">
        <v>1727</v>
      </c>
    </row>
    <row r="19" spans="2:4">
      <c r="C19" s="679" t="s">
        <v>101</v>
      </c>
      <c r="D19" s="678" t="s">
        <v>1741</v>
      </c>
    </row>
    <row r="20" spans="2:4">
      <c r="C20" s="679" t="s">
        <v>104</v>
      </c>
      <c r="D20" t="s">
        <v>1729</v>
      </c>
    </row>
    <row r="21" spans="2:4">
      <c r="C21" s="679" t="s">
        <v>107</v>
      </c>
      <c r="D21" t="s">
        <v>1742</v>
      </c>
    </row>
    <row r="22" spans="2:4">
      <c r="C22" s="679" t="s">
        <v>110</v>
      </c>
      <c r="D22" s="676" t="s">
        <v>1743</v>
      </c>
    </row>
    <row r="23" spans="2:4">
      <c r="C23" s="679" t="s">
        <v>113</v>
      </c>
      <c r="D23" t="s">
        <v>1744</v>
      </c>
    </row>
    <row r="24" spans="2:4">
      <c r="C24" s="679" t="s">
        <v>115</v>
      </c>
      <c r="D24" s="676" t="s">
        <v>1745</v>
      </c>
    </row>
    <row r="25" spans="2:4">
      <c r="B25" t="s">
        <v>1746</v>
      </c>
      <c r="C25" s="680" t="s">
        <v>95</v>
      </c>
      <c r="D25" t="s">
        <v>1747</v>
      </c>
    </row>
    <row r="26" spans="2:4">
      <c r="C26" s="680" t="s">
        <v>98</v>
      </c>
      <c r="D26" t="s">
        <v>1748</v>
      </c>
    </row>
    <row r="27" spans="2:4">
      <c r="C27" s="680" t="s">
        <v>101</v>
      </c>
      <c r="D27" s="678" t="s">
        <v>1749</v>
      </c>
    </row>
    <row r="28" spans="2:4">
      <c r="C28" s="680" t="s">
        <v>104</v>
      </c>
      <c r="D28" t="s">
        <v>1750</v>
      </c>
    </row>
    <row r="29" spans="2:4">
      <c r="C29" s="680" t="s">
        <v>107</v>
      </c>
      <c r="D29" t="s">
        <v>1751</v>
      </c>
    </row>
    <row r="30" spans="2:4">
      <c r="C30" s="680" t="s">
        <v>110</v>
      </c>
      <c r="D30" s="676" t="s">
        <v>1752</v>
      </c>
    </row>
    <row r="31" spans="2:4">
      <c r="C31" s="680" t="s">
        <v>113</v>
      </c>
      <c r="D31" t="s">
        <v>1753</v>
      </c>
    </row>
    <row r="32" spans="2:4">
      <c r="C32" s="680" t="s">
        <v>115</v>
      </c>
      <c r="D32" s="676" t="s">
        <v>1754</v>
      </c>
    </row>
    <row r="33" spans="1:4">
      <c r="B33" t="s">
        <v>1755</v>
      </c>
      <c r="C33" s="743"/>
      <c r="D33" s="676"/>
    </row>
    <row r="34" spans="1:4">
      <c r="C34" s="743"/>
      <c r="D34" s="676"/>
    </row>
    <row r="35" spans="1:4">
      <c r="C35" s="743"/>
      <c r="D35" s="676"/>
    </row>
    <row r="36" spans="1:4">
      <c r="C36" s="743"/>
      <c r="D36" s="676"/>
    </row>
    <row r="37" spans="1:4">
      <c r="C37" s="743"/>
      <c r="D37" s="676"/>
    </row>
    <row r="38" spans="1:4">
      <c r="C38" s="743"/>
      <c r="D38" s="676"/>
    </row>
    <row r="39" spans="1:4">
      <c r="C39" s="743"/>
      <c r="D39" s="676"/>
    </row>
    <row r="40" spans="1:4">
      <c r="A40" s="684" t="s">
        <v>1104</v>
      </c>
      <c r="B40" t="s">
        <v>1756</v>
      </c>
      <c r="C40" s="681" t="s">
        <v>95</v>
      </c>
      <c r="D40" t="s">
        <v>1757</v>
      </c>
    </row>
    <row r="41" spans="1:4">
      <c r="C41" s="681" t="s">
        <v>98</v>
      </c>
      <c r="D41" t="s">
        <v>1758</v>
      </c>
    </row>
    <row r="42" spans="1:4">
      <c r="C42" s="681" t="s">
        <v>101</v>
      </c>
      <c r="D42" s="678" t="s">
        <v>1759</v>
      </c>
    </row>
    <row r="43" spans="1:4">
      <c r="C43" s="681" t="s">
        <v>104</v>
      </c>
      <c r="D43" t="s">
        <v>1760</v>
      </c>
    </row>
    <row r="44" spans="1:4">
      <c r="C44" s="681" t="s">
        <v>107</v>
      </c>
      <c r="D44" t="s">
        <v>1761</v>
      </c>
    </row>
    <row r="45" spans="1:4">
      <c r="C45" s="681" t="s">
        <v>110</v>
      </c>
      <c r="D45" s="676" t="s">
        <v>1762</v>
      </c>
    </row>
    <row r="46" spans="1:4">
      <c r="C46" s="681" t="s">
        <v>113</v>
      </c>
      <c r="D46" t="s">
        <v>1763</v>
      </c>
    </row>
    <row r="47" spans="1:4">
      <c r="C47" s="681" t="s">
        <v>115</v>
      </c>
      <c r="D47" s="676" t="s">
        <v>1764</v>
      </c>
    </row>
    <row r="48" spans="1:4">
      <c r="B48" t="s">
        <v>1765</v>
      </c>
      <c r="C48" s="682" t="s">
        <v>95</v>
      </c>
      <c r="D48" t="s">
        <v>1766</v>
      </c>
    </row>
    <row r="49" spans="1:4">
      <c r="C49" s="682" t="s">
        <v>98</v>
      </c>
      <c r="D49" t="s">
        <v>1767</v>
      </c>
    </row>
    <row r="50" spans="1:4">
      <c r="C50" s="682" t="s">
        <v>101</v>
      </c>
      <c r="D50" s="678" t="s">
        <v>1759</v>
      </c>
    </row>
    <row r="51" spans="1:4">
      <c r="C51" s="682" t="s">
        <v>104</v>
      </c>
      <c r="D51" t="s">
        <v>1768</v>
      </c>
    </row>
    <row r="52" spans="1:4">
      <c r="C52" s="682" t="s">
        <v>107</v>
      </c>
      <c r="D52" t="s">
        <v>1761</v>
      </c>
    </row>
    <row r="53" spans="1:4">
      <c r="C53" s="682" t="s">
        <v>110</v>
      </c>
      <c r="D53" s="676" t="s">
        <v>1769</v>
      </c>
    </row>
    <row r="54" spans="1:4">
      <c r="C54" s="682" t="s">
        <v>113</v>
      </c>
      <c r="D54" t="s">
        <v>1770</v>
      </c>
    </row>
    <row r="55" spans="1:4">
      <c r="C55" s="682" t="s">
        <v>115</v>
      </c>
      <c r="D55" s="676" t="s">
        <v>1771</v>
      </c>
    </row>
    <row r="56" spans="1:4">
      <c r="A56" t="s">
        <v>1772</v>
      </c>
      <c r="B56" t="s">
        <v>1773</v>
      </c>
      <c r="C56" s="295" t="s">
        <v>95</v>
      </c>
      <c r="D56" t="s">
        <v>1774</v>
      </c>
    </row>
    <row r="57" spans="1:4">
      <c r="C57" s="295" t="s">
        <v>98</v>
      </c>
      <c r="D57" t="s">
        <v>1775</v>
      </c>
    </row>
    <row r="58" spans="1:4">
      <c r="C58" s="295" t="s">
        <v>101</v>
      </c>
      <c r="D58" s="678" t="s">
        <v>1776</v>
      </c>
    </row>
    <row r="59" spans="1:4">
      <c r="C59" s="295" t="s">
        <v>104</v>
      </c>
      <c r="D59" t="s">
        <v>1777</v>
      </c>
    </row>
    <row r="60" spans="1:4">
      <c r="C60" s="295" t="s">
        <v>107</v>
      </c>
      <c r="D60" t="s">
        <v>1761</v>
      </c>
    </row>
    <row r="61" spans="1:4">
      <c r="C61" s="295" t="s">
        <v>110</v>
      </c>
      <c r="D61" s="676" t="s">
        <v>1778</v>
      </c>
    </row>
    <row r="62" spans="1:4">
      <c r="C62" s="295" t="s">
        <v>113</v>
      </c>
      <c r="D62" t="s">
        <v>1779</v>
      </c>
    </row>
    <row r="63" spans="1:4">
      <c r="C63" s="295" t="s">
        <v>115</v>
      </c>
      <c r="D63" s="676" t="s">
        <v>1780</v>
      </c>
    </row>
    <row r="64" spans="1:4">
      <c r="B64" t="s">
        <v>1781</v>
      </c>
      <c r="C64" s="683" t="s">
        <v>95</v>
      </c>
      <c r="D64" t="s">
        <v>1782</v>
      </c>
    </row>
    <row r="65" spans="2:4">
      <c r="C65" s="683" t="s">
        <v>98</v>
      </c>
      <c r="D65" t="s">
        <v>1783</v>
      </c>
    </row>
    <row r="66" spans="2:4">
      <c r="C66" s="683" t="s">
        <v>101</v>
      </c>
      <c r="D66" s="678" t="s">
        <v>1776</v>
      </c>
    </row>
    <row r="67" spans="2:4">
      <c r="C67" s="683" t="s">
        <v>104</v>
      </c>
      <c r="D67" t="s">
        <v>1777</v>
      </c>
    </row>
    <row r="68" spans="2:4">
      <c r="C68" s="683" t="s">
        <v>107</v>
      </c>
      <c r="D68" t="s">
        <v>1761</v>
      </c>
    </row>
    <row r="69" spans="2:4">
      <c r="C69" s="683" t="s">
        <v>110</v>
      </c>
      <c r="D69" s="676" t="s">
        <v>1784</v>
      </c>
    </row>
    <row r="70" spans="2:4">
      <c r="C70" s="683" t="s">
        <v>113</v>
      </c>
      <c r="D70" t="s">
        <v>1785</v>
      </c>
    </row>
    <row r="71" spans="2:4">
      <c r="C71" s="683" t="s">
        <v>115</v>
      </c>
      <c r="D71" s="676" t="s">
        <v>1786</v>
      </c>
    </row>
    <row r="72" spans="2:4">
      <c r="B72" t="s">
        <v>1787</v>
      </c>
      <c r="C72" s="153" t="s">
        <v>95</v>
      </c>
      <c r="D72" t="s">
        <v>1788</v>
      </c>
    </row>
    <row r="73" spans="2:4">
      <c r="C73" s="153" t="s">
        <v>98</v>
      </c>
      <c r="D73" t="s">
        <v>1789</v>
      </c>
    </row>
    <row r="74" spans="2:4">
      <c r="C74" s="153" t="s">
        <v>101</v>
      </c>
      <c r="D74" s="678" t="s">
        <v>1776</v>
      </c>
    </row>
    <row r="75" spans="2:4">
      <c r="C75" s="153" t="s">
        <v>104</v>
      </c>
      <c r="D75" t="s">
        <v>1777</v>
      </c>
    </row>
    <row r="76" spans="2:4">
      <c r="C76" s="153" t="s">
        <v>107</v>
      </c>
      <c r="D76" t="s">
        <v>1761</v>
      </c>
    </row>
    <row r="77" spans="2:4">
      <c r="C77" s="153" t="s">
        <v>110</v>
      </c>
      <c r="D77" s="676" t="s">
        <v>1790</v>
      </c>
    </row>
    <row r="78" spans="2:4">
      <c r="C78" s="153" t="s">
        <v>113</v>
      </c>
      <c r="D78" t="s">
        <v>1791</v>
      </c>
    </row>
    <row r="79" spans="2:4">
      <c r="C79" s="153" t="s">
        <v>115</v>
      </c>
      <c r="D79" s="676" t="s">
        <v>1792</v>
      </c>
    </row>
    <row r="80" spans="2:4">
      <c r="B80" t="s">
        <v>1793</v>
      </c>
      <c r="C80" s="685" t="s">
        <v>95</v>
      </c>
      <c r="D80" t="s">
        <v>1794</v>
      </c>
    </row>
    <row r="81" spans="2:4">
      <c r="C81" s="685" t="s">
        <v>98</v>
      </c>
      <c r="D81" t="s">
        <v>1795</v>
      </c>
    </row>
    <row r="82" spans="2:4">
      <c r="C82" s="685" t="s">
        <v>101</v>
      </c>
      <c r="D82" s="678" t="s">
        <v>1776</v>
      </c>
    </row>
    <row r="83" spans="2:4">
      <c r="C83" s="685" t="s">
        <v>104</v>
      </c>
      <c r="D83" t="s">
        <v>1777</v>
      </c>
    </row>
    <row r="84" spans="2:4">
      <c r="C84" s="685" t="s">
        <v>107</v>
      </c>
      <c r="D84" t="s">
        <v>1761</v>
      </c>
    </row>
    <row r="85" spans="2:4">
      <c r="C85" s="685" t="s">
        <v>110</v>
      </c>
      <c r="D85" s="676" t="s">
        <v>1796</v>
      </c>
    </row>
    <row r="86" spans="2:4">
      <c r="C86" s="685" t="s">
        <v>113</v>
      </c>
      <c r="D86" t="s">
        <v>1797</v>
      </c>
    </row>
    <row r="87" spans="2:4">
      <c r="C87" s="685" t="s">
        <v>115</v>
      </c>
      <c r="D87" s="676" t="s">
        <v>1798</v>
      </c>
    </row>
    <row r="88" spans="2:4">
      <c r="B88" t="s">
        <v>1799</v>
      </c>
      <c r="C88" s="686" t="s">
        <v>95</v>
      </c>
      <c r="D88" t="s">
        <v>1800</v>
      </c>
    </row>
    <row r="89" spans="2:4">
      <c r="C89" s="686" t="s">
        <v>98</v>
      </c>
      <c r="D89" t="s">
        <v>1801</v>
      </c>
    </row>
    <row r="90" spans="2:4">
      <c r="C90" s="686" t="s">
        <v>101</v>
      </c>
      <c r="D90" s="678" t="s">
        <v>1776</v>
      </c>
    </row>
    <row r="91" spans="2:4">
      <c r="C91" s="686" t="s">
        <v>104</v>
      </c>
      <c r="D91" t="s">
        <v>1777</v>
      </c>
    </row>
    <row r="92" spans="2:4">
      <c r="C92" s="686" t="s">
        <v>107</v>
      </c>
      <c r="D92" t="s">
        <v>1802</v>
      </c>
    </row>
    <row r="93" spans="2:4">
      <c r="C93" s="686" t="s">
        <v>110</v>
      </c>
      <c r="D93" s="676" t="s">
        <v>1803</v>
      </c>
    </row>
    <row r="94" spans="2:4">
      <c r="C94" s="686" t="s">
        <v>113</v>
      </c>
      <c r="D94" t="s">
        <v>1804</v>
      </c>
    </row>
    <row r="95" spans="2:4">
      <c r="C95" s="686" t="s">
        <v>115</v>
      </c>
      <c r="D95" s="676" t="s">
        <v>1805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EC64-6DF5-4075-B73C-D0BECEDC786A}">
  <dimension ref="A1:V18"/>
  <sheetViews>
    <sheetView topLeftCell="A7" workbookViewId="0">
      <selection activeCell="I8" sqref="I8"/>
    </sheetView>
  </sheetViews>
  <sheetFormatPr defaultColWidth="8.85546875" defaultRowHeight="14.45"/>
  <cols>
    <col min="2" max="2" width="16.42578125" customWidth="1"/>
    <col min="3" max="4" width="22.85546875" customWidth="1"/>
    <col min="5" max="6" width="25.140625" customWidth="1"/>
    <col min="7" max="9" width="27.140625" customWidth="1"/>
    <col min="10" max="11" width="25.42578125" customWidth="1"/>
  </cols>
  <sheetData>
    <row r="1" spans="1:22" ht="18.600000000000001">
      <c r="A1" s="92"/>
      <c r="B1" s="92"/>
      <c r="C1" s="163" t="s">
        <v>1806</v>
      </c>
      <c r="D1" s="2"/>
      <c r="E1" s="2"/>
      <c r="F1" s="2"/>
      <c r="G1" s="2"/>
      <c r="H1" s="2"/>
      <c r="I1" s="2"/>
      <c r="J1" s="92"/>
      <c r="K1" s="30" t="s">
        <v>1807</v>
      </c>
      <c r="P1" s="2"/>
      <c r="Q1" s="2"/>
      <c r="R1" s="2"/>
    </row>
    <row r="2" spans="1:22">
      <c r="A2" s="92"/>
      <c r="B2" s="92"/>
      <c r="C2" s="788" t="s">
        <v>120</v>
      </c>
      <c r="D2" s="789"/>
      <c r="E2" s="796" t="s">
        <v>121</v>
      </c>
      <c r="F2" s="789"/>
      <c r="G2" s="796" t="s">
        <v>122</v>
      </c>
      <c r="H2" s="789"/>
      <c r="I2" s="25" t="s">
        <v>1808</v>
      </c>
      <c r="J2" s="26" t="s">
        <v>1809</v>
      </c>
      <c r="K2" s="28" t="s">
        <v>1810</v>
      </c>
    </row>
    <row r="3" spans="1:22" ht="57.75" customHeight="1">
      <c r="A3" s="92"/>
      <c r="B3" s="92"/>
      <c r="C3" s="790" t="s">
        <v>1811</v>
      </c>
      <c r="D3" s="791"/>
      <c r="E3" s="797" t="s">
        <v>1812</v>
      </c>
      <c r="F3" s="798"/>
      <c r="G3" s="797" t="s">
        <v>1813</v>
      </c>
      <c r="H3" s="798"/>
      <c r="I3" s="165" t="s">
        <v>1814</v>
      </c>
      <c r="J3" s="165" t="s">
        <v>1815</v>
      </c>
      <c r="K3" s="164" t="s">
        <v>1816</v>
      </c>
    </row>
    <row r="4" spans="1:22" ht="57.75" customHeight="1">
      <c r="A4" s="92"/>
      <c r="B4" s="92"/>
      <c r="C4" s="101" t="s">
        <v>1817</v>
      </c>
      <c r="D4" s="102" t="s">
        <v>1818</v>
      </c>
      <c r="E4" s="101" t="s">
        <v>1819</v>
      </c>
      <c r="F4" s="101" t="s">
        <v>1820</v>
      </c>
      <c r="G4" s="101" t="s">
        <v>1821</v>
      </c>
      <c r="H4" s="101" t="s">
        <v>1822</v>
      </c>
      <c r="I4" s="101" t="s">
        <v>1823</v>
      </c>
      <c r="J4" s="101" t="s">
        <v>1824</v>
      </c>
      <c r="K4" s="99"/>
    </row>
    <row r="5" spans="1:22" ht="31.5" customHeight="1">
      <c r="A5" s="786" t="s">
        <v>1825</v>
      </c>
      <c r="B5" s="179" t="s">
        <v>1826</v>
      </c>
      <c r="C5" s="792" t="s">
        <v>1827</v>
      </c>
      <c r="D5" s="793"/>
      <c r="E5" s="799" t="s">
        <v>1828</v>
      </c>
      <c r="F5" s="800"/>
      <c r="G5" s="799" t="s">
        <v>1829</v>
      </c>
      <c r="H5" s="800"/>
      <c r="I5" s="100" t="s">
        <v>1830</v>
      </c>
      <c r="J5" s="100" t="s">
        <v>1831</v>
      </c>
      <c r="K5" s="29"/>
    </row>
    <row r="6" spans="1:22" ht="57" customHeight="1">
      <c r="A6" s="786"/>
      <c r="B6" s="179" t="s">
        <v>1832</v>
      </c>
      <c r="C6" s="31" t="s">
        <v>1833</v>
      </c>
      <c r="D6" s="31" t="s">
        <v>1834</v>
      </c>
      <c r="E6" s="32" t="s">
        <v>1835</v>
      </c>
      <c r="F6" s="31" t="s">
        <v>1834</v>
      </c>
      <c r="G6" s="32" t="s">
        <v>1836</v>
      </c>
      <c r="H6" s="32" t="s">
        <v>1837</v>
      </c>
      <c r="I6" s="34" t="s">
        <v>1838</v>
      </c>
      <c r="J6" s="35" t="s">
        <v>1839</v>
      </c>
      <c r="K6" s="29"/>
    </row>
    <row r="7" spans="1:22" s="2" customFormat="1" ht="104.25" customHeight="1">
      <c r="A7" s="786"/>
      <c r="B7" s="180" t="s">
        <v>1840</v>
      </c>
      <c r="C7" s="36" t="s">
        <v>1841</v>
      </c>
      <c r="D7" s="36" t="s">
        <v>1842</v>
      </c>
      <c r="E7" s="77" t="s">
        <v>1843</v>
      </c>
      <c r="F7" s="77" t="s">
        <v>1844</v>
      </c>
      <c r="G7" s="77" t="s">
        <v>1845</v>
      </c>
      <c r="H7" s="77" t="s">
        <v>1846</v>
      </c>
      <c r="I7" s="77" t="s">
        <v>1847</v>
      </c>
      <c r="J7" s="77" t="s">
        <v>1848</v>
      </c>
      <c r="K7" s="37"/>
      <c r="M7"/>
      <c r="P7"/>
      <c r="Q7"/>
      <c r="R7"/>
      <c r="S7"/>
      <c r="T7"/>
      <c r="U7"/>
      <c r="V7"/>
    </row>
    <row r="8" spans="1:22" ht="57" customHeight="1">
      <c r="A8" s="786" t="s">
        <v>82</v>
      </c>
      <c r="B8" s="179" t="s">
        <v>1826</v>
      </c>
      <c r="C8" s="794" t="s">
        <v>1849</v>
      </c>
      <c r="D8" s="795"/>
      <c r="E8" s="801" t="s">
        <v>1850</v>
      </c>
      <c r="F8" s="795"/>
      <c r="G8" s="799" t="s">
        <v>1851</v>
      </c>
      <c r="H8" s="800"/>
      <c r="I8" s="38" t="s">
        <v>1852</v>
      </c>
      <c r="J8" s="38" t="s">
        <v>1853</v>
      </c>
      <c r="K8" s="40"/>
    </row>
    <row r="9" spans="1:22" ht="57.95">
      <c r="A9" s="786"/>
      <c r="B9" s="179" t="s">
        <v>1832</v>
      </c>
      <c r="C9" s="31" t="s">
        <v>1833</v>
      </c>
      <c r="D9" s="166" t="s">
        <v>1854</v>
      </c>
      <c r="E9" s="32" t="s">
        <v>1835</v>
      </c>
      <c r="F9" s="31" t="s">
        <v>1834</v>
      </c>
      <c r="G9" s="33" t="s">
        <v>1855</v>
      </c>
      <c r="H9" s="32" t="s">
        <v>1837</v>
      </c>
      <c r="I9" s="91" t="s">
        <v>1838</v>
      </c>
      <c r="J9" s="162" t="s">
        <v>1839</v>
      </c>
      <c r="K9" s="171"/>
    </row>
    <row r="10" spans="1:22" ht="87">
      <c r="A10" s="786"/>
      <c r="B10" s="180" t="s">
        <v>1840</v>
      </c>
      <c r="C10" s="181" t="s">
        <v>1856</v>
      </c>
      <c r="D10" s="182" t="s">
        <v>1857</v>
      </c>
      <c r="E10" s="182" t="s">
        <v>1858</v>
      </c>
      <c r="F10" s="77" t="s">
        <v>1844</v>
      </c>
      <c r="G10" s="182" t="s">
        <v>1859</v>
      </c>
      <c r="H10" s="183" t="s">
        <v>1860</v>
      </c>
      <c r="I10" s="182" t="s">
        <v>1861</v>
      </c>
      <c r="J10" s="77" t="s">
        <v>1862</v>
      </c>
      <c r="K10" s="172"/>
    </row>
    <row r="11" spans="1:22" ht="43.5">
      <c r="A11" s="786" t="s">
        <v>1863</v>
      </c>
      <c r="B11" s="179" t="s">
        <v>1826</v>
      </c>
      <c r="C11" s="802" t="s">
        <v>1864</v>
      </c>
      <c r="D11" s="803"/>
      <c r="E11" s="803" t="s">
        <v>1865</v>
      </c>
      <c r="F11" s="803"/>
      <c r="G11" s="803" t="s">
        <v>1866</v>
      </c>
      <c r="H11" s="803"/>
      <c r="I11" s="173" t="s">
        <v>1867</v>
      </c>
      <c r="J11" s="173" t="s">
        <v>1868</v>
      </c>
      <c r="K11" s="172"/>
    </row>
    <row r="12" spans="1:22" ht="57.95">
      <c r="A12" s="786"/>
      <c r="B12" s="179" t="s">
        <v>1832</v>
      </c>
      <c r="C12" s="178" t="s">
        <v>1833</v>
      </c>
      <c r="D12" s="166" t="s">
        <v>1854</v>
      </c>
      <c r="E12" s="174" t="s">
        <v>1835</v>
      </c>
      <c r="F12" s="166" t="s">
        <v>1854</v>
      </c>
      <c r="G12" s="175" t="s">
        <v>1869</v>
      </c>
      <c r="H12" s="32" t="s">
        <v>1870</v>
      </c>
      <c r="I12" s="176" t="s">
        <v>1838</v>
      </c>
      <c r="J12" s="177" t="s">
        <v>1839</v>
      </c>
      <c r="K12" s="172"/>
    </row>
    <row r="13" spans="1:22" ht="87">
      <c r="A13" s="787"/>
      <c r="B13" s="27" t="s">
        <v>1840</v>
      </c>
      <c r="C13" s="182" t="s">
        <v>1871</v>
      </c>
      <c r="D13" s="182" t="s">
        <v>1872</v>
      </c>
      <c r="E13" s="182" t="s">
        <v>1873</v>
      </c>
      <c r="F13" s="182" t="s">
        <v>1874</v>
      </c>
      <c r="G13" s="182" t="s">
        <v>1875</v>
      </c>
      <c r="H13" s="182" t="s">
        <v>1876</v>
      </c>
      <c r="I13" s="183" t="s">
        <v>1877</v>
      </c>
      <c r="J13" s="77" t="s">
        <v>1848</v>
      </c>
      <c r="K13" s="172"/>
    </row>
    <row r="18" spans="1:1">
      <c r="A18" s="2"/>
    </row>
  </sheetData>
  <mergeCells count="18">
    <mergeCell ref="E8:F8"/>
    <mergeCell ref="G8:H8"/>
    <mergeCell ref="C11:D11"/>
    <mergeCell ref="E11:F11"/>
    <mergeCell ref="G11:H11"/>
    <mergeCell ref="G2:H2"/>
    <mergeCell ref="G3:H3"/>
    <mergeCell ref="E3:F3"/>
    <mergeCell ref="E2:F2"/>
    <mergeCell ref="G5:H5"/>
    <mergeCell ref="E5:F5"/>
    <mergeCell ref="A5:A7"/>
    <mergeCell ref="A8:A10"/>
    <mergeCell ref="A11:A13"/>
    <mergeCell ref="C2:D2"/>
    <mergeCell ref="C3:D3"/>
    <mergeCell ref="C5:D5"/>
    <mergeCell ref="C8:D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34DF-C497-4A35-921F-F0BAC79BE0CC}">
  <dimension ref="A1:E29"/>
  <sheetViews>
    <sheetView topLeftCell="D1" workbookViewId="0">
      <selection activeCell="D6" sqref="D6"/>
    </sheetView>
  </sheetViews>
  <sheetFormatPr defaultColWidth="8.85546875" defaultRowHeight="14.45"/>
  <cols>
    <col min="1" max="1" width="23.140625" customWidth="1"/>
    <col min="2" max="2" width="45" customWidth="1"/>
    <col min="3" max="3" width="20.140625" customWidth="1"/>
    <col min="4" max="4" width="23.85546875" customWidth="1"/>
    <col min="5" max="5" width="92.140625" customWidth="1"/>
  </cols>
  <sheetData>
    <row r="1" spans="1:5">
      <c r="A1" s="10" t="s">
        <v>1878</v>
      </c>
      <c r="B1" s="11" t="s">
        <v>1879</v>
      </c>
      <c r="C1" s="11" t="s">
        <v>1880</v>
      </c>
      <c r="D1" s="11" t="s">
        <v>1881</v>
      </c>
      <c r="E1" s="12" t="s">
        <v>1882</v>
      </c>
    </row>
    <row r="2" spans="1:5" ht="26.1">
      <c r="A2" s="809" t="s">
        <v>1883</v>
      </c>
      <c r="B2" s="806" t="s">
        <v>1884</v>
      </c>
      <c r="C2" s="13" t="s">
        <v>1885</v>
      </c>
      <c r="D2" s="806" t="s">
        <v>1886</v>
      </c>
      <c r="E2" s="16" t="s">
        <v>1887</v>
      </c>
    </row>
    <row r="3" spans="1:5" ht="26.1">
      <c r="A3" s="810"/>
      <c r="B3" s="804"/>
      <c r="C3" s="17" t="s">
        <v>1</v>
      </c>
      <c r="D3" s="804"/>
      <c r="E3" s="19" t="s">
        <v>1888</v>
      </c>
    </row>
    <row r="4" spans="1:5" ht="27" customHeight="1">
      <c r="A4" s="810"/>
      <c r="B4" s="804"/>
      <c r="C4" s="17"/>
      <c r="D4" s="90" t="s">
        <v>1889</v>
      </c>
      <c r="E4" s="46" t="s">
        <v>1890</v>
      </c>
    </row>
    <row r="5" spans="1:5" ht="27" customHeight="1">
      <c r="A5" s="810"/>
      <c r="B5" s="804"/>
      <c r="C5" s="17"/>
      <c r="D5" s="90" t="s">
        <v>1891</v>
      </c>
      <c r="E5" s="46" t="s">
        <v>1892</v>
      </c>
    </row>
    <row r="6" spans="1:5" ht="13.5" customHeight="1">
      <c r="A6" s="810"/>
      <c r="B6" s="18" t="s">
        <v>1</v>
      </c>
      <c r="C6" s="17" t="s">
        <v>1893</v>
      </c>
      <c r="D6" s="17" t="s">
        <v>1</v>
      </c>
      <c r="E6" s="19" t="s">
        <v>1894</v>
      </c>
    </row>
    <row r="7" spans="1:5" ht="15.75" customHeight="1">
      <c r="A7" s="810"/>
      <c r="B7" s="17" t="s">
        <v>1895</v>
      </c>
      <c r="C7" s="18" t="s">
        <v>1</v>
      </c>
      <c r="D7" s="17" t="s">
        <v>1</v>
      </c>
      <c r="E7" s="19" t="s">
        <v>1896</v>
      </c>
    </row>
    <row r="8" spans="1:5" ht="25.5" customHeight="1">
      <c r="A8" s="810"/>
      <c r="B8" s="17" t="s">
        <v>1897</v>
      </c>
      <c r="C8" s="18" t="s">
        <v>1</v>
      </c>
      <c r="D8" s="17" t="s">
        <v>1</v>
      </c>
      <c r="E8" s="19" t="s">
        <v>1898</v>
      </c>
    </row>
    <row r="9" spans="1:5" ht="14.25" customHeight="1">
      <c r="A9" s="810"/>
      <c r="B9" s="17" t="s">
        <v>1899</v>
      </c>
      <c r="C9" s="20" t="s">
        <v>1</v>
      </c>
      <c r="D9" s="23" t="s">
        <v>1</v>
      </c>
      <c r="E9" s="21" t="s">
        <v>1900</v>
      </c>
    </row>
    <row r="10" spans="1:5" ht="18" customHeight="1">
      <c r="A10" s="809" t="s">
        <v>1901</v>
      </c>
      <c r="B10" s="15" t="s">
        <v>1902</v>
      </c>
      <c r="C10" s="17" t="s">
        <v>1</v>
      </c>
      <c r="D10" s="43" t="s">
        <v>887</v>
      </c>
      <c r="E10" s="19" t="s">
        <v>1903</v>
      </c>
    </row>
    <row r="11" spans="1:5" ht="15.75" customHeight="1">
      <c r="A11" s="810"/>
      <c r="B11" s="14" t="s">
        <v>1904</v>
      </c>
      <c r="C11" s="17" t="s">
        <v>1</v>
      </c>
      <c r="D11" s="804" t="s">
        <v>1905</v>
      </c>
      <c r="E11" s="19" t="s">
        <v>1906</v>
      </c>
    </row>
    <row r="12" spans="1:5" ht="15" customHeight="1">
      <c r="A12" s="810"/>
      <c r="B12" s="14" t="s">
        <v>1</v>
      </c>
      <c r="C12" s="17" t="s">
        <v>1</v>
      </c>
      <c r="D12" s="804"/>
      <c r="E12" s="19" t="s">
        <v>1907</v>
      </c>
    </row>
    <row r="13" spans="1:5" ht="15" customHeight="1">
      <c r="A13" s="810"/>
      <c r="B13" s="14"/>
      <c r="C13" s="17"/>
      <c r="D13" s="804"/>
      <c r="E13" s="19" t="s">
        <v>1908</v>
      </c>
    </row>
    <row r="14" spans="1:5" ht="26.25" customHeight="1">
      <c r="A14" s="810"/>
      <c r="B14" s="14" t="s">
        <v>1</v>
      </c>
      <c r="C14" s="17" t="s">
        <v>1</v>
      </c>
      <c r="D14" s="44" t="s">
        <v>1909</v>
      </c>
      <c r="E14" s="19" t="s">
        <v>1910</v>
      </c>
    </row>
    <row r="15" spans="1:5" ht="24.75" customHeight="1">
      <c r="A15" s="810"/>
      <c r="B15" s="805" t="s">
        <v>1911</v>
      </c>
      <c r="C15" s="17" t="s">
        <v>1</v>
      </c>
      <c r="D15" s="804" t="s">
        <v>1912</v>
      </c>
      <c r="E15" s="19" t="s">
        <v>1913</v>
      </c>
    </row>
    <row r="16" spans="1:5" ht="27" customHeight="1">
      <c r="A16" s="810"/>
      <c r="B16" s="805"/>
      <c r="C16" s="17" t="s">
        <v>1</v>
      </c>
      <c r="D16" s="804"/>
      <c r="E16" s="19" t="s">
        <v>1914</v>
      </c>
    </row>
    <row r="17" spans="1:5" ht="27" customHeight="1">
      <c r="A17" s="810"/>
      <c r="B17" s="46"/>
      <c r="C17" s="17" t="s">
        <v>1915</v>
      </c>
      <c r="D17" s="45" t="s">
        <v>1916</v>
      </c>
      <c r="E17" s="19" t="s">
        <v>1917</v>
      </c>
    </row>
    <row r="18" spans="1:5" ht="24" customHeight="1">
      <c r="A18" s="810"/>
      <c r="B18" s="22" t="s">
        <v>1</v>
      </c>
      <c r="C18" s="804" t="s">
        <v>1893</v>
      </c>
      <c r="D18" s="44" t="s">
        <v>1</v>
      </c>
      <c r="E18" s="19" t="s">
        <v>1918</v>
      </c>
    </row>
    <row r="19" spans="1:5" ht="24.75" customHeight="1">
      <c r="A19" s="810"/>
      <c r="B19" s="14" t="s">
        <v>1</v>
      </c>
      <c r="C19" s="804"/>
      <c r="D19" s="44" t="s">
        <v>1</v>
      </c>
      <c r="E19" s="19" t="s">
        <v>1919</v>
      </c>
    </row>
    <row r="20" spans="1:5">
      <c r="A20" s="810"/>
      <c r="B20" s="14" t="s">
        <v>1920</v>
      </c>
      <c r="C20" s="804"/>
      <c r="D20" s="44" t="s">
        <v>1921</v>
      </c>
      <c r="E20" s="19" t="s">
        <v>1922</v>
      </c>
    </row>
    <row r="21" spans="1:5" ht="38.450000000000003">
      <c r="A21" s="810"/>
      <c r="B21" s="14" t="s">
        <v>1884</v>
      </c>
      <c r="C21" s="58"/>
      <c r="D21" s="98" t="s">
        <v>1889</v>
      </c>
      <c r="E21" s="46" t="s">
        <v>1923</v>
      </c>
    </row>
    <row r="22" spans="1:5">
      <c r="A22" s="811"/>
      <c r="B22" s="23" t="s">
        <v>1</v>
      </c>
      <c r="C22" s="18" t="s">
        <v>1</v>
      </c>
      <c r="D22" s="14" t="s">
        <v>1</v>
      </c>
      <c r="E22" s="19" t="s">
        <v>1</v>
      </c>
    </row>
    <row r="23" spans="1:5">
      <c r="A23" s="810" t="s">
        <v>1924</v>
      </c>
      <c r="B23" s="22" t="s">
        <v>1</v>
      </c>
      <c r="C23" s="24" t="s">
        <v>1</v>
      </c>
      <c r="D23" s="15" t="s">
        <v>1925</v>
      </c>
      <c r="E23" s="16" t="s">
        <v>1</v>
      </c>
    </row>
    <row r="24" spans="1:5" ht="15.75" customHeight="1">
      <c r="A24" s="810"/>
      <c r="B24" s="807" t="s">
        <v>1926</v>
      </c>
      <c r="C24" s="804" t="s">
        <v>1915</v>
      </c>
      <c r="D24" s="17" t="s">
        <v>1927</v>
      </c>
      <c r="E24" s="19" t="s">
        <v>1928</v>
      </c>
    </row>
    <row r="25" spans="1:5" ht="18" customHeight="1">
      <c r="A25" s="810"/>
      <c r="B25" s="807"/>
      <c r="C25" s="804"/>
      <c r="D25" s="17" t="s">
        <v>1929</v>
      </c>
      <c r="E25" s="19" t="s">
        <v>1930</v>
      </c>
    </row>
    <row r="26" spans="1:5" ht="18" customHeight="1">
      <c r="A26" s="810"/>
      <c r="B26" s="807"/>
      <c r="C26" s="804"/>
      <c r="D26" s="17" t="s">
        <v>1916</v>
      </c>
      <c r="E26" s="19" t="s">
        <v>1931</v>
      </c>
    </row>
    <row r="27" spans="1:5" ht="26.25" customHeight="1">
      <c r="A27" s="810"/>
      <c r="B27" s="14" t="s">
        <v>1932</v>
      </c>
      <c r="C27" s="17" t="s">
        <v>1</v>
      </c>
      <c r="D27" s="17" t="s">
        <v>1</v>
      </c>
      <c r="E27" s="19" t="s">
        <v>1933</v>
      </c>
    </row>
    <row r="28" spans="1:5">
      <c r="A28" s="810"/>
      <c r="B28" s="14" t="s">
        <v>1</v>
      </c>
      <c r="C28" s="17" t="s">
        <v>1</v>
      </c>
      <c r="D28" s="17" t="s">
        <v>1</v>
      </c>
      <c r="E28" s="19" t="s">
        <v>1</v>
      </c>
    </row>
    <row r="29" spans="1:5">
      <c r="A29" s="811"/>
      <c r="B29" s="23" t="s">
        <v>1</v>
      </c>
      <c r="C29" s="23" t="s">
        <v>1</v>
      </c>
      <c r="D29" s="23" t="s">
        <v>1</v>
      </c>
      <c r="E29" s="21" t="s">
        <v>1</v>
      </c>
    </row>
  </sheetData>
  <mergeCells count="11">
    <mergeCell ref="D11:D13"/>
    <mergeCell ref="B15:B16"/>
    <mergeCell ref="A23:A29"/>
    <mergeCell ref="A2:A9"/>
    <mergeCell ref="A10:A22"/>
    <mergeCell ref="C18:C20"/>
    <mergeCell ref="D15:D16"/>
    <mergeCell ref="D2:D3"/>
    <mergeCell ref="C24:C26"/>
    <mergeCell ref="B24:B26"/>
    <mergeCell ref="B2:B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7B23-94BD-425A-AB6E-711D6B7BAEE0}">
  <dimension ref="A1:Q63"/>
  <sheetViews>
    <sheetView workbookViewId="0">
      <selection activeCell="R29" sqref="R29"/>
    </sheetView>
  </sheetViews>
  <sheetFormatPr defaultColWidth="8.85546875" defaultRowHeight="14.45"/>
  <cols>
    <col min="17" max="17" width="19.42578125" customWidth="1"/>
  </cols>
  <sheetData>
    <row r="1" spans="1:17" ht="24.95" customHeight="1" thickBot="1">
      <c r="J1" s="808" t="s">
        <v>1934</v>
      </c>
      <c r="K1" s="808"/>
      <c r="L1" s="808"/>
      <c r="M1" s="808"/>
      <c r="N1" s="2"/>
    </row>
    <row r="2" spans="1:17" ht="24.95" customHeight="1" thickTop="1" thickBot="1">
      <c r="A2" s="62" t="s">
        <v>1935</v>
      </c>
      <c r="B2" s="63" t="s">
        <v>1936</v>
      </c>
      <c r="C2" s="63" t="s">
        <v>1937</v>
      </c>
      <c r="D2" s="63" t="s">
        <v>1938</v>
      </c>
      <c r="E2" s="63" t="s">
        <v>1939</v>
      </c>
      <c r="F2" s="63" t="s">
        <v>1940</v>
      </c>
      <c r="G2" s="63" t="s">
        <v>1941</v>
      </c>
      <c r="H2" s="63" t="s">
        <v>1942</v>
      </c>
      <c r="J2" s="151" t="s">
        <v>1943</v>
      </c>
      <c r="K2" s="151" t="s">
        <v>1944</v>
      </c>
      <c r="L2" s="151" t="s">
        <v>1945</v>
      </c>
      <c r="M2" s="151" t="s">
        <v>1946</v>
      </c>
      <c r="N2" s="2"/>
      <c r="O2" s="151"/>
      <c r="P2" s="151"/>
      <c r="Q2" s="151"/>
    </row>
    <row r="3" spans="1:17" ht="15" thickBot="1">
      <c r="A3" s="64">
        <v>1</v>
      </c>
      <c r="B3" s="65" t="s">
        <v>1947</v>
      </c>
      <c r="C3" s="65" t="s">
        <v>1948</v>
      </c>
      <c r="D3" s="65" t="s">
        <v>1949</v>
      </c>
      <c r="E3" s="66">
        <v>45658</v>
      </c>
      <c r="F3" s="66">
        <v>45659</v>
      </c>
      <c r="G3" s="66">
        <v>45660</v>
      </c>
      <c r="H3" s="66">
        <v>45661</v>
      </c>
    </row>
    <row r="4" spans="1:17" ht="15" thickBot="1">
      <c r="A4" s="67">
        <v>2</v>
      </c>
      <c r="B4" s="69">
        <v>45662</v>
      </c>
      <c r="C4" s="69">
        <v>45663</v>
      </c>
      <c r="D4" s="69">
        <v>45664</v>
      </c>
      <c r="E4" s="69">
        <v>45665</v>
      </c>
      <c r="F4" s="69">
        <v>45666</v>
      </c>
      <c r="G4" s="69">
        <v>45667</v>
      </c>
      <c r="H4" s="69">
        <v>45668</v>
      </c>
    </row>
    <row r="5" spans="1:17" ht="15" thickBot="1">
      <c r="A5" s="67">
        <v>3</v>
      </c>
      <c r="B5" s="69">
        <v>45669</v>
      </c>
      <c r="C5" s="69">
        <v>45670</v>
      </c>
      <c r="D5" s="69">
        <v>45671</v>
      </c>
      <c r="E5" s="69">
        <v>45672</v>
      </c>
      <c r="F5" s="69">
        <v>45673</v>
      </c>
      <c r="G5" s="69">
        <v>45674</v>
      </c>
      <c r="H5" s="69">
        <v>45675</v>
      </c>
    </row>
    <row r="6" spans="1:17" ht="15" thickBot="1">
      <c r="A6" s="67">
        <v>4</v>
      </c>
      <c r="B6" s="69">
        <v>45676</v>
      </c>
      <c r="C6" s="69">
        <v>45677</v>
      </c>
      <c r="D6" s="69">
        <v>45678</v>
      </c>
      <c r="E6" s="69">
        <v>45679</v>
      </c>
      <c r="F6" s="69">
        <v>45680</v>
      </c>
      <c r="G6" s="69">
        <v>45681</v>
      </c>
      <c r="H6" s="69">
        <v>45682</v>
      </c>
    </row>
    <row r="7" spans="1:17" ht="15" thickBot="1">
      <c r="A7" s="67">
        <v>5</v>
      </c>
      <c r="B7" s="69">
        <v>45683</v>
      </c>
      <c r="C7" s="69">
        <v>45684</v>
      </c>
      <c r="D7" s="69">
        <v>45685</v>
      </c>
      <c r="E7" s="69">
        <v>45686</v>
      </c>
      <c r="F7" s="69">
        <v>45687</v>
      </c>
      <c r="G7" s="69">
        <v>45688</v>
      </c>
      <c r="H7" s="69">
        <v>45689</v>
      </c>
    </row>
    <row r="8" spans="1:17" ht="15" thickBot="1">
      <c r="A8" s="67">
        <v>6</v>
      </c>
      <c r="B8" s="69">
        <v>45690</v>
      </c>
      <c r="C8" s="69">
        <v>45691</v>
      </c>
      <c r="D8" s="69">
        <v>45692</v>
      </c>
      <c r="E8" s="69">
        <v>45693</v>
      </c>
      <c r="F8" s="69">
        <v>45694</v>
      </c>
      <c r="G8" s="69">
        <v>45695</v>
      </c>
      <c r="H8" s="69">
        <v>45696</v>
      </c>
    </row>
    <row r="9" spans="1:17" ht="15" thickBot="1">
      <c r="A9" s="67">
        <v>7</v>
      </c>
      <c r="B9" s="69">
        <v>45697</v>
      </c>
      <c r="C9" s="69">
        <v>45698</v>
      </c>
      <c r="D9" s="69">
        <v>45699</v>
      </c>
      <c r="E9" s="69">
        <v>45700</v>
      </c>
      <c r="F9" s="69">
        <v>45701</v>
      </c>
      <c r="G9" s="69">
        <v>45702</v>
      </c>
      <c r="H9" s="69">
        <v>45703</v>
      </c>
      <c r="P9" s="1"/>
    </row>
    <row r="10" spans="1:17" ht="15" thickBot="1">
      <c r="A10" s="67">
        <v>8</v>
      </c>
      <c r="B10" s="69">
        <v>45704</v>
      </c>
      <c r="C10" s="69">
        <v>45705</v>
      </c>
      <c r="D10" s="69">
        <v>45706</v>
      </c>
      <c r="E10" s="69">
        <v>45707</v>
      </c>
      <c r="F10" s="69">
        <v>45708</v>
      </c>
      <c r="G10" s="69">
        <v>45709</v>
      </c>
      <c r="H10" s="69">
        <v>45710</v>
      </c>
      <c r="P10" s="1"/>
    </row>
    <row r="11" spans="1:17" ht="15" thickBot="1">
      <c r="A11" s="67">
        <v>9</v>
      </c>
      <c r="B11" s="69">
        <v>45711</v>
      </c>
      <c r="C11" s="69">
        <v>45712</v>
      </c>
      <c r="D11" s="69">
        <v>45713</v>
      </c>
      <c r="E11" s="69">
        <v>45714</v>
      </c>
      <c r="F11" s="69">
        <v>45715</v>
      </c>
      <c r="G11" s="69">
        <v>45716</v>
      </c>
      <c r="H11" s="68" t="s">
        <v>1950</v>
      </c>
      <c r="P11" s="1"/>
    </row>
    <row r="12" spans="1:17" ht="15" thickBot="1">
      <c r="A12" s="67">
        <v>10</v>
      </c>
      <c r="B12" s="68" t="s">
        <v>1951</v>
      </c>
      <c r="C12" s="68" t="s">
        <v>1952</v>
      </c>
      <c r="D12" s="68" t="s">
        <v>1953</v>
      </c>
      <c r="E12" s="68" t="s">
        <v>1954</v>
      </c>
      <c r="F12" s="68" t="s">
        <v>1955</v>
      </c>
      <c r="G12" s="68" t="s">
        <v>1956</v>
      </c>
      <c r="H12" s="68" t="s">
        <v>1957</v>
      </c>
    </row>
    <row r="13" spans="1:17">
      <c r="A13" s="67">
        <v>11</v>
      </c>
      <c r="B13" s="68" t="s">
        <v>1958</v>
      </c>
      <c r="C13" s="68" t="s">
        <v>1959</v>
      </c>
      <c r="D13" s="68" t="s">
        <v>1960</v>
      </c>
      <c r="E13" s="68" t="s">
        <v>1961</v>
      </c>
      <c r="F13" s="68" t="s">
        <v>1962</v>
      </c>
      <c r="G13" s="68" t="s">
        <v>1963</v>
      </c>
      <c r="H13" s="68" t="s">
        <v>1964</v>
      </c>
    </row>
    <row r="14" spans="1:17">
      <c r="A14" s="67">
        <v>12</v>
      </c>
      <c r="B14" s="68" t="s">
        <v>1965</v>
      </c>
      <c r="C14" s="68" t="s">
        <v>1966</v>
      </c>
      <c r="D14" s="68" t="s">
        <v>1967</v>
      </c>
      <c r="E14" s="68" t="s">
        <v>1968</v>
      </c>
      <c r="F14" s="68" t="s">
        <v>1969</v>
      </c>
      <c r="G14" s="68" t="s">
        <v>1970</v>
      </c>
      <c r="H14" s="68" t="s">
        <v>1971</v>
      </c>
    </row>
    <row r="15" spans="1:17">
      <c r="A15" s="67">
        <v>13</v>
      </c>
      <c r="B15" s="68" t="s">
        <v>1972</v>
      </c>
      <c r="C15" s="68" t="s">
        <v>1973</v>
      </c>
      <c r="D15" s="68" t="s">
        <v>1974</v>
      </c>
      <c r="E15" s="68" t="s">
        <v>1975</v>
      </c>
      <c r="F15" s="68" t="s">
        <v>1976</v>
      </c>
      <c r="G15" s="68" t="s">
        <v>1977</v>
      </c>
      <c r="H15" s="68" t="s">
        <v>1978</v>
      </c>
      <c r="J15" s="157"/>
    </row>
    <row r="16" spans="1:17">
      <c r="A16" s="67">
        <v>14</v>
      </c>
      <c r="B16" s="68" t="s">
        <v>1979</v>
      </c>
      <c r="C16" s="68" t="s">
        <v>1980</v>
      </c>
      <c r="D16" s="69">
        <v>45748</v>
      </c>
      <c r="E16" s="69">
        <v>45749</v>
      </c>
      <c r="F16" s="69">
        <v>45750</v>
      </c>
      <c r="G16" s="69">
        <v>45751</v>
      </c>
      <c r="H16" s="69">
        <v>45752</v>
      </c>
      <c r="J16" s="157"/>
    </row>
    <row r="17" spans="1:11">
      <c r="A17" s="67">
        <v>15</v>
      </c>
      <c r="B17" s="69">
        <v>45753</v>
      </c>
      <c r="C17" s="69">
        <v>45754</v>
      </c>
      <c r="D17" s="69">
        <v>45755</v>
      </c>
      <c r="E17" s="69">
        <v>45756</v>
      </c>
      <c r="F17" s="69">
        <v>45757</v>
      </c>
      <c r="G17" s="69">
        <v>45758</v>
      </c>
      <c r="H17" s="69">
        <v>45759</v>
      </c>
      <c r="J17" s="157"/>
    </row>
    <row r="18" spans="1:11">
      <c r="A18" s="67">
        <v>16</v>
      </c>
      <c r="B18" s="69">
        <v>45760</v>
      </c>
      <c r="C18" s="69">
        <v>45761</v>
      </c>
      <c r="D18" s="69">
        <v>45762</v>
      </c>
      <c r="E18" s="69">
        <v>45763</v>
      </c>
      <c r="F18" s="69">
        <v>45764</v>
      </c>
      <c r="G18" s="69">
        <v>45765</v>
      </c>
      <c r="H18" s="69">
        <v>45766</v>
      </c>
      <c r="J18" s="157"/>
    </row>
    <row r="19" spans="1:11">
      <c r="A19" s="67">
        <v>17</v>
      </c>
      <c r="B19" s="69">
        <v>45767</v>
      </c>
      <c r="C19" s="69">
        <v>45768</v>
      </c>
      <c r="D19" s="69">
        <v>45769</v>
      </c>
      <c r="E19" s="69">
        <v>45770</v>
      </c>
      <c r="F19" s="69">
        <v>45771</v>
      </c>
      <c r="G19" s="69">
        <v>45772</v>
      </c>
      <c r="H19" s="69">
        <v>45773</v>
      </c>
      <c r="J19" s="157"/>
    </row>
    <row r="20" spans="1:11">
      <c r="A20" s="67">
        <v>18</v>
      </c>
      <c r="B20" s="69">
        <v>45774</v>
      </c>
      <c r="C20" s="69">
        <v>45775</v>
      </c>
      <c r="D20" s="69">
        <v>45776</v>
      </c>
      <c r="E20" s="69">
        <v>45777</v>
      </c>
      <c r="F20" s="68" t="s">
        <v>1981</v>
      </c>
      <c r="G20" s="68" t="s">
        <v>1982</v>
      </c>
      <c r="H20" s="68" t="s">
        <v>1983</v>
      </c>
      <c r="J20" s="157"/>
    </row>
    <row r="21" spans="1:11">
      <c r="A21" s="67">
        <v>19</v>
      </c>
      <c r="B21" s="68" t="s">
        <v>1984</v>
      </c>
      <c r="C21" s="68" t="s">
        <v>1985</v>
      </c>
      <c r="D21" s="68" t="s">
        <v>1986</v>
      </c>
      <c r="E21" s="68" t="s">
        <v>1987</v>
      </c>
      <c r="F21" s="68" t="s">
        <v>1988</v>
      </c>
      <c r="G21" s="68" t="s">
        <v>1989</v>
      </c>
      <c r="H21" s="68" t="s">
        <v>1990</v>
      </c>
      <c r="J21" s="157"/>
    </row>
    <row r="22" spans="1:11">
      <c r="A22" s="67">
        <v>20</v>
      </c>
      <c r="B22" s="68" t="s">
        <v>1991</v>
      </c>
      <c r="C22" s="68" t="s">
        <v>1992</v>
      </c>
      <c r="D22" s="68" t="s">
        <v>1993</v>
      </c>
      <c r="E22" s="68" t="s">
        <v>1994</v>
      </c>
      <c r="F22" s="68" t="s">
        <v>1995</v>
      </c>
      <c r="G22" s="68" t="s">
        <v>1996</v>
      </c>
      <c r="H22" s="68" t="s">
        <v>1997</v>
      </c>
      <c r="J22" s="157"/>
    </row>
    <row r="23" spans="1:11">
      <c r="A23" s="67">
        <v>21</v>
      </c>
      <c r="B23" s="68" t="s">
        <v>1998</v>
      </c>
      <c r="C23" s="68" t="s">
        <v>1999</v>
      </c>
      <c r="D23" s="68" t="s">
        <v>2000</v>
      </c>
      <c r="E23" s="68" t="s">
        <v>2001</v>
      </c>
      <c r="F23" s="68" t="s">
        <v>2002</v>
      </c>
      <c r="G23" s="68" t="s">
        <v>2003</v>
      </c>
      <c r="H23" s="68" t="s">
        <v>2004</v>
      </c>
      <c r="J23" s="157"/>
    </row>
    <row r="24" spans="1:11">
      <c r="A24" s="67">
        <v>22</v>
      </c>
      <c r="B24" s="68" t="s">
        <v>2005</v>
      </c>
      <c r="C24" s="68" t="s">
        <v>2006</v>
      </c>
      <c r="D24" s="68" t="s">
        <v>2007</v>
      </c>
      <c r="E24" s="68" t="s">
        <v>2008</v>
      </c>
      <c r="F24" s="68" t="s">
        <v>2009</v>
      </c>
      <c r="G24" s="68" t="s">
        <v>2010</v>
      </c>
      <c r="H24" s="68" t="s">
        <v>2011</v>
      </c>
      <c r="J24" s="157"/>
    </row>
    <row r="25" spans="1:11">
      <c r="A25" s="67">
        <v>23</v>
      </c>
      <c r="B25" s="69">
        <v>45809</v>
      </c>
      <c r="C25" s="69">
        <v>45810</v>
      </c>
      <c r="D25" s="69">
        <v>45811</v>
      </c>
      <c r="E25" s="69">
        <v>45812</v>
      </c>
      <c r="F25" s="69">
        <v>45813</v>
      </c>
      <c r="G25" s="69">
        <v>45814</v>
      </c>
      <c r="H25" s="69">
        <v>45815</v>
      </c>
      <c r="J25" s="157"/>
    </row>
    <row r="26" spans="1:11">
      <c r="A26" s="67">
        <v>24</v>
      </c>
      <c r="B26" s="69">
        <v>45816</v>
      </c>
      <c r="C26" s="69">
        <v>45817</v>
      </c>
      <c r="D26" s="69">
        <v>45818</v>
      </c>
      <c r="E26" s="69">
        <v>45819</v>
      </c>
      <c r="F26" s="69">
        <v>45820</v>
      </c>
      <c r="G26" s="69">
        <v>45821</v>
      </c>
      <c r="H26" s="69">
        <v>45822</v>
      </c>
      <c r="J26" s="157"/>
      <c r="K26" s="152"/>
    </row>
    <row r="27" spans="1:11">
      <c r="A27" s="67">
        <v>25</v>
      </c>
      <c r="B27" s="69">
        <v>45823</v>
      </c>
      <c r="C27" s="69">
        <v>45824</v>
      </c>
      <c r="D27" s="69">
        <v>45825</v>
      </c>
      <c r="E27" s="69">
        <v>45826</v>
      </c>
      <c r="F27" s="69">
        <v>45827</v>
      </c>
      <c r="G27" s="69">
        <v>45828</v>
      </c>
      <c r="H27" s="69">
        <v>45829</v>
      </c>
      <c r="J27" s="157"/>
      <c r="K27" s="152"/>
    </row>
    <row r="28" spans="1:11">
      <c r="A28" s="67">
        <v>26</v>
      </c>
      <c r="B28" s="69">
        <v>45830</v>
      </c>
      <c r="C28" s="69">
        <v>45831</v>
      </c>
      <c r="D28" s="69">
        <v>45832</v>
      </c>
      <c r="E28" s="69">
        <v>45833</v>
      </c>
      <c r="F28" s="69">
        <v>45834</v>
      </c>
      <c r="G28" s="69">
        <v>45835</v>
      </c>
      <c r="H28" s="69">
        <v>45836</v>
      </c>
      <c r="K28" s="152"/>
    </row>
    <row r="29" spans="1:11">
      <c r="A29" s="67">
        <v>27</v>
      </c>
      <c r="B29" s="69">
        <v>45837</v>
      </c>
      <c r="C29" s="69">
        <v>45838</v>
      </c>
      <c r="D29" s="69">
        <v>45839</v>
      </c>
      <c r="E29" s="69">
        <v>45840</v>
      </c>
      <c r="F29" s="69">
        <v>45841</v>
      </c>
      <c r="G29" s="69">
        <v>45842</v>
      </c>
      <c r="H29" s="69">
        <v>45843</v>
      </c>
      <c r="K29" s="152"/>
    </row>
    <row r="30" spans="1:11">
      <c r="A30" s="67">
        <v>28</v>
      </c>
      <c r="B30" s="69">
        <v>45844</v>
      </c>
      <c r="C30" s="69">
        <v>45845</v>
      </c>
      <c r="D30" s="69">
        <v>45846</v>
      </c>
      <c r="E30" s="69">
        <v>45847</v>
      </c>
      <c r="F30" s="69">
        <v>45848</v>
      </c>
      <c r="G30" s="69">
        <v>45849</v>
      </c>
      <c r="H30" s="69">
        <v>45850</v>
      </c>
      <c r="K30" s="152"/>
    </row>
    <row r="31" spans="1:11">
      <c r="A31" s="67">
        <v>29</v>
      </c>
      <c r="B31" s="69">
        <v>45851</v>
      </c>
      <c r="C31" s="69">
        <v>45852</v>
      </c>
      <c r="D31" s="69">
        <v>45853</v>
      </c>
      <c r="E31" s="69">
        <v>45854</v>
      </c>
      <c r="F31" s="69">
        <v>45855</v>
      </c>
      <c r="G31" s="69">
        <v>45856</v>
      </c>
      <c r="H31" s="69">
        <v>45857</v>
      </c>
      <c r="K31" s="152"/>
    </row>
    <row r="32" spans="1:11">
      <c r="A32" s="67">
        <v>30</v>
      </c>
      <c r="B32" s="69">
        <v>45858</v>
      </c>
      <c r="C32" s="69">
        <v>45859</v>
      </c>
      <c r="D32" s="69">
        <v>45860</v>
      </c>
      <c r="E32" s="69">
        <v>45861</v>
      </c>
      <c r="F32" s="69">
        <v>45862</v>
      </c>
      <c r="G32" s="69">
        <v>45863</v>
      </c>
      <c r="H32" s="69">
        <v>45864</v>
      </c>
      <c r="K32" s="152"/>
    </row>
    <row r="33" spans="1:12">
      <c r="A33" s="67">
        <v>31</v>
      </c>
      <c r="B33" s="69">
        <v>45865</v>
      </c>
      <c r="C33" s="69">
        <v>45866</v>
      </c>
      <c r="D33" s="69">
        <v>45867</v>
      </c>
      <c r="E33" s="69">
        <v>45868</v>
      </c>
      <c r="F33" s="69">
        <v>45869</v>
      </c>
      <c r="G33" s="69">
        <v>45870</v>
      </c>
      <c r="H33" s="69">
        <v>45871</v>
      </c>
      <c r="K33" s="152"/>
    </row>
    <row r="34" spans="1:12">
      <c r="A34" s="67">
        <v>32</v>
      </c>
      <c r="B34" s="69">
        <v>45872</v>
      </c>
      <c r="C34" s="69">
        <v>45873</v>
      </c>
      <c r="D34" s="69">
        <v>45874</v>
      </c>
      <c r="E34" s="69">
        <v>45875</v>
      </c>
      <c r="F34" s="69">
        <v>45876</v>
      </c>
      <c r="G34" s="69">
        <v>45877</v>
      </c>
      <c r="H34" s="69">
        <v>45878</v>
      </c>
      <c r="K34" s="152"/>
    </row>
    <row r="35" spans="1:12">
      <c r="A35" s="67">
        <v>33</v>
      </c>
      <c r="B35" s="69">
        <v>45879</v>
      </c>
      <c r="C35" s="69">
        <v>45880</v>
      </c>
      <c r="D35" s="69">
        <v>45881</v>
      </c>
      <c r="E35" s="69">
        <v>45882</v>
      </c>
      <c r="F35" s="69">
        <v>45883</v>
      </c>
      <c r="G35" s="69">
        <v>45884</v>
      </c>
      <c r="H35" s="69">
        <v>45885</v>
      </c>
      <c r="K35" s="152"/>
    </row>
    <row r="36" spans="1:12">
      <c r="A36" s="67">
        <v>34</v>
      </c>
      <c r="B36" s="69">
        <v>45886</v>
      </c>
      <c r="C36" s="69">
        <v>45887</v>
      </c>
      <c r="D36" s="69">
        <v>45888</v>
      </c>
      <c r="E36" s="69">
        <v>45889</v>
      </c>
      <c r="F36" s="69">
        <v>45890</v>
      </c>
      <c r="G36" s="69">
        <v>45891</v>
      </c>
      <c r="H36" s="69">
        <v>45892</v>
      </c>
      <c r="K36" s="152"/>
    </row>
    <row r="37" spans="1:12">
      <c r="A37" s="67">
        <v>35</v>
      </c>
      <c r="B37" s="69">
        <v>45893</v>
      </c>
      <c r="C37" s="69">
        <v>45894</v>
      </c>
      <c r="D37" s="69">
        <v>45895</v>
      </c>
      <c r="E37" s="69">
        <v>45896</v>
      </c>
      <c r="F37" s="69">
        <v>45897</v>
      </c>
      <c r="G37" s="69">
        <v>45898</v>
      </c>
      <c r="H37" s="69">
        <v>45899</v>
      </c>
      <c r="K37" s="152"/>
    </row>
    <row r="38" spans="1:12">
      <c r="A38" s="67">
        <v>36</v>
      </c>
      <c r="B38" s="69">
        <v>45900</v>
      </c>
      <c r="C38" s="69">
        <v>45901</v>
      </c>
      <c r="D38" s="69">
        <v>45902</v>
      </c>
      <c r="E38" s="69">
        <v>45903</v>
      </c>
      <c r="F38" s="69">
        <v>45904</v>
      </c>
      <c r="G38" s="69">
        <v>45905</v>
      </c>
      <c r="H38" s="69">
        <v>45906</v>
      </c>
      <c r="K38" s="152"/>
    </row>
    <row r="39" spans="1:12">
      <c r="A39" s="67">
        <v>37</v>
      </c>
      <c r="B39" s="69">
        <v>45907</v>
      </c>
      <c r="C39" s="69">
        <v>45908</v>
      </c>
      <c r="D39" s="69">
        <v>45909</v>
      </c>
      <c r="E39" s="69">
        <v>45910</v>
      </c>
      <c r="F39" s="69">
        <v>45911</v>
      </c>
      <c r="G39" s="69">
        <v>45912</v>
      </c>
      <c r="H39" s="69">
        <v>45913</v>
      </c>
      <c r="K39" s="152"/>
      <c r="L39" s="153"/>
    </row>
    <row r="40" spans="1:12">
      <c r="A40" s="67">
        <v>38</v>
      </c>
      <c r="B40" s="69">
        <v>45914</v>
      </c>
      <c r="C40" s="69">
        <v>45915</v>
      </c>
      <c r="D40" s="69">
        <v>45916</v>
      </c>
      <c r="E40" s="69">
        <v>45917</v>
      </c>
      <c r="F40" s="69">
        <v>45918</v>
      </c>
      <c r="G40" s="69">
        <v>45919</v>
      </c>
      <c r="H40" s="69">
        <v>45920</v>
      </c>
      <c r="K40" s="152"/>
      <c r="L40" s="153"/>
    </row>
    <row r="41" spans="1:12">
      <c r="A41" s="67">
        <v>39</v>
      </c>
      <c r="B41" s="69">
        <v>45921</v>
      </c>
      <c r="C41" s="69">
        <v>45922</v>
      </c>
      <c r="D41" s="69">
        <v>45923</v>
      </c>
      <c r="E41" s="69">
        <v>45924</v>
      </c>
      <c r="F41" s="69">
        <v>45925</v>
      </c>
      <c r="G41" s="69">
        <v>45926</v>
      </c>
      <c r="H41" s="69">
        <v>45927</v>
      </c>
      <c r="L41" s="153"/>
    </row>
    <row r="42" spans="1:12">
      <c r="A42" s="67">
        <v>40</v>
      </c>
      <c r="B42" s="69">
        <v>45928</v>
      </c>
      <c r="C42" s="69">
        <v>45929</v>
      </c>
      <c r="D42" s="69">
        <v>45930</v>
      </c>
      <c r="E42" s="68" t="s">
        <v>2012</v>
      </c>
      <c r="F42" s="68" t="s">
        <v>2013</v>
      </c>
      <c r="G42" s="68" t="s">
        <v>2014</v>
      </c>
      <c r="H42" s="68" t="s">
        <v>2015</v>
      </c>
      <c r="L42" s="153"/>
    </row>
    <row r="43" spans="1:12">
      <c r="A43" s="67">
        <v>41</v>
      </c>
      <c r="B43" s="68" t="s">
        <v>2016</v>
      </c>
      <c r="C43" s="68" t="s">
        <v>2017</v>
      </c>
      <c r="D43" s="68" t="s">
        <v>2018</v>
      </c>
      <c r="E43" s="68" t="s">
        <v>2019</v>
      </c>
      <c r="F43" s="68" t="s">
        <v>2020</v>
      </c>
      <c r="G43" s="68" t="s">
        <v>2021</v>
      </c>
      <c r="H43" s="68" t="s">
        <v>2022</v>
      </c>
      <c r="L43" s="153"/>
    </row>
    <row r="44" spans="1:12">
      <c r="A44" s="67">
        <v>42</v>
      </c>
      <c r="B44" s="68" t="s">
        <v>2023</v>
      </c>
      <c r="C44" s="68" t="s">
        <v>2024</v>
      </c>
      <c r="D44" s="68" t="s">
        <v>2025</v>
      </c>
      <c r="E44" s="68" t="s">
        <v>2026</v>
      </c>
      <c r="F44" s="68" t="s">
        <v>2027</v>
      </c>
      <c r="G44" s="68" t="s">
        <v>2028</v>
      </c>
      <c r="H44" s="68" t="s">
        <v>2029</v>
      </c>
      <c r="L44" s="153"/>
    </row>
    <row r="45" spans="1:12">
      <c r="A45" s="67">
        <v>43</v>
      </c>
      <c r="B45" s="68" t="s">
        <v>2030</v>
      </c>
      <c r="C45" s="68" t="s">
        <v>2031</v>
      </c>
      <c r="D45" s="68" t="s">
        <v>2032</v>
      </c>
      <c r="E45" s="68" t="s">
        <v>2033</v>
      </c>
      <c r="F45" s="68" t="s">
        <v>2034</v>
      </c>
      <c r="G45" s="68" t="s">
        <v>2035</v>
      </c>
      <c r="H45" s="68" t="s">
        <v>2036</v>
      </c>
      <c r="L45" s="153"/>
    </row>
    <row r="46" spans="1:12">
      <c r="A46" s="67">
        <v>44</v>
      </c>
      <c r="B46" s="68" t="s">
        <v>2037</v>
      </c>
      <c r="C46" s="68" t="s">
        <v>2038</v>
      </c>
      <c r="D46" s="68" t="s">
        <v>2039</v>
      </c>
      <c r="E46" s="68" t="s">
        <v>2040</v>
      </c>
      <c r="F46" s="68" t="s">
        <v>2041</v>
      </c>
      <c r="G46" s="68" t="s">
        <v>2042</v>
      </c>
      <c r="H46" s="69">
        <v>45962</v>
      </c>
      <c r="L46" s="153"/>
    </row>
    <row r="47" spans="1:12">
      <c r="A47" s="67">
        <v>45</v>
      </c>
      <c r="B47" s="69">
        <v>45963</v>
      </c>
      <c r="C47" s="69">
        <v>45964</v>
      </c>
      <c r="D47" s="69">
        <v>45965</v>
      </c>
      <c r="E47" s="69">
        <v>45966</v>
      </c>
      <c r="F47" s="69">
        <v>45967</v>
      </c>
      <c r="G47" s="69">
        <v>45968</v>
      </c>
      <c r="H47" s="69">
        <v>45969</v>
      </c>
      <c r="L47" s="153"/>
    </row>
    <row r="48" spans="1:12">
      <c r="A48" s="67">
        <v>46</v>
      </c>
      <c r="B48" s="69">
        <v>45970</v>
      </c>
      <c r="C48" s="69">
        <v>45971</v>
      </c>
      <c r="D48" s="69">
        <v>45972</v>
      </c>
      <c r="E48" s="69">
        <v>45973</v>
      </c>
      <c r="F48" s="69">
        <v>45974</v>
      </c>
      <c r="G48" s="69">
        <v>45975</v>
      </c>
      <c r="H48" s="69">
        <v>45976</v>
      </c>
      <c r="L48" s="153"/>
    </row>
    <row r="49" spans="1:13">
      <c r="A49" s="67">
        <v>47</v>
      </c>
      <c r="B49" s="69">
        <v>45977</v>
      </c>
      <c r="C49" s="69">
        <v>45978</v>
      </c>
      <c r="D49" s="69">
        <v>45979</v>
      </c>
      <c r="E49" s="69">
        <v>45980</v>
      </c>
      <c r="F49" s="69">
        <v>45981</v>
      </c>
      <c r="G49" s="69">
        <v>45982</v>
      </c>
      <c r="H49" s="69">
        <v>45983</v>
      </c>
      <c r="L49" s="153"/>
    </row>
    <row r="50" spans="1:13">
      <c r="A50" s="67">
        <v>48</v>
      </c>
      <c r="B50" s="69">
        <v>45984</v>
      </c>
      <c r="C50" s="69">
        <v>45985</v>
      </c>
      <c r="D50" s="69">
        <v>45986</v>
      </c>
      <c r="E50" s="69">
        <v>45987</v>
      </c>
      <c r="F50" s="69">
        <v>45988</v>
      </c>
      <c r="G50" s="69">
        <v>45989</v>
      </c>
      <c r="H50" s="69">
        <v>45990</v>
      </c>
      <c r="L50" s="153"/>
    </row>
    <row r="51" spans="1:13">
      <c r="A51" s="67">
        <v>49</v>
      </c>
      <c r="B51" s="69">
        <v>45991</v>
      </c>
      <c r="C51" s="68" t="s">
        <v>2043</v>
      </c>
      <c r="D51" s="68" t="s">
        <v>2044</v>
      </c>
      <c r="E51" s="68" t="s">
        <v>2045</v>
      </c>
      <c r="F51" s="68" t="s">
        <v>2046</v>
      </c>
      <c r="G51" s="68" t="s">
        <v>2047</v>
      </c>
      <c r="H51" s="68" t="s">
        <v>2048</v>
      </c>
      <c r="L51" s="153"/>
      <c r="M51" s="154"/>
    </row>
    <row r="52" spans="1:13">
      <c r="A52" s="67">
        <v>50</v>
      </c>
      <c r="B52" s="68" t="s">
        <v>2049</v>
      </c>
      <c r="C52" s="68" t="s">
        <v>2050</v>
      </c>
      <c r="D52" s="68" t="s">
        <v>2051</v>
      </c>
      <c r="E52" s="68" t="s">
        <v>2052</v>
      </c>
      <c r="F52" s="68" t="s">
        <v>2053</v>
      </c>
      <c r="G52" s="68" t="s">
        <v>2054</v>
      </c>
      <c r="H52" s="68" t="s">
        <v>2055</v>
      </c>
      <c r="L52" s="153"/>
      <c r="M52" s="154"/>
    </row>
    <row r="53" spans="1:13">
      <c r="A53" s="67">
        <v>51</v>
      </c>
      <c r="B53" s="68" t="s">
        <v>2056</v>
      </c>
      <c r="C53" s="68" t="s">
        <v>2057</v>
      </c>
      <c r="D53" s="68" t="s">
        <v>2058</v>
      </c>
      <c r="E53" s="68" t="s">
        <v>2059</v>
      </c>
      <c r="F53" s="68" t="s">
        <v>2060</v>
      </c>
      <c r="G53" s="68" t="s">
        <v>2061</v>
      </c>
      <c r="H53" s="68" t="s">
        <v>2062</v>
      </c>
      <c r="L53" s="153"/>
      <c r="M53" s="154"/>
    </row>
    <row r="54" spans="1:13" ht="15" thickBot="1">
      <c r="A54" s="67">
        <v>52</v>
      </c>
      <c r="B54" s="68" t="s">
        <v>2063</v>
      </c>
      <c r="C54" s="68" t="s">
        <v>2064</v>
      </c>
      <c r="D54" s="68" t="s">
        <v>2065</v>
      </c>
      <c r="E54" s="68" t="s">
        <v>2066</v>
      </c>
      <c r="F54" s="68" t="s">
        <v>2067</v>
      </c>
      <c r="G54" s="68" t="s">
        <v>2068</v>
      </c>
      <c r="H54" s="68" t="s">
        <v>2069</v>
      </c>
      <c r="M54" s="154"/>
    </row>
    <row r="55" spans="1:13" ht="15" thickBot="1">
      <c r="A55" s="67">
        <v>53</v>
      </c>
      <c r="B55" s="68" t="s">
        <v>2070</v>
      </c>
      <c r="C55" s="68" t="s">
        <v>1947</v>
      </c>
      <c r="D55" s="68" t="s">
        <v>1948</v>
      </c>
      <c r="E55" s="68" t="s">
        <v>1949</v>
      </c>
      <c r="F55" s="69">
        <v>45658</v>
      </c>
      <c r="G55" s="69">
        <v>45659</v>
      </c>
      <c r="H55" s="69">
        <v>45660</v>
      </c>
      <c r="M55" s="154"/>
    </row>
    <row r="56" spans="1:13" ht="15" thickBot="1">
      <c r="A56" s="67">
        <v>1</v>
      </c>
      <c r="B56" s="69">
        <v>45661</v>
      </c>
      <c r="C56" s="69">
        <v>45662</v>
      </c>
      <c r="D56" s="69">
        <v>45663</v>
      </c>
      <c r="E56" s="69">
        <v>45664</v>
      </c>
      <c r="F56" s="69">
        <v>45665</v>
      </c>
      <c r="G56" s="69">
        <v>45666</v>
      </c>
      <c r="H56" s="69">
        <v>45667</v>
      </c>
      <c r="M56" s="154"/>
    </row>
    <row r="57" spans="1:13" ht="15" thickBot="1">
      <c r="A57" s="67">
        <v>2</v>
      </c>
      <c r="B57" s="69">
        <v>45668</v>
      </c>
      <c r="C57" s="69">
        <v>45669</v>
      </c>
      <c r="D57" s="69">
        <v>45670</v>
      </c>
      <c r="E57" s="69">
        <v>45671</v>
      </c>
      <c r="F57" s="69">
        <v>45672</v>
      </c>
      <c r="G57" s="69">
        <v>45673</v>
      </c>
      <c r="H57" s="69">
        <v>45674</v>
      </c>
      <c r="M57" s="154"/>
    </row>
    <row r="58" spans="1:13">
      <c r="A58" s="67">
        <v>3</v>
      </c>
      <c r="B58" s="69">
        <v>45675</v>
      </c>
      <c r="C58" s="69">
        <v>45676</v>
      </c>
      <c r="D58" s="69">
        <v>45677</v>
      </c>
      <c r="E58" s="69">
        <v>45678</v>
      </c>
      <c r="F58" s="69">
        <v>45679</v>
      </c>
      <c r="G58" s="69">
        <v>45680</v>
      </c>
      <c r="H58" s="69">
        <v>45681</v>
      </c>
      <c r="M58" s="154"/>
    </row>
    <row r="59" spans="1:13">
      <c r="A59" s="67">
        <v>4</v>
      </c>
      <c r="B59" s="69">
        <v>45682</v>
      </c>
      <c r="C59" s="69">
        <v>45683</v>
      </c>
      <c r="D59" s="69">
        <v>45684</v>
      </c>
      <c r="E59" s="69">
        <v>45685</v>
      </c>
      <c r="F59" s="69">
        <v>45686</v>
      </c>
      <c r="G59" s="69">
        <v>45687</v>
      </c>
      <c r="H59" s="69">
        <v>45688</v>
      </c>
      <c r="M59" s="154"/>
    </row>
    <row r="60" spans="1:13">
      <c r="A60" s="67">
        <v>5</v>
      </c>
      <c r="B60" s="69">
        <v>45689</v>
      </c>
      <c r="C60" s="69">
        <v>45690</v>
      </c>
      <c r="D60" s="69">
        <v>45691</v>
      </c>
      <c r="E60" s="69">
        <v>45692</v>
      </c>
      <c r="F60" s="69">
        <v>45693</v>
      </c>
      <c r="G60" s="69">
        <v>45694</v>
      </c>
      <c r="H60" s="69">
        <v>45695</v>
      </c>
      <c r="M60" s="154"/>
    </row>
    <row r="61" spans="1:13" ht="15" thickBot="1">
      <c r="A61" s="67">
        <v>6</v>
      </c>
      <c r="B61" s="69">
        <v>45696</v>
      </c>
      <c r="C61" s="69">
        <v>45697</v>
      </c>
      <c r="D61" s="69">
        <v>45698</v>
      </c>
      <c r="E61" s="69">
        <v>45699</v>
      </c>
      <c r="F61" s="69">
        <v>45700</v>
      </c>
      <c r="G61" s="69">
        <v>45701</v>
      </c>
      <c r="H61" s="69">
        <v>45702</v>
      </c>
      <c r="M61" s="154"/>
    </row>
    <row r="62" spans="1:13" ht="15" thickBot="1">
      <c r="A62" s="67">
        <v>7</v>
      </c>
      <c r="B62" s="69">
        <v>45703</v>
      </c>
      <c r="C62" s="69">
        <v>45704</v>
      </c>
      <c r="D62" s="69">
        <v>45705</v>
      </c>
      <c r="E62" s="69">
        <v>45706</v>
      </c>
      <c r="F62" s="69">
        <v>45707</v>
      </c>
      <c r="G62" s="69">
        <v>45708</v>
      </c>
      <c r="H62" s="69">
        <v>45709</v>
      </c>
      <c r="M62" s="154"/>
    </row>
    <row r="63" spans="1:13" ht="15" thickBot="1">
      <c r="A63" s="67">
        <v>8</v>
      </c>
      <c r="B63" s="69">
        <v>45710</v>
      </c>
      <c r="C63" s="69">
        <v>45711</v>
      </c>
      <c r="D63" s="69">
        <v>45712</v>
      </c>
      <c r="E63" s="69">
        <v>45713</v>
      </c>
      <c r="F63" s="69">
        <v>45714</v>
      </c>
      <c r="G63" s="69">
        <v>45715</v>
      </c>
      <c r="H63" s="69">
        <v>45716</v>
      </c>
      <c r="M63" s="154"/>
    </row>
  </sheetData>
  <mergeCells count="1">
    <mergeCell ref="J1:M1"/>
  </mergeCells>
  <hyperlinks>
    <hyperlink ref="A3" r:id="rId1" display="1" xr:uid="{3C35AAF1-A96A-43B1-8F2B-D4DD20570D8F}"/>
    <hyperlink ref="A4" r:id="rId2" display="2" xr:uid="{40071FEE-A3EC-42FD-ADAA-6E733E041744}"/>
    <hyperlink ref="A5" r:id="rId3" display="3" xr:uid="{5CBFB28D-D1D9-489A-B117-C7B2BF930836}"/>
    <hyperlink ref="A6" r:id="rId4" display="4" xr:uid="{CC2D9AA0-7A2A-4BAC-A5F7-AECA7A21164C}"/>
    <hyperlink ref="A7" r:id="rId5" display="5" xr:uid="{B62D4444-9465-4E96-B519-99E7A97FFEA3}"/>
    <hyperlink ref="A8" r:id="rId6" display="6" xr:uid="{D8A1CF2D-8D04-4980-A649-1EEBDEB36211}"/>
    <hyperlink ref="A9" r:id="rId7" display="7" xr:uid="{90C81DFB-DFDD-479C-A38D-5CB40A868E4E}"/>
    <hyperlink ref="A10" r:id="rId8" display="8" xr:uid="{8D473039-25A6-4309-ACAD-C10AA51CBF2C}"/>
    <hyperlink ref="A11" r:id="rId9" display="9" xr:uid="{A02AA59A-21D7-4F7E-A369-F7496A6237FF}"/>
    <hyperlink ref="A12" r:id="rId10" display="10" xr:uid="{BC3D268F-5C51-4ED5-8DB9-5C66E7CC56CB}"/>
    <hyperlink ref="A13" r:id="rId11" display="11" xr:uid="{8674F3DA-9FB7-41ED-A878-796D4F5E0FED}"/>
    <hyperlink ref="A14" r:id="rId12" display="12" xr:uid="{B1E8384D-F36C-4501-B97A-F458A2CA28D7}"/>
    <hyperlink ref="A15" r:id="rId13" display="13" xr:uid="{A20C079A-0872-47DC-B4B2-9B6E8323AF49}"/>
    <hyperlink ref="A16" r:id="rId14" display="14" xr:uid="{AEBDBBE9-B66E-4189-9E4E-EA30CD7353D6}"/>
    <hyperlink ref="A17" r:id="rId15" display="15" xr:uid="{80F0C21B-5160-45CD-9B14-BC6AF3811B47}"/>
    <hyperlink ref="A18" r:id="rId16" display="16" xr:uid="{E2BAD542-4DF8-4D1C-B25A-7E32D2C748B2}"/>
    <hyperlink ref="A19" r:id="rId17" display="17" xr:uid="{06B8B4CD-863A-43AB-B4B4-F8D4D0E963DC}"/>
    <hyperlink ref="A20" r:id="rId18" display="18" xr:uid="{9C492FB5-9F03-45AB-A513-C26DCF036253}"/>
    <hyperlink ref="A21" r:id="rId19" display="19" xr:uid="{62F019D4-3F32-4E87-86D4-2BF73BC98635}"/>
    <hyperlink ref="A22" r:id="rId20" display="20" xr:uid="{D47B9919-A6A4-4AE5-B98F-0AD7344AE848}"/>
    <hyperlink ref="A23" r:id="rId21" display="21" xr:uid="{9EBE5AC8-E93D-4667-93E7-D197D7EA1C35}"/>
    <hyperlink ref="A24" r:id="rId22" display="22" xr:uid="{7B00766A-2DDE-4585-AFBA-EF1677EF075D}"/>
    <hyperlink ref="A25" r:id="rId23" display="23" xr:uid="{70B2399A-7C54-423C-BB03-8C7382E6BD15}"/>
    <hyperlink ref="A26" r:id="rId24" display="24" xr:uid="{737E9265-3669-4572-BDA2-0A570DF5C0EB}"/>
    <hyperlink ref="A27" r:id="rId25" display="25" xr:uid="{90778EB2-3608-4B98-935C-979614C30135}"/>
    <hyperlink ref="A28" r:id="rId26" display="26" xr:uid="{4495C972-690E-4D17-8919-BE552469DE82}"/>
    <hyperlink ref="A29" r:id="rId27" display="27" xr:uid="{1500C17A-D674-4250-A6A2-9857BD1861A2}"/>
    <hyperlink ref="A30" r:id="rId28" display="28" xr:uid="{D39A3723-DCE3-4D92-998A-8B192AF244F1}"/>
    <hyperlink ref="A31" r:id="rId29" display="29" xr:uid="{2EB4F3F5-BA1F-42B1-A618-B7DFA0968FDE}"/>
    <hyperlink ref="A32" r:id="rId30" display="30" xr:uid="{66FFD640-1166-4537-8444-20610F3838CC}"/>
    <hyperlink ref="A33" r:id="rId31" display="31" xr:uid="{1157946D-D20D-49AE-9E16-39F2F6702F1D}"/>
    <hyperlink ref="A34" r:id="rId32" display="32" xr:uid="{3B8145F1-51E8-45CB-9490-C02AB5746687}"/>
    <hyperlink ref="A35" r:id="rId33" display="33" xr:uid="{E98D30DB-0AEA-40A1-8292-E2CB44B9AEF6}"/>
    <hyperlink ref="A36" r:id="rId34" display="34" xr:uid="{70C2BB2A-657C-4FC6-BFBB-5A1A2DCF5922}"/>
    <hyperlink ref="A37" r:id="rId35" display="35" xr:uid="{ED50AF25-06EB-4230-B767-37FE23AEC968}"/>
    <hyperlink ref="A38" r:id="rId36" display="36" xr:uid="{5272D582-89DF-4E68-95E6-87748A8C9797}"/>
    <hyperlink ref="A39" r:id="rId37" display="37" xr:uid="{99B636DF-CD30-4279-9E44-AEE80AE126D2}"/>
    <hyperlink ref="A40" r:id="rId38" display="38" xr:uid="{0C9636AD-35FE-461A-81F2-BD9F8C805E79}"/>
    <hyperlink ref="A41" r:id="rId39" display="39" xr:uid="{30EAD56E-72F6-4F1C-B1A5-FF1A6A78F497}"/>
    <hyperlink ref="A42" r:id="rId40" display="40" xr:uid="{8EC23FF5-C2DD-427B-BA2B-9E85AF4917AB}"/>
    <hyperlink ref="A43" r:id="rId41" display="41" xr:uid="{71BAD416-5AC2-4B2D-B1D8-68DA9A1BC5A1}"/>
    <hyperlink ref="A44" r:id="rId42" display="42" xr:uid="{BB81081D-1A65-407B-9C68-945EABE4987E}"/>
    <hyperlink ref="A45" r:id="rId43" display="43" xr:uid="{2C23B979-88AC-4B1E-9450-68AA8866472B}"/>
    <hyperlink ref="A46" r:id="rId44" display="44" xr:uid="{5AA45F6D-F03C-493B-AC75-CA82C883FC70}"/>
    <hyperlink ref="A47" r:id="rId45" display="45" xr:uid="{76E7C0E6-17D8-4E4D-A5AA-BE155DBC268D}"/>
    <hyperlink ref="A48" r:id="rId46" display="46" xr:uid="{59B9AF8F-53F2-42D6-8712-CD8D463BEAC3}"/>
    <hyperlink ref="A49" r:id="rId47" display="47" xr:uid="{17A29F9F-F179-4420-A402-3851C3CBB67E}"/>
    <hyperlink ref="A50" r:id="rId48" display="48" xr:uid="{A8C6438E-6D21-4B5D-966A-625E994E1418}"/>
    <hyperlink ref="A51" r:id="rId49" display="49" xr:uid="{C87BF81A-47A1-4E89-BA21-7CA822FE6A57}"/>
    <hyperlink ref="A52" r:id="rId50" display="50" xr:uid="{E9D5B5B3-2D7A-40B6-8BB4-E5F0583F1284}"/>
    <hyperlink ref="A53" r:id="rId51" display="51" xr:uid="{8088B468-7DAB-4AE3-AA0C-5ABF90740C2D}"/>
    <hyperlink ref="A54" r:id="rId52" display="52" xr:uid="{937EB7BB-901A-4AA0-BA47-B98A659C7F50}"/>
    <hyperlink ref="A55" r:id="rId53" display="53" xr:uid="{4E87CCBF-D875-47F6-8175-D9A51C56FD5D}"/>
    <hyperlink ref="A56" r:id="rId54" display="1" xr:uid="{8ADD96F3-6462-4D14-8AC4-31B0C4C04A0B}"/>
    <hyperlink ref="A57" r:id="rId55" display="2" xr:uid="{E987CC9F-4DAF-4E0F-B052-24982E9EEA86}"/>
    <hyperlink ref="A58" r:id="rId56" display="3" xr:uid="{ECCF7B01-31B2-4572-8817-B53A980E8FEE}"/>
    <hyperlink ref="A59" r:id="rId57" display="4" xr:uid="{D4BF7549-69FD-4A52-9251-87E5C9C305F4}"/>
    <hyperlink ref="A60" r:id="rId58" display="5" xr:uid="{A3D5F908-3678-4016-8BFF-CB4680D701B1}"/>
    <hyperlink ref="A61" r:id="rId59" display="6" xr:uid="{4DEB7085-8FC1-4B97-B6ED-C58539E0AD38}"/>
    <hyperlink ref="A62:A63" r:id="rId60" display="6" xr:uid="{9D44CE56-F9F9-437C-8CB7-8949CEE8D63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1CBB8-3C51-4C13-B826-4A95E7527F0B}">
  <dimension ref="A1:C19"/>
  <sheetViews>
    <sheetView topLeftCell="A10" workbookViewId="0">
      <selection activeCell="C26" sqref="C26"/>
    </sheetView>
  </sheetViews>
  <sheetFormatPr defaultRowHeight="15"/>
  <cols>
    <col min="1" max="1" width="34.140625" customWidth="1"/>
    <col min="2" max="2" width="43.140625" customWidth="1"/>
    <col min="3" max="3" width="47.5703125" customWidth="1"/>
  </cols>
  <sheetData>
    <row r="1" spans="1:3" ht="28.5">
      <c r="A1" s="203" t="s">
        <v>2071</v>
      </c>
      <c r="B1" s="203"/>
      <c r="C1" s="203"/>
    </row>
    <row r="2" spans="1:3">
      <c r="A2" s="204"/>
      <c r="B2" s="204"/>
      <c r="C2" s="204"/>
    </row>
    <row r="3" spans="1:3" ht="16.5">
      <c r="A3" s="205" t="s">
        <v>2072</v>
      </c>
      <c r="B3" s="206" t="s">
        <v>2073</v>
      </c>
      <c r="C3" s="206" t="s">
        <v>2074</v>
      </c>
    </row>
    <row r="4" spans="1:3" ht="130.5">
      <c r="A4" s="207" t="s">
        <v>2075</v>
      </c>
      <c r="B4" s="208" t="s">
        <v>2076</v>
      </c>
      <c r="C4" s="209" t="s">
        <v>2077</v>
      </c>
    </row>
    <row r="5" spans="1:3" ht="91.5">
      <c r="A5" s="210" t="s">
        <v>2078</v>
      </c>
      <c r="B5" s="211" t="s">
        <v>2079</v>
      </c>
      <c r="C5" s="212" t="s">
        <v>2080</v>
      </c>
    </row>
    <row r="6" spans="1:3" ht="121.5">
      <c r="A6" s="210" t="s">
        <v>2081</v>
      </c>
      <c r="B6" s="213" t="s">
        <v>2082</v>
      </c>
      <c r="C6" s="214" t="s">
        <v>2083</v>
      </c>
    </row>
    <row r="7" spans="1:3" ht="305.25">
      <c r="A7" s="210" t="s">
        <v>2084</v>
      </c>
      <c r="B7" s="213" t="s">
        <v>2085</v>
      </c>
      <c r="C7" s="214" t="s">
        <v>2086</v>
      </c>
    </row>
    <row r="8" spans="1:3" ht="290.25">
      <c r="A8" s="210" t="s">
        <v>2087</v>
      </c>
      <c r="B8" s="213" t="s">
        <v>2088</v>
      </c>
      <c r="C8" s="214" t="s">
        <v>2089</v>
      </c>
    </row>
    <row r="9" spans="1:3" ht="106.5">
      <c r="A9" s="210" t="s">
        <v>2090</v>
      </c>
      <c r="B9" s="213" t="s">
        <v>2091</v>
      </c>
      <c r="C9" s="214" t="s">
        <v>2092</v>
      </c>
    </row>
    <row r="10" spans="1:3" ht="244.5">
      <c r="A10" s="210" t="s">
        <v>2093</v>
      </c>
      <c r="B10" s="213" t="s">
        <v>2094</v>
      </c>
      <c r="C10" s="214" t="s">
        <v>2095</v>
      </c>
    </row>
    <row r="11" spans="1:3">
      <c r="A11" s="204"/>
      <c r="B11" s="204"/>
      <c r="C11" s="204"/>
    </row>
    <row r="12" spans="1:3">
      <c r="A12" s="204"/>
      <c r="B12" s="204"/>
      <c r="C12" s="204"/>
    </row>
    <row r="13" spans="1:3">
      <c r="A13" s="204"/>
      <c r="B13" s="204"/>
      <c r="C13" s="204"/>
    </row>
    <row r="14" spans="1:3">
      <c r="A14" s="204"/>
      <c r="B14" s="204"/>
      <c r="C14" s="204"/>
    </row>
    <row r="15" spans="1:3">
      <c r="A15" s="204" t="s">
        <v>2096</v>
      </c>
      <c r="B15" s="204"/>
      <c r="C15" s="204"/>
    </row>
    <row r="16" spans="1:3">
      <c r="A16" s="215" t="s">
        <v>2097</v>
      </c>
      <c r="B16" s="215"/>
      <c r="C16" s="204"/>
    </row>
    <row r="17" spans="1:3">
      <c r="A17" s="215" t="s">
        <v>2098</v>
      </c>
      <c r="B17" s="215"/>
      <c r="C17" s="215"/>
    </row>
    <row r="18" spans="1:3">
      <c r="A18" s="215" t="s">
        <v>2099</v>
      </c>
      <c r="B18" s="215"/>
      <c r="C18" s="215"/>
    </row>
    <row r="19" spans="1:3">
      <c r="A19" s="215" t="s">
        <v>2100</v>
      </c>
      <c r="B19" s="215"/>
      <c r="C19" s="2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291E-CA11-47CE-B4B4-A3DA849657A4}">
  <dimension ref="A1:AA30"/>
  <sheetViews>
    <sheetView workbookViewId="0">
      <selection activeCell="M41" sqref="M41"/>
    </sheetView>
  </sheetViews>
  <sheetFormatPr defaultColWidth="8.85546875" defaultRowHeight="14.45"/>
  <cols>
    <col min="2" max="2" width="23.85546875" customWidth="1"/>
  </cols>
  <sheetData>
    <row r="1" spans="1:3">
      <c r="A1" s="138" t="s">
        <v>2101</v>
      </c>
      <c r="B1" s="7" t="s">
        <v>23</v>
      </c>
      <c r="C1" s="7" t="s">
        <v>2102</v>
      </c>
    </row>
    <row r="2" spans="1:3">
      <c r="A2" s="138">
        <v>1</v>
      </c>
      <c r="B2" s="138" t="s">
        <v>2103</v>
      </c>
      <c r="C2" s="138" t="s">
        <v>2104</v>
      </c>
    </row>
    <row r="3" spans="1:3">
      <c r="A3" s="138">
        <v>2</v>
      </c>
      <c r="B3" s="138" t="s">
        <v>2105</v>
      </c>
      <c r="C3" s="138" t="s">
        <v>2106</v>
      </c>
    </row>
    <row r="4" spans="1:3">
      <c r="A4" s="138">
        <v>3</v>
      </c>
      <c r="B4" s="138" t="s">
        <v>2107</v>
      </c>
      <c r="C4" s="138" t="s">
        <v>2108</v>
      </c>
    </row>
    <row r="5" spans="1:3">
      <c r="A5" s="138">
        <v>4</v>
      </c>
      <c r="B5" s="138" t="s">
        <v>2109</v>
      </c>
      <c r="C5" s="138" t="s">
        <v>2110</v>
      </c>
    </row>
    <row r="6" spans="1:3">
      <c r="A6" s="138">
        <v>5</v>
      </c>
      <c r="B6" s="138" t="s">
        <v>119</v>
      </c>
      <c r="C6" s="138" t="s">
        <v>2111</v>
      </c>
    </row>
    <row r="7" spans="1:3">
      <c r="A7" s="138">
        <v>6</v>
      </c>
      <c r="B7" s="138" t="s">
        <v>2112</v>
      </c>
      <c r="C7" s="138" t="s">
        <v>2113</v>
      </c>
    </row>
    <row r="8" spans="1:3">
      <c r="A8" s="138">
        <v>7</v>
      </c>
      <c r="B8" s="138" t="s">
        <v>64</v>
      </c>
      <c r="C8" s="138" t="s">
        <v>2114</v>
      </c>
    </row>
    <row r="9" spans="1:3" ht="15" customHeight="1">
      <c r="A9" s="138">
        <v>8</v>
      </c>
      <c r="B9" s="78" t="s">
        <v>125</v>
      </c>
      <c r="C9" t="s">
        <v>2115</v>
      </c>
    </row>
    <row r="10" spans="1:3" ht="15" customHeight="1">
      <c r="A10" s="138">
        <v>9</v>
      </c>
      <c r="B10" s="78" t="s">
        <v>2116</v>
      </c>
      <c r="C10" s="138" t="s">
        <v>2117</v>
      </c>
    </row>
    <row r="11" spans="1:3">
      <c r="A11" s="138">
        <v>10</v>
      </c>
      <c r="B11" s="138" t="s">
        <v>1720</v>
      </c>
      <c r="C11" s="138" t="s">
        <v>2118</v>
      </c>
    </row>
    <row r="12" spans="1:3">
      <c r="A12" s="138">
        <v>11</v>
      </c>
      <c r="B12" s="138" t="s">
        <v>2119</v>
      </c>
      <c r="C12" s="138" t="s">
        <v>2120</v>
      </c>
    </row>
    <row r="13" spans="1:3">
      <c r="A13" s="138">
        <v>12</v>
      </c>
      <c r="B13" s="138" t="s">
        <v>2121</v>
      </c>
      <c r="C13" s="138" t="s">
        <v>2122</v>
      </c>
    </row>
    <row r="14" spans="1:3">
      <c r="A14" s="138">
        <v>13</v>
      </c>
      <c r="B14" s="138" t="s">
        <v>86</v>
      </c>
      <c r="C14" s="138" t="s">
        <v>2123</v>
      </c>
    </row>
    <row r="15" spans="1:3">
      <c r="A15" s="138">
        <v>14</v>
      </c>
      <c r="B15" s="138" t="s">
        <v>887</v>
      </c>
      <c r="C15" s="138" t="s">
        <v>2124</v>
      </c>
    </row>
    <row r="16" spans="1:3">
      <c r="A16" s="138">
        <v>15</v>
      </c>
      <c r="B16" s="138" t="s">
        <v>2125</v>
      </c>
      <c r="C16" s="138" t="s">
        <v>2126</v>
      </c>
    </row>
    <row r="17" spans="1:27">
      <c r="A17" s="138">
        <v>16</v>
      </c>
      <c r="B17" s="138" t="s">
        <v>102</v>
      </c>
      <c r="C17" s="138" t="s">
        <v>2127</v>
      </c>
    </row>
    <row r="18" spans="1:27">
      <c r="A18" s="138">
        <v>17</v>
      </c>
      <c r="B18" s="167" t="s">
        <v>1916</v>
      </c>
      <c r="C18" s="167" t="s">
        <v>2128</v>
      </c>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row>
    <row r="19" spans="1:27">
      <c r="A19" s="138">
        <v>18</v>
      </c>
      <c r="B19" s="167" t="s">
        <v>2129</v>
      </c>
      <c r="C19" s="167" t="s">
        <v>2130</v>
      </c>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row>
    <row r="20" spans="1:27">
      <c r="A20" s="138">
        <v>19</v>
      </c>
      <c r="B20" s="167" t="s">
        <v>2131</v>
      </c>
      <c r="C20" s="167" t="s">
        <v>2132</v>
      </c>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row>
    <row r="21" spans="1:27">
      <c r="A21" s="138">
        <v>20</v>
      </c>
      <c r="B21" s="167" t="s">
        <v>2133</v>
      </c>
      <c r="C21" s="167" t="s">
        <v>2134</v>
      </c>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row>
    <row r="22" spans="1:27">
      <c r="A22" s="138">
        <v>21</v>
      </c>
      <c r="B22" s="167" t="s">
        <v>2135</v>
      </c>
      <c r="C22" s="167" t="s">
        <v>2136</v>
      </c>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row>
    <row r="23" spans="1:27">
      <c r="A23" s="138">
        <v>22</v>
      </c>
      <c r="B23" s="167" t="s">
        <v>1880</v>
      </c>
      <c r="C23" s="167" t="s">
        <v>2137</v>
      </c>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row>
    <row r="24" spans="1:27">
      <c r="A24" s="167"/>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row>
    <row r="25" spans="1:27">
      <c r="A25" s="167"/>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row>
    <row r="26" spans="1:27">
      <c r="A26" s="167"/>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row>
    <row r="27" spans="1:27">
      <c r="A27" s="167"/>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row>
    <row r="28" spans="1:27">
      <c r="A28" s="167"/>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row>
    <row r="29" spans="1:27">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row>
    <row r="30" spans="1:27">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5206-A206-6842-88CF-93089D46A041}">
  <dimension ref="A4:K19"/>
  <sheetViews>
    <sheetView workbookViewId="0">
      <selection activeCell="E19" sqref="E19"/>
    </sheetView>
  </sheetViews>
  <sheetFormatPr defaultColWidth="11.42578125" defaultRowHeight="14.45"/>
  <cols>
    <col min="1" max="1" width="12.85546875" bestFit="1" customWidth="1"/>
    <col min="3" max="3" width="13.140625" customWidth="1"/>
    <col min="5" max="5" width="12.42578125" customWidth="1"/>
  </cols>
  <sheetData>
    <row r="4" spans="1:11">
      <c r="A4" t="s">
        <v>2138</v>
      </c>
      <c r="C4" t="s">
        <v>65</v>
      </c>
      <c r="E4" t="s">
        <v>2139</v>
      </c>
      <c r="G4" t="s">
        <v>2140</v>
      </c>
      <c r="I4" t="s">
        <v>2141</v>
      </c>
      <c r="K4" t="s">
        <v>2142</v>
      </c>
    </row>
    <row r="5" spans="1:11" ht="29.1">
      <c r="A5" s="3" t="s">
        <v>68</v>
      </c>
      <c r="C5" t="s">
        <v>75</v>
      </c>
      <c r="E5" t="s">
        <v>2143</v>
      </c>
      <c r="G5" s="9" t="s">
        <v>891</v>
      </c>
      <c r="I5" s="105" t="s">
        <v>892</v>
      </c>
      <c r="K5" t="s">
        <v>890</v>
      </c>
    </row>
    <row r="6" spans="1:11">
      <c r="A6" t="s">
        <v>82</v>
      </c>
      <c r="C6" t="s">
        <v>2144</v>
      </c>
      <c r="E6" t="s">
        <v>2145</v>
      </c>
      <c r="G6" s="79" t="s">
        <v>899</v>
      </c>
      <c r="I6" s="105" t="s">
        <v>900</v>
      </c>
      <c r="K6" t="s">
        <v>1943</v>
      </c>
    </row>
    <row r="7" spans="1:11" ht="29.1">
      <c r="A7" t="s">
        <v>78</v>
      </c>
      <c r="C7" t="s">
        <v>72</v>
      </c>
      <c r="E7" t="s">
        <v>2146</v>
      </c>
      <c r="G7" s="4" t="s">
        <v>908</v>
      </c>
      <c r="I7" s="105" t="s">
        <v>903</v>
      </c>
      <c r="K7" t="s">
        <v>1944</v>
      </c>
    </row>
    <row r="8" spans="1:11" ht="43.5">
      <c r="E8" t="s">
        <v>2147</v>
      </c>
      <c r="G8" s="79" t="s">
        <v>921</v>
      </c>
      <c r="I8" s="105" t="s">
        <v>909</v>
      </c>
      <c r="K8" t="s">
        <v>1945</v>
      </c>
    </row>
    <row r="9" spans="1:11" ht="29.1">
      <c r="E9" s="3" t="s">
        <v>2148</v>
      </c>
      <c r="G9" s="4" t="s">
        <v>933</v>
      </c>
      <c r="I9" s="105" t="s">
        <v>914</v>
      </c>
      <c r="K9" t="s">
        <v>1946</v>
      </c>
    </row>
    <row r="10" spans="1:11" ht="29.1">
      <c r="E10" t="s">
        <v>2149</v>
      </c>
      <c r="I10" s="105" t="s">
        <v>946</v>
      </c>
      <c r="K10" t="s">
        <v>2150</v>
      </c>
    </row>
    <row r="11" spans="1:11">
      <c r="E11" t="s">
        <v>2151</v>
      </c>
      <c r="I11" s="105" t="s">
        <v>957</v>
      </c>
      <c r="K11" t="s">
        <v>2152</v>
      </c>
    </row>
    <row r="12" spans="1:11">
      <c r="E12" t="s">
        <v>2153</v>
      </c>
      <c r="I12" s="105" t="s">
        <v>962</v>
      </c>
    </row>
    <row r="13" spans="1:11">
      <c r="I13" s="105" t="s">
        <v>1263</v>
      </c>
    </row>
    <row r="14" spans="1:11" ht="29.1">
      <c r="I14" s="107" t="s">
        <v>2154</v>
      </c>
    </row>
    <row r="15" spans="1:11">
      <c r="I15" s="105" t="s">
        <v>953</v>
      </c>
    </row>
    <row r="16" spans="1:11" ht="29.1">
      <c r="I16" s="105" t="s">
        <v>984</v>
      </c>
    </row>
    <row r="17" spans="9:9" ht="29.1">
      <c r="I17" s="105" t="s">
        <v>1222</v>
      </c>
    </row>
    <row r="18" spans="9:9">
      <c r="I18" s="105" t="s">
        <v>2155</v>
      </c>
    </row>
    <row r="19" spans="9:9" ht="57.95">
      <c r="I19" s="106" t="s">
        <v>2156</v>
      </c>
    </row>
  </sheetData>
  <pageMargins left="0.7" right="0.7" top="0.75" bottom="0.75" header="0.3" footer="0.3"/>
  <legacyDrawing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0c963b-3e47-445c-bef2-c44d7f531c4e">
      <Terms xmlns="http://schemas.microsoft.com/office/infopath/2007/PartnerControls"/>
    </lcf76f155ced4ddcb4097134ff3c332f>
    <TaxCatchAll xmlns="595493ea-8ce5-4ca6-af6d-e49542b0b0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7FFC769F6C31D49A93E90F1B32C44A0" ma:contentTypeVersion="11" ma:contentTypeDescription="Create a new document." ma:contentTypeScope="" ma:versionID="60310d51edc7f8c02ee1c85af153c487">
  <xsd:schema xmlns:xsd="http://www.w3.org/2001/XMLSchema" xmlns:xs="http://www.w3.org/2001/XMLSchema" xmlns:p="http://schemas.microsoft.com/office/2006/metadata/properties" xmlns:ns2="3e0c963b-3e47-445c-bef2-c44d7f531c4e" xmlns:ns3="595493ea-8ce5-4ca6-af6d-e49542b0b0a6" targetNamespace="http://schemas.microsoft.com/office/2006/metadata/properties" ma:root="true" ma:fieldsID="9850422bdf0ac277ed345a5268f58e3d" ns2:_="" ns3:_="">
    <xsd:import namespace="3e0c963b-3e47-445c-bef2-c44d7f531c4e"/>
    <xsd:import namespace="595493ea-8ce5-4ca6-af6d-e49542b0b0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c963b-3e47-445c-bef2-c44d7f531c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22b278-09af-4a02-860a-c67d9bcb2f7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5493ea-8ce5-4ca6-af6d-e49542b0b0a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79dc642-8835-4ad5-9945-1c58e216fe0a}" ma:internalName="TaxCatchAll" ma:showField="CatchAllData" ma:web="595493ea-8ce5-4ca6-af6d-e49542b0b0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3F0CCB-7611-4B8D-8479-D3E36D4EBAD2}"/>
</file>

<file path=customXml/itemProps2.xml><?xml version="1.0" encoding="utf-8"?>
<ds:datastoreItem xmlns:ds="http://schemas.openxmlformats.org/officeDocument/2006/customXml" ds:itemID="{76D125D0-4C56-4096-B862-79AD9C66AF03}"/>
</file>

<file path=customXml/itemProps3.xml><?xml version="1.0" encoding="utf-8"?>
<ds:datastoreItem xmlns:ds="http://schemas.openxmlformats.org/officeDocument/2006/customXml" ds:itemID="{28E48B48-71C3-4A60-975D-B14E263BB7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Lopez</dc:creator>
  <cp:keywords/>
  <dc:description/>
  <cp:lastModifiedBy>Aleksandra Davydova</cp:lastModifiedBy>
  <cp:revision/>
  <dcterms:created xsi:type="dcterms:W3CDTF">2025-11-14T13:23:44Z</dcterms:created>
  <dcterms:modified xsi:type="dcterms:W3CDTF">2026-03-19T13:33:05Z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0x01010087FFC769F6C31D49A93E90F1B32C44A0</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{"FileActivityType":"6","FileActivityTimeStamp":"2025-11-14T16:01:54.083Z","FileActivityUsersOnPage":[{"DisplayName":"Maria Lopez","Id":"malo08@dfki.de"}],"FileActivityNavigationId":null}</vt:lpwstr>
  </property>
  <property fmtid="{D5CDD505-2E9C-101B-9397-08002B2CF9AE}" pid="9" name="TriggerFlowInfo">
    <vt:lpwstr/>
  </property>
</Properties>
</file>