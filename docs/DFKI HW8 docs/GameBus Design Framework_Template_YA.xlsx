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https://dfkide-my.sharepoint.com/personal/malo08_dfki_de/Documents/Dokumente/Trials Execution/Long-Term Trials/GameBus Campaign Development/"/>
    </mc:Choice>
  </mc:AlternateContent>
  <xr:revisionPtr revIDLastSave="1471" documentId="13_ncr:1_{CF26495A-EDB3-44D3-921B-75D4D84DD73E}" xr6:coauthVersionLast="47" xr6:coauthVersionMax="47" xr10:uidLastSave="{57E06B94-548A-47E5-A335-0F19B716D600}"/>
  <bookViews>
    <workbookView xWindow="-30828" yWindow="-7836" windowWidth="30936" windowHeight="16776" firstSheet="2" activeTab="2" xr2:uid="{3B49F678-D1BA-4799-A3FD-9F9B13FB8202}"/>
  </bookViews>
  <sheets>
    <sheet name="Readme" sheetId="8" r:id="rId1"/>
    <sheet name="1. Experts Groups" sheetId="16" r:id="rId2"/>
    <sheet name="2. Level Systematic (Structure)" sheetId="15" r:id="rId3"/>
    <sheet name="3. Activity Matrix" sheetId="2" r:id="rId4"/>
    <sheet name="4. Task Breakdown" sheetId="3" r:id="rId5"/>
    <sheet name="5. TTM-Task Creation Guidelines" sheetId="4" r:id="rId6"/>
    <sheet name="6. Gamification Guidelines" sheetId="5" r:id="rId7"/>
    <sheet name="7.Calendar &amp; Seasonal Timelines" sheetId="10" r:id="rId8"/>
    <sheet name="8. Terminology" sheetId="12" r:id="rId9"/>
    <sheet name="9. Lists" sheetId="17" r:id="rId10"/>
    <sheet name="Hoja1" sheetId="18"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6" i="3" l="1"/>
  <c r="F235" i="3"/>
  <c r="F237" i="3"/>
  <c r="F263" i="3"/>
  <c r="F271" i="3"/>
  <c r="F278" i="3"/>
  <c r="F280" i="3"/>
  <c r="F279" i="3"/>
  <c r="F352" i="3"/>
  <c r="F351" i="3"/>
  <c r="F353" i="3"/>
  <c r="F60" i="3"/>
  <c r="F61" i="3"/>
  <c r="F62" i="3"/>
  <c r="F56" i="3"/>
  <c r="F57" i="3"/>
  <c r="F58" i="3"/>
  <c r="F54" i="3"/>
  <c r="F55" i="3"/>
  <c r="F479" i="3"/>
  <c r="F465" i="3"/>
  <c r="F466" i="3"/>
  <c r="F467" i="3"/>
  <c r="F468" i="3"/>
  <c r="F469" i="3"/>
  <c r="F470" i="3"/>
  <c r="F471" i="3"/>
  <c r="F472" i="3"/>
  <c r="F473" i="3"/>
  <c r="F474" i="3"/>
  <c r="F475" i="3"/>
  <c r="F476" i="3"/>
  <c r="F477" i="3"/>
  <c r="F478" i="3"/>
  <c r="F451" i="3"/>
  <c r="F452" i="3"/>
  <c r="F453" i="3"/>
  <c r="F454" i="3"/>
  <c r="F455" i="3"/>
  <c r="F456" i="3"/>
  <c r="F457" i="3"/>
  <c r="F458" i="3"/>
  <c r="F459" i="3"/>
  <c r="F460" i="3"/>
  <c r="F461" i="3"/>
  <c r="F462" i="3"/>
  <c r="F463" i="3"/>
  <c r="F464" i="3"/>
  <c r="F437" i="3"/>
  <c r="F438" i="3"/>
  <c r="F439" i="3"/>
  <c r="F440" i="3"/>
  <c r="F441" i="3"/>
  <c r="F442" i="3"/>
  <c r="F443" i="3"/>
  <c r="F444" i="3"/>
  <c r="F445" i="3"/>
  <c r="F446" i="3"/>
  <c r="F447" i="3"/>
  <c r="F448" i="3"/>
  <c r="F449" i="3"/>
  <c r="F450" i="3"/>
  <c r="F423" i="3"/>
  <c r="F424" i="3"/>
  <c r="F425" i="3"/>
  <c r="F426" i="3"/>
  <c r="F427" i="3"/>
  <c r="F428" i="3"/>
  <c r="F429" i="3"/>
  <c r="F430" i="3"/>
  <c r="F431" i="3"/>
  <c r="F432" i="3"/>
  <c r="F433" i="3"/>
  <c r="F434" i="3"/>
  <c r="F435" i="3"/>
  <c r="F436" i="3"/>
  <c r="F409" i="3"/>
  <c r="F410" i="3"/>
  <c r="F411" i="3"/>
  <c r="F412" i="3"/>
  <c r="F413" i="3"/>
  <c r="F414" i="3"/>
  <c r="F415" i="3"/>
  <c r="F416" i="3"/>
  <c r="F417" i="3"/>
  <c r="F418" i="3"/>
  <c r="F419" i="3"/>
  <c r="F420" i="3"/>
  <c r="F421" i="3"/>
  <c r="F422" i="3"/>
  <c r="F395" i="3"/>
  <c r="F396" i="3"/>
  <c r="F397" i="3"/>
  <c r="F398" i="3"/>
  <c r="F399" i="3"/>
  <c r="F400" i="3"/>
  <c r="F401" i="3"/>
  <c r="F402" i="3"/>
  <c r="F403" i="3"/>
  <c r="F404" i="3"/>
  <c r="F405" i="3"/>
  <c r="F406" i="3"/>
  <c r="F407" i="3"/>
  <c r="F408" i="3"/>
  <c r="F382" i="3"/>
  <c r="F383" i="3"/>
  <c r="F384" i="3"/>
  <c r="F385" i="3"/>
  <c r="F386" i="3"/>
  <c r="F387" i="3"/>
  <c r="F388" i="3"/>
  <c r="F389" i="3"/>
  <c r="F390" i="3"/>
  <c r="F391" i="3"/>
  <c r="F392" i="3"/>
  <c r="F393" i="3"/>
  <c r="F394" i="3"/>
  <c r="F368" i="3"/>
  <c r="F369" i="3"/>
  <c r="F370" i="3"/>
  <c r="F371" i="3"/>
  <c r="F372" i="3"/>
  <c r="F373" i="3"/>
  <c r="F374" i="3"/>
  <c r="F375" i="3"/>
  <c r="F376" i="3"/>
  <c r="F377" i="3"/>
  <c r="F378" i="3"/>
  <c r="F379" i="3"/>
  <c r="F380" i="3"/>
  <c r="F381" i="3"/>
  <c r="F354" i="3"/>
  <c r="F355" i="3"/>
  <c r="F356" i="3"/>
  <c r="F357" i="3"/>
  <c r="F358" i="3"/>
  <c r="F359" i="3"/>
  <c r="F360" i="3"/>
  <c r="F361" i="3"/>
  <c r="F362" i="3"/>
  <c r="F363" i="3"/>
  <c r="F364" i="3"/>
  <c r="F365" i="3"/>
  <c r="F366" i="3"/>
  <c r="F367" i="3"/>
  <c r="F112" i="3"/>
  <c r="F126" i="3"/>
  <c r="F125" i="3"/>
  <c r="F124" i="3"/>
  <c r="F123" i="3"/>
  <c r="F122" i="3"/>
  <c r="F121" i="3"/>
  <c r="F120" i="3"/>
  <c r="F119" i="3"/>
  <c r="F118" i="3"/>
  <c r="F117" i="3"/>
  <c r="F116" i="3"/>
  <c r="F115" i="3"/>
  <c r="F114" i="3"/>
  <c r="F111" i="3"/>
  <c r="F110" i="3"/>
  <c r="F109" i="3"/>
  <c r="F100" i="3"/>
  <c r="F99" i="3"/>
  <c r="F98" i="3"/>
  <c r="F97" i="3"/>
  <c r="F96" i="3"/>
  <c r="F95" i="3"/>
  <c r="F94" i="3"/>
  <c r="F93" i="3"/>
  <c r="F92" i="3"/>
  <c r="F90" i="3"/>
  <c r="F89" i="3"/>
  <c r="F88" i="3"/>
  <c r="F86" i="3"/>
  <c r="F84" i="3"/>
  <c r="F82" i="3"/>
  <c r="F81" i="3"/>
  <c r="F75" i="3"/>
  <c r="F74" i="3"/>
  <c r="F73" i="3"/>
  <c r="F72" i="3"/>
  <c r="F71" i="3"/>
  <c r="F70" i="3"/>
  <c r="F69" i="3"/>
  <c r="F68" i="3"/>
  <c r="F67" i="3"/>
  <c r="F53" i="3"/>
  <c r="F59" i="3"/>
  <c r="F66" i="3"/>
  <c r="F65" i="3"/>
  <c r="F64" i="3"/>
  <c r="F76" i="3"/>
  <c r="A5" i="15"/>
  <c r="F83"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63" i="3"/>
  <c r="F77" i="3"/>
  <c r="F78" i="3"/>
  <c r="F79" i="3"/>
  <c r="F80" i="3"/>
  <c r="F85" i="3"/>
  <c r="F87" i="3"/>
  <c r="F91" i="3"/>
  <c r="A3" i="15"/>
  <c r="A4" i="15"/>
  <c r="A6" i="15"/>
  <c r="A7" i="15"/>
  <c r="A8" i="15"/>
  <c r="A9" i="15"/>
  <c r="A10"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tc={8DEAF300-C04A-4E1D-A589-F8F720423D86}</author>
    <author>tc={913F8803-4203-4F7E-B0E6-355442452543}</author>
    <author>tc={8FF62CFC-CFE1-442D-B9C6-B0CA667588C5}</author>
    <author>tc={388B81D3-8750-43CA-BE5A-105103AEE9A3}</author>
    <author>tc={7B4E1F72-F507-4E3F-B9AC-658E77454D67}</author>
    <author>tc={F2C9E391-43D1-409F-8DDC-8624CE3DF034}</author>
    <author>tc={0A2CC666-5470-45B7-98E7-90C309790923}</author>
    <author>tc={91C9F101-E0C9-4456-A2BA-84E4E2518CCD}</author>
    <author>tc={8B92236C-36E7-4256-B7F4-0B1BFC6556EA}</author>
    <author>tc={2DCBEB9A-2FEB-47AF-847F-9BE3C5741F6A}</author>
    <author>tc={2B44A3E9-220A-4F02-A435-71D4BADBDCE2}</author>
    <author>tc={8DB0A22B-048F-4399-B496-DA1F76B7BC59}</author>
    <author>tc={65044636-D34D-4B10-9B2E-2D6102392E21}</author>
  </authors>
  <commentList>
    <comment ref="J3" authorId="0" shapeId="0" xr:uid="{8DEAF300-C04A-4E1D-A589-F8F720423D86}">
      <text>
        <t>[Threaded comment]
Your version of Excel allows you to read this threaded comment; however, any edits to it will get removed if the file is opened in a newer version of Excel. Learn more: https://go.microsoft.com/fwlink/?linkid=870924
Comment:
    Task code</t>
      </text>
    </comment>
    <comment ref="B5" authorId="1" shapeId="0" xr:uid="{913F8803-4203-4F7E-B0E6-355442452543}">
      <text>
        <t>[Threaded comment]
Your version of Excel allows you to read this threaded comment; however, any edits to it will get removed if the file is opened in a newer version of Excel. Learn more: https://go.microsoft.com/fwlink/?linkid=870924
Comment:
    Behavioral Change Category/Variable Code</t>
      </text>
    </comment>
    <comment ref="D5" authorId="2" shapeId="0" xr:uid="{8FF62CFC-CFE1-442D-B9C6-B0CA667588C5}">
      <text>
        <t>[Threaded comment]
Your version of Excel allows you to read this threaded comment; however, any edits to it will get removed if the file is opened in a newer version of Excel. Learn more: https://go.microsoft.com/fwlink/?linkid=870924
Comment:
    Activity (Path) Code</t>
      </text>
    </comment>
    <comment ref="C7" authorId="3" shapeId="0" xr:uid="{388B81D3-8750-43CA-BE5A-105103AEE9A3}">
      <text>
        <t>[Threaded comment]
Your version of Excel allows you to read this threaded comment; however, any edits to it will get removed if the file is opened in a newer version of Excel. Learn more: https://go.microsoft.com/fwlink/?linkid=870924
Comment:
    Ideal of short active microbreaks (2–3 minutes of light intensity exercises every 30 minutes) - 8 minutes of standing</t>
      </text>
    </comment>
    <comment ref="O7" authorId="4" shapeId="0" xr:uid="{7B4E1F72-F507-4E3F-B9AC-658E77454D67}">
      <text>
        <t>[Threaded comment]
Your version of Excel allows you to read this threaded comment; however, any edits to it will get removed if the file is opened in a newer version of Excel. Learn more: https://go.microsoft.com/fwlink/?linkid=870924
Comment:
    Here I have to incorporate TIP of ideal time (2 mins of stretching; 8 mins of standing for each 30 mins sitting)</t>
      </text>
    </comment>
    <comment ref="C9" authorId="5" shapeId="0" xr:uid="{F2C9E391-43D1-409F-8DDC-8624CE3DF034}">
      <text>
        <t>[Threaded comment]
Your version of Excel allows you to read this threaded comment; however, any edits to it will get removed if the file is opened in a newer version of Excel. Learn more: https://go.microsoft.com/fwlink/?linkid=870924
Comment:
    WHO recommmends at least 150 - 300 minutes/week ( 30 minutes 5 days a week) of aerobic physical activity. We have to configure times per activity to reach that level (doing at least two of the suggested activities)</t>
      </text>
    </comment>
    <comment ref="E9" authorId="6" shapeId="0" xr:uid="{0A2CC666-5470-45B7-98E7-90C309790923}">
      <text>
        <t>[Threaded comment]
Your version of Excel allows you to read this threaded comment; however, any edits to it will get removed if the file is opened in a newer version of Excel. Learn more: https://go.microsoft.com/fwlink/?linkid=870924
Comment:
     Physical activity undertaken in the home for domestic duties (such as cleaning, caring for children, gardening, etc).</t>
      </text>
    </comment>
    <comment ref="H10" authorId="7" shapeId="0" xr:uid="{91C9F101-E0C9-4456-A2BA-84E4E2518CCD}">
      <text>
        <t>[Threaded comment]
Your version of Excel allows you to read this threaded comment; however, any edits to it will get removed if the file is opened in a newer version of Excel. Learn more: https://go.microsoft.com/fwlink/?linkid=870924
Comment:
    Biking, Skating, Jogging, Sports can turn into vigorous PA for which item 5 would have to be taken into account.</t>
      </text>
    </comment>
    <comment ref="E14" authorId="8" shapeId="0" xr:uid="{8B92236C-36E7-4256-B7F4-0B1BFC6556EA}">
      <text>
        <t>[Threaded comment]
Your version of Excel allows you to read this threaded comment; however, any edits to it will get removed if the file is opened in a newer version of Excel. Learn more: https://go.microsoft.com/fwlink/?linkid=870924
Comment:
    Physical activity performed by an individual that is not required as an essential activity of daily living and is performed at the discretion of the individual. Examples include sports participation, exercise conditioning or training and recreational activities such as going for a walk, dancing and gardening.</t>
      </text>
    </comment>
    <comment ref="B15" authorId="9" shapeId="0" xr:uid="{2DCBEB9A-2FEB-47AF-847F-9BE3C5741F6A}">
      <text>
        <t>[Threaded comment]
Your version of Excel allows you to read this threaded comment; however, any edits to it will get removed if the file is opened in a newer version of Excel. Learn more: https://go.microsoft.com/fwlink/?linkid=870924
Comment:
    Create flexible activity path?</t>
      </text>
    </comment>
    <comment ref="C15" authorId="10" shapeId="0" xr:uid="{2B44A3E9-220A-4F02-A435-71D4BADBDCE2}">
      <text>
        <t>[Threaded comment]
Your version of Excel allows you to read this threaded comment; however, any edits to it will get removed if the file is opened in a newer version of Excel. Learn more: https://go.microsoft.com/fwlink/?linkid=870924
Comment:
    WHO recommendation at least 75–150 minutes/week of vigorous-intensity aerobic physical activity.
Reply:
    WHO recommendation: muscle-strengthening activities at moderate or greater intensity that involve all major muscle groups on at least 2 or more days a week</t>
      </text>
    </comment>
    <comment ref="J15" authorId="11" shapeId="0" xr:uid="{8DB0A22B-048F-4399-B496-DA1F76B7BC59}">
      <text>
        <t>[Threaded comment]
Your version of Excel allows you to read this threaded comment; however, any edits to it will get removed if the file is opened in a newer version of Excel. Learn more: https://go.microsoft.com/fwlink/?linkid=870924
Comment:
    Or a general PC Task for this category.</t>
      </text>
    </comment>
    <comment ref="T17" authorId="12" shapeId="0" xr:uid="{65044636-D34D-4B10-9B2E-2D6102392E21}">
      <text>
        <t>[Threaded comment]
Your version of Excel allows you to read this threaded comment; however, any edits to it will get removed if the file is opened in a newer version of Excel. Learn more: https://go.microsoft.com/fwlink/?linkid=870924
Comment:
    @Luca: I changed the baseline to two times a week as it is the minimun recommend by WHO and german guidelines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Lopez</author>
    <author>tc={BD0B523A-79DB-4771-94B8-93B66A5BC995}</author>
  </authors>
  <commentList>
    <comment ref="T2" authorId="0" shapeId="0" xr:uid="{437A2411-725F-4230-8B21-2E13679106E6}">
      <text>
        <r>
          <rPr>
            <sz val="11"/>
            <color rgb="FF000000"/>
            <rFont val="Aptos Narrow"/>
            <family val="2"/>
          </rPr>
          <t xml:space="preserve">Maria Lopez:
</t>
        </r>
        <r>
          <rPr>
            <sz val="11"/>
            <color rgb="FF000000"/>
            <rFont val="Aptos Narrow"/>
            <family val="2"/>
          </rPr>
          <t>max_times_fired: Amount of times activity can be logged in the defined time frame (min_days_between_fire)</t>
        </r>
      </text>
    </comment>
    <comment ref="N54" authorId="1" shapeId="0" xr:uid="{BD0B523A-79DB-4771-94B8-93B66A5BC995}">
      <text>
        <t>[Threaded comment]
Your version of Excel allows you to read this threaded comment; however, any edits to it will get removed if the file is opened in a newer version of Excel. Learn more: https://go.microsoft.com/fwlink/?linkid=870924
Comment:
    Have to check whether the scale for slider can change. If not, edit here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tc={33FF714F-2376-994B-A706-A2EFAB449BFE}</author>
  </authors>
  <commentList>
    <comment ref="G5" authorId="0" shapeId="0" xr:uid="{33FF714F-2376-994B-A706-A2EFAB449BFE}">
      <text>
        <t>[Threaded comment]
Your version of Excel allows you to read this threaded comment; however, any edits to it will get removed if the file is opened in a newer version of Excel. Learn more: https://go.microsoft.com/fwlink/?linkid=870924
Comment:
    Task code</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<sst xmlns="http://schemas.openxmlformats.org/spreadsheetml/2006/main" count="8386" uniqueCount="2722">
  <si>
    <t>ReadMe</t>
  </si>
  <si>
    <t> </t>
  </si>
  <si>
    <t>This is the documentation on the systematic development and structural configuration of the Gamebus Campaigns for the long-term trials of the HealthyW8 Project</t>
  </si>
  <si>
    <t>Sheet Index</t>
  </si>
  <si>
    <t>Sheet #</t>
  </si>
  <si>
    <t>Sheet Name</t>
  </si>
  <si>
    <t>Purpose</t>
  </si>
  <si>
    <t>Experts Groups</t>
  </si>
  <si>
    <r>
      <t xml:space="preserve">Table where designated experts from the different partner institutes select a </t>
    </r>
    <r>
      <rPr>
        <b/>
        <sz val="11"/>
        <color rgb="FF000000"/>
        <rFont val="Aptos Narrow"/>
        <family val="2"/>
        <scheme val="minor"/>
      </rPr>
      <t>dimension</t>
    </r>
    <r>
      <rPr>
        <sz val="11"/>
        <color rgb="FF000000"/>
        <rFont val="Aptos Narrow"/>
        <family val="2"/>
        <scheme val="minor"/>
      </rPr>
      <t xml:space="preserve"> and </t>
    </r>
    <r>
      <rPr>
        <b/>
        <sz val="11"/>
        <color rgb="FF000000"/>
        <rFont val="Aptos Narrow"/>
        <family val="2"/>
        <scheme val="minor"/>
      </rPr>
      <t xml:space="preserve">age group </t>
    </r>
    <r>
      <rPr>
        <sz val="11"/>
        <color rgb="FF000000"/>
        <rFont val="Aptos Narrow"/>
        <family val="2"/>
        <scheme val="minor"/>
      </rPr>
      <t xml:space="preserve">for which they are developing campaign content. </t>
    </r>
  </si>
  <si>
    <t>Level Systematic</t>
  </si>
  <si>
    <r>
      <t>Main structure of the</t>
    </r>
    <r>
      <rPr>
        <b/>
        <sz val="11"/>
        <color rgb="FF000000"/>
        <rFont val="Aptos Narrow"/>
        <family val="2"/>
        <scheme val="minor"/>
      </rPr>
      <t xml:space="preserve"> level progression mechanics</t>
    </r>
    <r>
      <rPr>
        <sz val="11"/>
        <color rgb="FF000000"/>
        <rFont val="Aptos Narrow"/>
        <family val="2"/>
        <scheme val="minor"/>
      </rPr>
      <t xml:space="preserve"> of the long-term trial campaigns. This is based on the</t>
    </r>
    <r>
      <rPr>
        <b/>
        <sz val="11"/>
        <color rgb="FF000000"/>
        <rFont val="Aptos Narrow"/>
        <family val="2"/>
        <scheme val="minor"/>
      </rPr>
      <t xml:space="preserve"> TTM theoretical framework</t>
    </r>
  </si>
  <si>
    <t>Activity Matrix</t>
  </si>
  <si>
    <r>
      <t xml:space="preserve">Mapping of the (selected) </t>
    </r>
    <r>
      <rPr>
        <b/>
        <sz val="11"/>
        <color rgb="FF000000"/>
        <rFont val="Aptos Narrow"/>
        <family val="2"/>
        <scheme val="minor"/>
      </rPr>
      <t>behavioral change variables</t>
    </r>
    <r>
      <rPr>
        <sz val="11"/>
        <color rgb="FF000000"/>
        <rFont val="Aptos Narrow"/>
        <family val="2"/>
        <scheme val="minor"/>
      </rPr>
      <t xml:space="preserve"> per</t>
    </r>
    <r>
      <rPr>
        <b/>
        <sz val="11"/>
        <color rgb="FF000000"/>
        <rFont val="Aptos Narrow"/>
        <family val="2"/>
        <scheme val="minor"/>
      </rPr>
      <t xml:space="preserve"> dimension</t>
    </r>
    <r>
      <rPr>
        <sz val="11"/>
        <color rgb="FF000000"/>
        <rFont val="Aptos Narrow"/>
        <family val="2"/>
        <scheme val="minor"/>
      </rPr>
      <t>, their corresponding</t>
    </r>
    <r>
      <rPr>
        <b/>
        <sz val="11"/>
        <color rgb="FF000000"/>
        <rFont val="Aptos Narrow"/>
        <family val="2"/>
        <scheme val="minor"/>
      </rPr>
      <t xml:space="preserve"> activity tracks</t>
    </r>
    <r>
      <rPr>
        <sz val="11"/>
        <color rgb="FF000000"/>
        <rFont val="Aptos Narrow"/>
        <family val="2"/>
        <scheme val="minor"/>
      </rPr>
      <t xml:space="preserve"> and a general description of the</t>
    </r>
    <r>
      <rPr>
        <b/>
        <sz val="11"/>
        <color rgb="FF000000"/>
        <rFont val="Aptos Narrow"/>
        <family val="2"/>
        <scheme val="minor"/>
      </rPr>
      <t xml:space="preserve"> tasks</t>
    </r>
    <r>
      <rPr>
        <sz val="11"/>
        <color rgb="FF000000"/>
        <rFont val="Aptos Narrow"/>
        <family val="2"/>
        <scheme val="minor"/>
      </rPr>
      <t xml:space="preserve"> matching each TTM stage</t>
    </r>
  </si>
  <si>
    <t>Task breakdown</t>
  </si>
  <si>
    <r>
      <t xml:space="preserve">Specific </t>
    </r>
    <r>
      <rPr>
        <b/>
        <sz val="11"/>
        <color rgb="FF000000"/>
        <rFont val="Aptos Narrow"/>
        <family val="2"/>
        <scheme val="minor"/>
      </rPr>
      <t>break down of tasks</t>
    </r>
    <r>
      <rPr>
        <sz val="11"/>
        <color rgb="FF000000"/>
        <rFont val="Aptos Narrow"/>
        <family val="2"/>
        <scheme val="minor"/>
      </rPr>
      <t xml:space="preserve"> in all  different TTM-based levels and their corresponding </t>
    </r>
    <r>
      <rPr>
        <b/>
        <sz val="11"/>
        <color rgb="FF000000"/>
        <rFont val="Aptos Narrow"/>
        <family val="2"/>
        <scheme val="minor"/>
      </rPr>
      <t>configuration in Gamebus</t>
    </r>
  </si>
  <si>
    <t>TTM - Task Creation Guidelines</t>
  </si>
  <si>
    <r>
      <t xml:space="preserve">TTM SOC based </t>
    </r>
    <r>
      <rPr>
        <b/>
        <sz val="11"/>
        <color theme="1"/>
        <rFont val="Aptos Narrow"/>
        <family val="2"/>
        <scheme val="minor"/>
      </rPr>
      <t>guidelines</t>
    </r>
    <r>
      <rPr>
        <sz val="11"/>
        <color theme="1"/>
        <rFont val="Aptos Narrow"/>
        <family val="2"/>
        <scheme val="minor"/>
      </rPr>
      <t xml:space="preserve"> helpful to create tasks for each of the dimensions</t>
    </r>
  </si>
  <si>
    <t>Gamification Guidelines</t>
  </si>
  <si>
    <r>
      <t xml:space="preserve">Checklist of possible </t>
    </r>
    <r>
      <rPr>
        <b/>
        <sz val="11"/>
        <color rgb="FF000000"/>
        <rFont val="Aptos Narrow"/>
        <family val="2"/>
        <scheme val="minor"/>
      </rPr>
      <t>gamification elements</t>
    </r>
    <r>
      <rPr>
        <sz val="11"/>
        <color rgb="FF000000"/>
        <rFont val="Aptos Narrow"/>
        <family val="2"/>
        <scheme val="minor"/>
      </rPr>
      <t xml:space="preserve"> based on the</t>
    </r>
    <r>
      <rPr>
        <b/>
        <sz val="11"/>
        <color rgb="FF000000"/>
        <rFont val="Aptos Narrow"/>
        <family val="2"/>
        <scheme val="minor"/>
      </rPr>
      <t xml:space="preserve"> SDT</t>
    </r>
    <r>
      <rPr>
        <sz val="11"/>
        <color rgb="FF000000"/>
        <rFont val="Aptos Narrow"/>
        <family val="2"/>
        <scheme val="minor"/>
      </rPr>
      <t xml:space="preserve"> theoretical background</t>
    </r>
  </si>
  <si>
    <t>Calendar &amp;Seasonal Timelines</t>
  </si>
  <si>
    <t>Calendar of the long-term trial timeframe and overview of seasonal waves timelines</t>
  </si>
  <si>
    <t>Terminology</t>
  </si>
  <si>
    <t>Shows terminology used in this document</t>
  </si>
  <si>
    <t>Lists</t>
  </si>
  <si>
    <t>Base options for pivot tables  (DO NOT TOUCH! Unless you want to add a new "Task Type" Option)</t>
  </si>
  <si>
    <t>Instructions</t>
  </si>
  <si>
    <t xml:space="preserve">1. </t>
  </si>
  <si>
    <r>
      <t xml:space="preserve">Go to </t>
    </r>
    <r>
      <rPr>
        <b/>
        <sz val="11"/>
        <rFont val="Aptos Narrow"/>
        <family val="2"/>
        <scheme val="minor"/>
      </rPr>
      <t>Sheet 1 (Experts Groups)</t>
    </r>
    <r>
      <rPr>
        <sz val="11"/>
        <rFont val="Aptos Narrow"/>
        <family val="2"/>
        <scheme val="minor"/>
      </rPr>
      <t xml:space="preserve"> and select the </t>
    </r>
    <r>
      <rPr>
        <b/>
        <sz val="11"/>
        <rFont val="Aptos Narrow"/>
        <family val="2"/>
        <scheme val="minor"/>
      </rPr>
      <t>dimension</t>
    </r>
    <r>
      <rPr>
        <sz val="11"/>
        <rFont val="Aptos Narrow"/>
        <family val="2"/>
        <scheme val="minor"/>
      </rPr>
      <t xml:space="preserve"> and </t>
    </r>
    <r>
      <rPr>
        <b/>
        <sz val="11"/>
        <rFont val="Aptos Narrow"/>
        <family val="2"/>
        <scheme val="minor"/>
      </rPr>
      <t>age group</t>
    </r>
    <r>
      <rPr>
        <sz val="11"/>
        <rFont val="Aptos Narrow"/>
        <family val="2"/>
        <scheme val="minor"/>
      </rPr>
      <t xml:space="preserve"> for which you are focusing in </t>
    </r>
    <r>
      <rPr>
        <b/>
        <sz val="11"/>
        <rFont val="Aptos Narrow"/>
        <family val="2"/>
        <scheme val="minor"/>
      </rPr>
      <t>creating campaign content.</t>
    </r>
    <r>
      <rPr>
        <sz val="11"/>
        <rFont val="Aptos Narrow"/>
        <family val="2"/>
        <scheme val="minor"/>
      </rPr>
      <t xml:space="preserve"> Take into account your expertise and age group trial in which you are already involved. The objective of this table is to create 9 dedicated expert groups that will focus on creating content (tasks) for each age group on the designated dimension.</t>
    </r>
  </si>
  <si>
    <t xml:space="preserve">2. </t>
  </si>
  <si>
    <t xml:space="preserve">The theoretical background of the new campaign design is based on the Transtheoretical Model - Stages of Change (TTM SOC) and the Self-Determination Theory (SDT). The tasks and levels are going to be modelled after TTM and the overarching game elements are modelled after the SDT. </t>
  </si>
  <si>
    <t>3.</t>
  </si>
  <si>
    <t>To get a general overview of the proposed design framework and its theoretical base it is recommended to:</t>
  </si>
  <si>
    <r>
      <rPr>
        <b/>
        <sz val="11"/>
        <color theme="1"/>
        <rFont val="Aptos Narrow"/>
        <family val="2"/>
        <scheme val="minor"/>
      </rPr>
      <t xml:space="preserve">A. </t>
    </r>
    <r>
      <rPr>
        <sz val="11"/>
        <color theme="1"/>
        <rFont val="Aptos Narrow"/>
        <family val="2"/>
        <scheme val="minor"/>
      </rPr>
      <t>Check the</t>
    </r>
    <r>
      <rPr>
        <b/>
        <sz val="11"/>
        <color theme="1"/>
        <rFont val="Aptos Narrow"/>
        <family val="2"/>
        <scheme val="minor"/>
      </rPr>
      <t xml:space="preserve"> video</t>
    </r>
    <r>
      <rPr>
        <sz val="11"/>
        <color theme="1"/>
        <rFont val="Aptos Narrow"/>
        <family val="2"/>
        <scheme val="minor"/>
      </rPr>
      <t xml:space="preserve"> of the explanation of the Gamebus Campaign Design Framework:</t>
    </r>
  </si>
  <si>
    <t>https://cloud.lih.lu/f/1936355</t>
  </si>
  <si>
    <r>
      <t xml:space="preserve">B. </t>
    </r>
    <r>
      <rPr>
        <sz val="11"/>
        <color theme="1"/>
        <rFont val="Aptos Narrow"/>
        <family val="2"/>
        <scheme val="minor"/>
      </rPr>
      <t xml:space="preserve">Check the corresponding  </t>
    </r>
    <r>
      <rPr>
        <b/>
        <sz val="11"/>
        <color theme="1"/>
        <rFont val="Aptos Narrow"/>
        <family val="2"/>
        <scheme val="minor"/>
      </rPr>
      <t xml:space="preserve">slides </t>
    </r>
    <r>
      <rPr>
        <sz val="11"/>
        <color theme="1"/>
        <rFont val="Aptos Narrow"/>
        <family val="2"/>
        <scheme val="minor"/>
      </rPr>
      <t>also containing all relevant information on the Gamebus Campaign Design Framework:</t>
    </r>
  </si>
  <si>
    <t>https://cloud.lih.lu/f/1936147</t>
  </si>
  <si>
    <r>
      <rPr>
        <b/>
        <sz val="11"/>
        <color theme="1"/>
        <rFont val="Aptos Narrow"/>
        <family val="2"/>
        <scheme val="minor"/>
      </rPr>
      <t>C.</t>
    </r>
    <r>
      <rPr>
        <sz val="11"/>
        <color theme="1"/>
        <rFont val="Aptos Narrow"/>
        <family val="2"/>
        <scheme val="minor"/>
      </rPr>
      <t xml:space="preserve"> For punctual clarifications or questions, contact relevant partners: Angélica López - DFKI ( maria.lopez@dfki.de), Serge Autexier - DFKI (serge.autexier@dfki.de), Chungwan (Hugo) Lo - BIPS (lo@leibniz-bips.de)</t>
    </r>
  </si>
  <si>
    <t>4.</t>
  </si>
  <si>
    <r>
      <t>After a general overview of the framework you can head to</t>
    </r>
    <r>
      <rPr>
        <b/>
        <sz val="11"/>
        <color theme="1"/>
        <rFont val="Aptos Narrow"/>
        <family val="2"/>
        <scheme val="minor"/>
      </rPr>
      <t xml:space="preserve"> Sheet 5  (TTM - Task Creation Guidelines)</t>
    </r>
    <r>
      <rPr>
        <sz val="11"/>
        <color theme="1"/>
        <rFont val="Aptos Narrow"/>
        <family val="2"/>
        <scheme val="minor"/>
      </rPr>
      <t xml:space="preserve">, which was created as an initial guide of content creation based on the TTM stages of change. It gives examples of the types of tasks and content that belong to each of the TTM stages. </t>
    </r>
  </si>
  <si>
    <t>5.</t>
  </si>
  <si>
    <r>
      <rPr>
        <b/>
        <sz val="11"/>
        <color theme="1"/>
        <rFont val="Aptos Narrow"/>
        <family val="2"/>
        <scheme val="minor"/>
      </rPr>
      <t xml:space="preserve">Sheet 2  (Level Systematic) </t>
    </r>
    <r>
      <rPr>
        <sz val="11"/>
        <color theme="1"/>
        <rFont val="Aptos Narrow"/>
        <family val="2"/>
        <scheme val="minor"/>
      </rPr>
      <t>contains the summarized overview of the content and systematic associated to each Gamebus level. The campaigns will have</t>
    </r>
    <r>
      <rPr>
        <b/>
        <sz val="11"/>
        <color theme="1"/>
        <rFont val="Aptos Narrow"/>
        <family val="2"/>
        <scheme val="minor"/>
      </rPr>
      <t xml:space="preserve"> 8 levels</t>
    </r>
    <r>
      <rPr>
        <sz val="11"/>
        <color theme="1"/>
        <rFont val="Aptos Narrow"/>
        <family val="2"/>
        <scheme val="minor"/>
      </rPr>
      <t xml:space="preserve"> in total (per Activity Track). Each level will contain a combination of sustenance and transition tasks matching the different TTM Stages ( PC: Precontemplation, C: Contemplation, P: Preparation, A: Action, M: Maintenance)</t>
    </r>
  </si>
  <si>
    <t xml:space="preserve">6. </t>
  </si>
  <si>
    <r>
      <t>Once you get an idea on how the tasks and levels are configured you can then go to</t>
    </r>
    <r>
      <rPr>
        <b/>
        <sz val="11"/>
        <color theme="1"/>
        <rFont val="Aptos Narrow"/>
        <family val="2"/>
        <scheme val="minor"/>
      </rPr>
      <t xml:space="preserve"> Sheet 3 (Activity Matrix)</t>
    </r>
    <r>
      <rPr>
        <sz val="11"/>
        <color theme="1"/>
        <rFont val="Aptos Narrow"/>
        <family val="2"/>
        <scheme val="minor"/>
      </rPr>
      <t>, which contains the overall mapping of</t>
    </r>
    <r>
      <rPr>
        <b/>
        <sz val="11"/>
        <color theme="1"/>
        <rFont val="Aptos Narrow"/>
        <family val="2"/>
        <scheme val="minor"/>
      </rPr>
      <t xml:space="preserve"> dimension </t>
    </r>
    <r>
      <rPr>
        <sz val="11"/>
        <color theme="1"/>
        <rFont val="Aptos Narrow"/>
        <family val="2"/>
        <scheme val="minor"/>
      </rPr>
      <t xml:space="preserve">(PA, Nutrition, Mindfulness) to </t>
    </r>
    <r>
      <rPr>
        <b/>
        <sz val="11"/>
        <color theme="1"/>
        <rFont val="Aptos Narrow"/>
        <family val="2"/>
        <scheme val="minor"/>
      </rPr>
      <t xml:space="preserve">behavioral change variable </t>
    </r>
    <r>
      <rPr>
        <sz val="11"/>
        <color theme="1"/>
        <rFont val="Aptos Narrow"/>
        <family val="2"/>
        <scheme val="minor"/>
      </rPr>
      <t xml:space="preserve">(e.g., step count, water intake, sleep) to </t>
    </r>
    <r>
      <rPr>
        <b/>
        <sz val="11"/>
        <color theme="1"/>
        <rFont val="Aptos Narrow"/>
        <family val="2"/>
        <scheme val="minor"/>
      </rPr>
      <t>activity track</t>
    </r>
    <r>
      <rPr>
        <sz val="11"/>
        <color theme="1"/>
        <rFont val="Aptos Narrow"/>
        <family val="2"/>
        <scheme val="minor"/>
      </rPr>
      <t xml:space="preserve"> (e.g., Jogging,5 a day, Sleep Hygiene)  and finally to the </t>
    </r>
    <r>
      <rPr>
        <b/>
        <sz val="11"/>
        <color theme="1"/>
        <rFont val="Aptos Narrow"/>
        <family val="2"/>
        <scheme val="minor"/>
      </rPr>
      <t>tasks</t>
    </r>
    <r>
      <rPr>
        <sz val="11"/>
        <color theme="1"/>
        <rFont val="Aptos Narrow"/>
        <family val="2"/>
        <scheme val="minor"/>
      </rPr>
      <t xml:space="preserve"> maching each TTM Stage. (The defined variables and activity tracks are yet to be defined. This document contains inittial suggestions)</t>
    </r>
  </si>
  <si>
    <t xml:space="preserve">7. </t>
  </si>
  <si>
    <r>
      <t xml:space="preserve">Having that structure above as a base, you can start adding  into </t>
    </r>
    <r>
      <rPr>
        <b/>
        <sz val="11"/>
        <color theme="1"/>
        <rFont val="Aptos Narrow"/>
        <family val="2"/>
        <scheme val="minor"/>
      </rPr>
      <t xml:space="preserve">Sheet 3 (Activity Matrix) </t>
    </r>
    <r>
      <rPr>
        <sz val="11"/>
        <color theme="1"/>
        <rFont val="Aptos Narrow"/>
        <family val="2"/>
        <scheme val="minor"/>
      </rPr>
      <t xml:space="preserve">general descriptions or goals of each TTM-stage-based task per activity track . </t>
    </r>
    <r>
      <rPr>
        <b/>
        <sz val="11"/>
        <color theme="1"/>
        <rFont val="Aptos Narrow"/>
        <family val="2"/>
        <scheme val="minor"/>
      </rPr>
      <t>Sheet 3 is meant to be a general mapping and content overview.</t>
    </r>
    <r>
      <rPr>
        <sz val="11"/>
        <color theme="1"/>
        <rFont val="Aptos Narrow"/>
        <family val="2"/>
        <scheme val="minor"/>
      </rPr>
      <t xml:space="preserve"> In the case of step count, the general description of </t>
    </r>
    <r>
      <rPr>
        <b/>
        <sz val="11"/>
        <color theme="1"/>
        <rFont val="Aptos Narrow"/>
        <family val="2"/>
        <scheme val="minor"/>
      </rPr>
      <t xml:space="preserve">PC1 </t>
    </r>
    <r>
      <rPr>
        <sz val="11"/>
        <color theme="1"/>
        <rFont val="Aptos Narrow"/>
        <family val="2"/>
        <scheme val="minor"/>
      </rPr>
      <t>is " (Awareness of) Current Step Count"</t>
    </r>
    <r>
      <rPr>
        <b/>
        <sz val="11"/>
        <color theme="1"/>
        <rFont val="Aptos Narrow"/>
        <family val="2"/>
        <scheme val="minor"/>
      </rPr>
      <t xml:space="preserve"> </t>
    </r>
    <r>
      <rPr>
        <sz val="11"/>
        <color theme="1"/>
        <rFont val="Aptos Narrow"/>
        <family val="2"/>
        <scheme val="minor"/>
      </rPr>
      <t xml:space="preserve"> and </t>
    </r>
    <r>
      <rPr>
        <b/>
        <sz val="11"/>
        <color theme="1"/>
        <rFont val="Aptos Narrow"/>
        <family val="2"/>
        <scheme val="minor"/>
      </rPr>
      <t>PC2</t>
    </r>
    <r>
      <rPr>
        <sz val="11"/>
        <color theme="1"/>
        <rFont val="Aptos Narrow"/>
        <family val="2"/>
        <scheme val="minor"/>
      </rPr>
      <t xml:space="preserve"> is a "Step Tracking Check". Be mindful of the "sustenance" (PC1) and "transition" (PC2*) content type.</t>
    </r>
  </si>
  <si>
    <t xml:space="preserve">8. </t>
  </si>
  <si>
    <r>
      <rPr>
        <b/>
        <sz val="11"/>
        <color theme="1"/>
        <rFont val="Aptos Narrow"/>
        <family val="2"/>
        <scheme val="minor"/>
      </rPr>
      <t xml:space="preserve">Sheet 4 (Task Breakdown) </t>
    </r>
    <r>
      <rPr>
        <sz val="11"/>
        <color theme="1"/>
        <rFont val="Aptos Narrow"/>
        <family val="2"/>
        <scheme val="minor"/>
      </rPr>
      <t xml:space="preserve">includes a granular description and settings of each of the tasks that are originally mapped into the </t>
    </r>
    <r>
      <rPr>
        <b/>
        <sz val="11"/>
        <color theme="1"/>
        <rFont val="Aptos Narrow"/>
        <family val="2"/>
        <scheme val="minor"/>
      </rPr>
      <t>Activity Matrix (Sheet 3)</t>
    </r>
    <r>
      <rPr>
        <sz val="11"/>
        <color theme="1"/>
        <rFont val="Aptos Narrow"/>
        <family val="2"/>
        <scheme val="minor"/>
      </rPr>
      <t xml:space="preserve">. This is the main working sheet. </t>
    </r>
  </si>
  <si>
    <t>9.</t>
  </si>
  <si>
    <r>
      <t xml:space="preserve">Minding the codes for the behavioral change variables, type of activity and TTM stage is relevant as it connects the activity matrix with the content at the task breakdown sheet. Each task will have its code consisting of : </t>
    </r>
    <r>
      <rPr>
        <b/>
        <sz val="11"/>
        <color theme="1"/>
        <rFont val="Aptos Narrow"/>
        <family val="2"/>
        <scheme val="minor"/>
      </rPr>
      <t xml:space="preserve">(TTMStage)(TaskNo). - Type of Activity - TargetGroup . </t>
    </r>
    <r>
      <rPr>
        <sz val="11"/>
        <color theme="1"/>
        <rFont val="Aptos Narrow"/>
        <family val="2"/>
        <scheme val="minor"/>
      </rPr>
      <t>If one has the code:</t>
    </r>
    <r>
      <rPr>
        <b/>
        <sz val="11"/>
        <color theme="1"/>
        <rFont val="Aptos Narrow"/>
        <family val="2"/>
        <scheme val="minor"/>
      </rPr>
      <t xml:space="preserve">  PC1- PA1 - A - Young , </t>
    </r>
    <r>
      <rPr>
        <sz val="11"/>
        <color theme="1"/>
        <rFont val="Aptos Narrow"/>
        <family val="2"/>
        <scheme val="minor"/>
      </rPr>
      <t>one can infer that this is a sustainance task (1) of the Precontemplation Stage (PC) for the Activity Step Count (PA1 - A) and targeted at young adults (Young)</t>
    </r>
  </si>
  <si>
    <t xml:space="preserve">10. </t>
  </si>
  <si>
    <r>
      <t xml:space="preserve">Now you can create an entry for each one of your tasks at the </t>
    </r>
    <r>
      <rPr>
        <b/>
        <sz val="11"/>
        <color theme="1"/>
        <rFont val="Aptos Narrow"/>
        <family val="2"/>
        <scheme val="minor"/>
      </rPr>
      <t xml:space="preserve">Task Breakdown (Sheet 4) </t>
    </r>
    <r>
      <rPr>
        <sz val="11"/>
        <color theme="1"/>
        <rFont val="Aptos Narrow"/>
        <family val="2"/>
        <scheme val="minor"/>
      </rPr>
      <t>considering that:</t>
    </r>
  </si>
  <si>
    <r>
      <rPr>
        <b/>
        <sz val="11"/>
        <color theme="1"/>
        <rFont val="Aptos Narrow"/>
        <family val="2"/>
        <scheme val="minor"/>
      </rPr>
      <t xml:space="preserve">A. Select appropiate wave: </t>
    </r>
    <r>
      <rPr>
        <sz val="11"/>
        <color theme="1"/>
        <rFont val="Aptos Narrow"/>
        <family val="2"/>
        <scheme val="minor"/>
      </rPr>
      <t xml:space="preserve">Main, Spring, Summer, Autumn, Winter, Easter, Christmas. The main TTM-based structure is always "Main", </t>
    </r>
  </si>
  <si>
    <r>
      <rPr>
        <b/>
        <sz val="11"/>
        <color theme="1"/>
        <rFont val="Aptos Narrow"/>
        <family val="2"/>
        <scheme val="minor"/>
      </rPr>
      <t>B.</t>
    </r>
    <r>
      <rPr>
        <sz val="11"/>
        <color theme="1"/>
        <rFont val="Aptos Narrow"/>
        <family val="2"/>
        <scheme val="minor"/>
      </rPr>
      <t xml:space="preserve"> </t>
    </r>
    <r>
      <rPr>
        <b/>
        <sz val="11"/>
        <color theme="1"/>
        <rFont val="Aptos Narrow"/>
        <family val="2"/>
        <scheme val="minor"/>
      </rPr>
      <t xml:space="preserve">Connect Task Breakdown Entry with Activity Matrix through "Task Code" </t>
    </r>
    <r>
      <rPr>
        <sz val="11"/>
        <color theme="1"/>
        <rFont val="Aptos Narrow"/>
        <family val="2"/>
        <scheme val="minor"/>
      </rPr>
      <t>(behavioral Change Variable, Type of Activity, TTM Stage, Task No.)</t>
    </r>
  </si>
  <si>
    <r>
      <rPr>
        <b/>
        <sz val="11"/>
        <color theme="1"/>
        <rFont val="Aptos Narrow"/>
        <family val="2"/>
        <scheme val="minor"/>
      </rPr>
      <t xml:space="preserve">C. Select appropriate Task Type. </t>
    </r>
    <r>
      <rPr>
        <sz val="11"/>
        <color theme="1"/>
        <rFont val="Aptos Narrow"/>
        <family val="2"/>
        <scheme val="minor"/>
      </rPr>
      <t>As defined by the TTM Guidelines (Sheet 5) or by creating a new type (Sheet 9)</t>
    </r>
  </si>
  <si>
    <r>
      <rPr>
        <b/>
        <sz val="11"/>
        <color theme="1"/>
        <rFont val="Aptos Narrow"/>
        <family val="2"/>
        <scheme val="minor"/>
      </rPr>
      <t xml:space="preserve">D.  Add associated SDT mechanism (Optional). </t>
    </r>
    <r>
      <rPr>
        <sz val="11"/>
        <color theme="1"/>
        <rFont val="Aptos Narrow"/>
        <family val="2"/>
        <scheme val="minor"/>
      </rPr>
      <t xml:space="preserve">The support for this can be found on </t>
    </r>
    <r>
      <rPr>
        <b/>
        <sz val="11"/>
        <color theme="1"/>
        <rFont val="Aptos Narrow"/>
        <family val="2"/>
        <scheme val="minor"/>
      </rPr>
      <t>Sheet 6 (Gamification Guidelines)</t>
    </r>
  </si>
  <si>
    <r>
      <t>E. Add Task Title</t>
    </r>
    <r>
      <rPr>
        <sz val="11"/>
        <color theme="1"/>
        <rFont val="Aptos Narrow"/>
        <family val="2"/>
        <scheme val="minor"/>
      </rPr>
      <t xml:space="preserve"> (Task name to be displayed in gameBus Campaign)</t>
    </r>
  </si>
  <si>
    <r>
      <rPr>
        <b/>
        <sz val="11"/>
        <color theme="1"/>
        <rFont val="Aptos Narrow"/>
        <family val="2"/>
        <scheme val="minor"/>
      </rPr>
      <t xml:space="preserve">F. Select Target Group </t>
    </r>
    <r>
      <rPr>
        <sz val="11"/>
        <color theme="1"/>
        <rFont val="Aptos Narrow"/>
        <family val="2"/>
        <scheme val="minor"/>
      </rPr>
      <t>(Young, Elderly, Children)</t>
    </r>
  </si>
  <si>
    <r>
      <t xml:space="preserve">G. Add a Short Description of Task </t>
    </r>
    <r>
      <rPr>
        <sz val="11"/>
        <color theme="1"/>
        <rFont val="Aptos Narrow"/>
        <family val="2"/>
        <scheme val="minor"/>
      </rPr>
      <t>and, if needed, some extra notes for configuration</t>
    </r>
  </si>
  <si>
    <r>
      <t>H. Select Appropriate Gamebus configuration settings</t>
    </r>
    <r>
      <rPr>
        <sz val="11"/>
        <color theme="1"/>
        <rFont val="Aptos Narrow"/>
        <family val="2"/>
        <scheme val="minor"/>
      </rPr>
      <t xml:space="preserve"> ( reward count, timeframe to reset, requirements, allowed activity type, conditions, points, data providers)</t>
    </r>
    <r>
      <rPr>
        <b/>
        <sz val="11"/>
        <color theme="1"/>
        <rFont val="Aptos Narrow"/>
        <family val="2"/>
        <scheme val="minor"/>
      </rPr>
      <t xml:space="preserve">. </t>
    </r>
    <r>
      <rPr>
        <sz val="11"/>
        <color theme="1"/>
        <rFont val="Aptos Narrow"/>
        <family val="2"/>
        <scheme val="minor"/>
      </rPr>
      <t>For Documentation on this head to :https://campaigns.healthyw8.gamebus.eu/editor/docs</t>
    </r>
  </si>
  <si>
    <r>
      <t xml:space="preserve">I. Update Current Status. </t>
    </r>
    <r>
      <rPr>
        <sz val="11"/>
        <color theme="1"/>
        <rFont val="Aptos Narrow"/>
        <family val="2"/>
        <scheme val="minor"/>
      </rPr>
      <t>To keep log of when it was created and/or updated, implemented into Gamebus campaign and, if possible, by whom.</t>
    </r>
  </si>
  <si>
    <t>Dimension</t>
  </si>
  <si>
    <t>TargetGroups</t>
  </si>
  <si>
    <t>Persons in the Group</t>
  </si>
  <si>
    <t>Institute (Affiliation)</t>
  </si>
  <si>
    <t>Physical Activity</t>
  </si>
  <si>
    <t>Young</t>
  </si>
  <si>
    <t>Angelica</t>
  </si>
  <si>
    <t>DFKI</t>
  </si>
  <si>
    <t>Elderly</t>
  </si>
  <si>
    <t>Luca</t>
  </si>
  <si>
    <t>BIPS</t>
  </si>
  <si>
    <t>Mindfulness</t>
  </si>
  <si>
    <t>Cassandra</t>
  </si>
  <si>
    <t>Nutrition</t>
  </si>
  <si>
    <t>Hugo</t>
  </si>
  <si>
    <t>Silvia</t>
  </si>
  <si>
    <t>IDISBA</t>
  </si>
  <si>
    <t>Suzan</t>
  </si>
  <si>
    <t>TU/e</t>
  </si>
  <si>
    <t>Level</t>
  </si>
  <si>
    <t>Sustenance Tasks Previous Level (Relapse Cause)</t>
  </si>
  <si>
    <t>Sustenance Tasks Current Level</t>
  </si>
  <si>
    <t>Transition Tasks</t>
  </si>
  <si>
    <t>Nivles en español</t>
  </si>
  <si>
    <t>Level Name</t>
  </si>
  <si>
    <t>-</t>
  </si>
  <si>
    <t>PC1</t>
  </si>
  <si>
    <t>PC2</t>
  </si>
  <si>
    <r>
      <t xml:space="preserve">🌱 </t>
    </r>
    <r>
      <rPr>
        <b/>
        <sz val="11"/>
        <color theme="1"/>
        <rFont val="Aptos Narrow"/>
        <family val="2"/>
        <scheme val="minor"/>
      </rPr>
      <t>Novatillo</t>
    </r>
  </si>
  <si>
    <t>Newbie</t>
  </si>
  <si>
    <t>C1</t>
  </si>
  <si>
    <t>C2</t>
  </si>
  <si>
    <r>
      <rPr>
        <sz val="11"/>
        <color rgb="FF000000"/>
        <rFont val="Aptos Narrow"/>
      </rPr>
      <t xml:space="preserve">🚀 </t>
    </r>
    <r>
      <rPr>
        <b/>
        <sz val="11"/>
        <color rgb="FF000000"/>
        <rFont val="Aptos Narrow"/>
      </rPr>
      <t>Principiante</t>
    </r>
  </si>
  <si>
    <t>Rookie</t>
  </si>
  <si>
    <t>P1</t>
  </si>
  <si>
    <t>P2</t>
  </si>
  <si>
    <r>
      <rPr>
        <sz val="11"/>
        <color rgb="FF000000"/>
        <rFont val="Aptos Narrow"/>
        <scheme val="minor"/>
      </rPr>
      <t xml:space="preserve">💪 </t>
    </r>
    <r>
      <rPr>
        <b/>
        <sz val="11"/>
        <color rgb="FF000000"/>
        <rFont val="Aptos Narrow"/>
        <scheme val="minor"/>
      </rPr>
      <t>Aficionado</t>
    </r>
  </si>
  <si>
    <t>Amateur</t>
  </si>
  <si>
    <t>Relapse border</t>
  </si>
  <si>
    <t>A1</t>
  </si>
  <si>
    <r>
      <rPr>
        <sz val="11"/>
        <color rgb="FF000000"/>
        <rFont val="Aptos Narrow"/>
        <scheme val="minor"/>
      </rPr>
      <t xml:space="preserve">🔥 </t>
    </r>
    <r>
      <rPr>
        <b/>
        <sz val="11"/>
        <color rgb="FF000000"/>
        <rFont val="Aptos Narrow"/>
        <scheme val="minor"/>
      </rPr>
      <t>En modo bestia</t>
    </r>
  </si>
  <si>
    <t>Proficient</t>
  </si>
  <si>
    <t>M1</t>
  </si>
  <si>
    <t>A2</t>
  </si>
  <si>
    <r>
      <rPr>
        <sz val="11"/>
        <color rgb="FF000000"/>
        <rFont val="Aptos Narrow"/>
        <scheme val="minor"/>
      </rPr>
      <t xml:space="preserve">⚡ </t>
    </r>
    <r>
      <rPr>
        <b/>
        <sz val="11"/>
        <color rgb="FF000000"/>
        <rFont val="Aptos Narrow"/>
        <scheme val="minor"/>
      </rPr>
      <t>Avanzado</t>
    </r>
  </si>
  <si>
    <t>Skilled</t>
  </si>
  <si>
    <t>M2</t>
  </si>
  <si>
    <t>A3</t>
  </si>
  <si>
    <r>
      <rPr>
        <sz val="11"/>
        <color rgb="FF000000"/>
        <rFont val="Aptos Narrow"/>
        <scheme val="minor"/>
      </rPr>
      <t xml:space="preserve">👑 </t>
    </r>
    <r>
      <rPr>
        <b/>
        <sz val="11"/>
        <color rgb="FF000000"/>
        <rFont val="Aptos Narrow"/>
        <scheme val="minor"/>
      </rPr>
      <t>Maestro</t>
    </r>
  </si>
  <si>
    <t>Expert</t>
  </si>
  <si>
    <t>M3</t>
  </si>
  <si>
    <t>A4</t>
  </si>
  <si>
    <r>
      <rPr>
        <sz val="11"/>
        <color rgb="FF000000"/>
        <rFont val="Aptos Narrow"/>
        <scheme val="minor"/>
      </rPr>
      <t xml:space="preserve">🏆 </t>
    </r>
    <r>
      <rPr>
        <b/>
        <sz val="11"/>
        <color rgb="FF000000"/>
        <rFont val="Aptos Narrow"/>
        <scheme val="minor"/>
      </rPr>
      <t>Legendario</t>
    </r>
  </si>
  <si>
    <t>Master</t>
  </si>
  <si>
    <t>M4</t>
  </si>
  <si>
    <r>
      <rPr>
        <sz val="11"/>
        <color rgb="FF000000"/>
        <rFont val="Aptos Narrow"/>
        <scheme val="minor"/>
      </rPr>
      <t xml:space="preserve">🌟 </t>
    </r>
    <r>
      <rPr>
        <b/>
        <sz val="11"/>
        <color rgb="FF000000"/>
        <rFont val="Aptos Narrow"/>
        <scheme val="minor"/>
      </rPr>
      <t>Gran Maestro</t>
    </r>
  </si>
  <si>
    <t>Grandmaster</t>
  </si>
  <si>
    <r>
      <t xml:space="preserve">Only doing </t>
    </r>
    <r>
      <rPr>
        <u/>
        <sz val="12"/>
        <color theme="1"/>
        <rFont val="Aptos Narrow"/>
        <family val="2"/>
        <scheme val="minor"/>
      </rPr>
      <t>sustenance tasks from previous level</t>
    </r>
    <r>
      <rPr>
        <sz val="12"/>
        <color theme="1"/>
        <rFont val="Aptos Narrow"/>
        <family val="2"/>
        <scheme val="minor"/>
      </rPr>
      <t xml:space="preserve"> should</t>
    </r>
    <r>
      <rPr>
        <b/>
        <sz val="12"/>
        <color theme="1"/>
        <rFont val="Aptos Narrow"/>
        <family val="2"/>
        <scheme val="minor"/>
      </rPr>
      <t xml:space="preserve"> not be sufficient to keep the level</t>
    </r>
    <r>
      <rPr>
        <sz val="12"/>
        <color theme="1"/>
        <rFont val="Aptos Narrow"/>
        <family val="2"/>
        <scheme val="minor"/>
      </rPr>
      <t xml:space="preserve"> (or they must be performed more often). Not fulfilling these tasks causes </t>
    </r>
    <r>
      <rPr>
        <b/>
        <sz val="12"/>
        <color theme="1"/>
        <rFont val="Aptos Narrow"/>
        <family val="2"/>
        <scheme val="minor"/>
      </rPr>
      <t>fallback</t>
    </r>
    <r>
      <rPr>
        <sz val="12"/>
        <color theme="1"/>
        <rFont val="Aptos Narrow"/>
        <family val="2"/>
        <scheme val="minor"/>
      </rPr>
      <t xml:space="preserve"> to previous level</t>
    </r>
  </si>
  <si>
    <r>
      <rPr>
        <u/>
        <sz val="12"/>
        <color theme="1"/>
        <rFont val="Aptos Narrow"/>
        <family val="2"/>
        <scheme val="minor"/>
      </rPr>
      <t>Sustenance tasks of current level</t>
    </r>
    <r>
      <rPr>
        <sz val="12"/>
        <color theme="1"/>
        <rFont val="Aptos Narrow"/>
        <family val="2"/>
        <scheme val="minor"/>
      </rPr>
      <t xml:space="preserve"> keep you in that level. Not fulfilling does not cause fallback.</t>
    </r>
  </si>
  <si>
    <r>
      <t xml:space="preserve">Completing </t>
    </r>
    <r>
      <rPr>
        <u/>
        <sz val="12"/>
        <color theme="1"/>
        <rFont val="Aptos Narrow"/>
        <family val="2"/>
        <scheme val="minor"/>
      </rPr>
      <t>transition tasks</t>
    </r>
    <r>
      <rPr>
        <sz val="12"/>
        <color theme="1"/>
        <rFont val="Aptos Narrow"/>
        <family val="2"/>
        <scheme val="minor"/>
      </rPr>
      <t xml:space="preserve"> is the condition to move forward to next level</t>
    </r>
  </si>
  <si>
    <t>TTM Stage</t>
  </si>
  <si>
    <t>PreContemplation</t>
  </si>
  <si>
    <t>Contemplation</t>
  </si>
  <si>
    <t>Preparation</t>
  </si>
  <si>
    <t xml:space="preserve">Action </t>
  </si>
  <si>
    <t xml:space="preserve">Maintenance </t>
  </si>
  <si>
    <t xml:space="preserve">Behavioral Change Variable </t>
  </si>
  <si>
    <t>Type of activity (Activity Track)</t>
  </si>
  <si>
    <t>short-term evaluation tool</t>
  </si>
  <si>
    <t>short-term indicators</t>
  </si>
  <si>
    <t>long-term evaluation tool</t>
  </si>
  <si>
    <t>long-term indicators</t>
  </si>
  <si>
    <t>PC2*</t>
  </si>
  <si>
    <t>C2*</t>
  </si>
  <si>
    <t>P2*</t>
  </si>
  <si>
    <t>A1*</t>
  </si>
  <si>
    <t>A2*</t>
  </si>
  <si>
    <t>A3*</t>
  </si>
  <si>
    <t>A4*</t>
  </si>
  <si>
    <t>PreContemplation - Sustenance</t>
  </si>
  <si>
    <t>Precontemplation - Transition</t>
  </si>
  <si>
    <t>Contemplation - Sustenance</t>
  </si>
  <si>
    <t>Contemplation - Transition</t>
  </si>
  <si>
    <t>Preparation - Sustenance</t>
  </si>
  <si>
    <t>Preparation - Transition</t>
  </si>
  <si>
    <t xml:space="preserve">Action 1 - Transition </t>
  </si>
  <si>
    <t xml:space="preserve">Action 2 - Transition </t>
  </si>
  <si>
    <t xml:space="preserve">Action 3 - Transition </t>
  </si>
  <si>
    <t>Action 4 - Transition</t>
  </si>
  <si>
    <t>Maintenance 1</t>
  </si>
  <si>
    <t>Maintenance 2</t>
  </si>
  <si>
    <t>Maintenace 3</t>
  </si>
  <si>
    <t>Maintenance 4</t>
  </si>
  <si>
    <t>PA1</t>
  </si>
  <si>
    <t xml:space="preserve">Step Count </t>
  </si>
  <si>
    <t>PA1 - A</t>
  </si>
  <si>
    <t>Step Count</t>
  </si>
  <si>
    <t>Garmin sensor data; Actigraph</t>
  </si>
  <si>
    <t>Step Count  (DAY_AGGREGATE_WALK)</t>
  </si>
  <si>
    <r>
      <rPr>
        <sz val="10"/>
        <color rgb="FF000000"/>
        <rFont val="Aptos Narrow"/>
        <scheme val="minor"/>
      </rPr>
      <t>Step</t>
    </r>
    <r>
      <rPr>
        <b/>
        <sz val="10"/>
        <color rgb="FF000000"/>
        <rFont val="Aptos Narrow"/>
        <scheme val="minor"/>
      </rPr>
      <t xml:space="preserve"> Count</t>
    </r>
  </si>
  <si>
    <r>
      <rPr>
        <b/>
        <sz val="10"/>
        <color rgb="FF000000"/>
        <rFont val="Aptos Narrow"/>
      </rPr>
      <t xml:space="preserve">Survey Question:  </t>
    </r>
    <r>
      <rPr>
        <sz val="10"/>
        <color rgb="FF000000"/>
        <rFont val="Aptos Narrow"/>
      </rPr>
      <t>Current Step Count</t>
    </r>
  </si>
  <si>
    <r>
      <t xml:space="preserve">Survey Question: </t>
    </r>
    <r>
      <rPr>
        <sz val="10"/>
        <color rgb="FF000000"/>
        <rFont val="Aptos Narrow"/>
      </rPr>
      <t>Step (Activity) Tracking Check</t>
    </r>
  </si>
  <si>
    <r>
      <t xml:space="preserve">Tips/Info: </t>
    </r>
    <r>
      <rPr>
        <sz val="10"/>
        <color rgb="FF000000"/>
        <rFont val="Aptos Narrow"/>
      </rPr>
      <t>Benefits of (average) daily  steps</t>
    </r>
  </si>
  <si>
    <r>
      <rPr>
        <b/>
        <sz val="10"/>
        <color rgb="FF000000"/>
        <rFont val="Aptos Narrow"/>
      </rPr>
      <t xml:space="preserve">Tips/ Info: </t>
    </r>
    <r>
      <rPr>
        <sz val="10"/>
        <color rgb="FF000000"/>
        <rFont val="Aptos Narrow"/>
      </rPr>
      <t>Introducing idea of tracking daily steps with fitness tracker.</t>
    </r>
  </si>
  <si>
    <r>
      <rPr>
        <b/>
        <sz val="10"/>
        <color rgb="FF000000"/>
        <rFont val="Aptos Narrow"/>
        <scheme val="minor"/>
      </rPr>
      <t xml:space="preserve">Instructions/ Guidance (Video): </t>
    </r>
    <r>
      <rPr>
        <sz val="10"/>
        <color rgb="FF000000"/>
        <rFont val="Aptos Narrow"/>
        <scheme val="minor"/>
      </rPr>
      <t>Introduction to HW8 Watch App</t>
    </r>
  </si>
  <si>
    <r>
      <rPr>
        <b/>
        <sz val="10"/>
        <color rgb="FF242424"/>
        <rFont val="Aptos Narrow"/>
      </rPr>
      <t>Activity Log</t>
    </r>
    <r>
      <rPr>
        <sz val="10"/>
        <color rgb="FF242424"/>
        <rFont val="Aptos Narrow"/>
      </rPr>
      <t>: First step tracking &amp; logging with HW8 Watch App</t>
    </r>
  </si>
  <si>
    <r>
      <rPr>
        <b/>
        <sz val="10"/>
        <color rgb="FF000000"/>
        <rFont val="Aptos Narrow"/>
      </rPr>
      <t xml:space="preserve">Activity Log: </t>
    </r>
    <r>
      <rPr>
        <sz val="10"/>
        <color rgb="FF000000"/>
        <rFont val="Aptos Narrow"/>
      </rPr>
      <t>4000 Steps</t>
    </r>
  </si>
  <si>
    <r>
      <rPr>
        <b/>
        <sz val="10"/>
        <color rgb="FF000000"/>
        <rFont val="Aptos Narrow"/>
      </rPr>
      <t xml:space="preserve">Activity Log: </t>
    </r>
    <r>
      <rPr>
        <sz val="10"/>
        <color rgb="FF000000"/>
        <rFont val="Aptos Narrow"/>
      </rPr>
      <t>6000 Steps</t>
    </r>
  </si>
  <si>
    <r>
      <rPr>
        <b/>
        <sz val="10"/>
        <color rgb="FF000000"/>
        <rFont val="Aptos Narrow"/>
      </rPr>
      <t>Activity Log:</t>
    </r>
    <r>
      <rPr>
        <sz val="10"/>
        <color rgb="FF000000"/>
        <rFont val="Aptos Narrow"/>
      </rPr>
      <t xml:space="preserve"> 8000 Steps</t>
    </r>
  </si>
  <si>
    <r>
      <rPr>
        <b/>
        <sz val="10"/>
        <color rgb="FF000000"/>
        <rFont val="Aptos Narrow"/>
      </rPr>
      <t>Activity Log:</t>
    </r>
    <r>
      <rPr>
        <sz val="10"/>
        <color rgb="FF000000"/>
        <rFont val="Aptos Narrow"/>
      </rPr>
      <t xml:space="preserve"> 9000 Steps</t>
    </r>
  </si>
  <si>
    <r>
      <rPr>
        <b/>
        <sz val="10"/>
        <color rgb="FF000000"/>
        <rFont val="Aptos Narrow"/>
      </rPr>
      <t xml:space="preserve">Activity Log: </t>
    </r>
    <r>
      <rPr>
        <sz val="10"/>
        <color rgb="FF000000"/>
        <rFont val="Aptos Narrow"/>
      </rPr>
      <t>4000 Steps - 5 days a week</t>
    </r>
  </si>
  <si>
    <r>
      <rPr>
        <b/>
        <sz val="10"/>
        <color rgb="FF000000"/>
        <rFont val="Aptos Narrow"/>
      </rPr>
      <t xml:space="preserve">Activity Log: </t>
    </r>
    <r>
      <rPr>
        <sz val="10"/>
        <color rgb="FF000000"/>
        <rFont val="Aptos Narrow"/>
      </rPr>
      <t>6000 Steps - 5 days a week</t>
    </r>
  </si>
  <si>
    <r>
      <rPr>
        <b/>
        <sz val="10"/>
        <color rgb="FF000000"/>
        <rFont val="Aptos Narrow"/>
      </rPr>
      <t>Activity Log:</t>
    </r>
    <r>
      <rPr>
        <sz val="10"/>
        <color rgb="FF000000"/>
        <rFont val="Aptos Narrow"/>
      </rPr>
      <t xml:space="preserve"> 8000 Steps - 4 days a week</t>
    </r>
  </si>
  <si>
    <r>
      <rPr>
        <b/>
        <sz val="10"/>
        <color rgb="FF000000"/>
        <rFont val="Aptos Narrow"/>
      </rPr>
      <t>Activity Log:</t>
    </r>
    <r>
      <rPr>
        <sz val="10"/>
        <color rgb="FF000000"/>
        <rFont val="Aptos Narrow"/>
      </rPr>
      <t xml:space="preserve"> 9000 Steps - 4 days a week</t>
    </r>
  </si>
  <si>
    <t xml:space="preserve">PA2 </t>
  </si>
  <si>
    <t xml:space="preserve">Walking </t>
  </si>
  <si>
    <t>PA2- A</t>
  </si>
  <si>
    <t>Daily walking</t>
  </si>
  <si>
    <t xml:space="preserve"> 
Step Count (DAY_AGGREGATE_WALK)</t>
  </si>
  <si>
    <t>IPAQ  (item 5-6); Garmin sensor data; Actigraph</t>
  </si>
  <si>
    <r>
      <rPr>
        <sz val="10"/>
        <color rgb="FF000000"/>
        <rFont val="Aptos Narrow"/>
        <scheme val="minor"/>
      </rPr>
      <t xml:space="preserve">Step </t>
    </r>
    <r>
      <rPr>
        <b/>
        <sz val="10"/>
        <color rgb="FF000000"/>
        <rFont val="Aptos Narrow"/>
        <scheme val="minor"/>
      </rPr>
      <t>Count</t>
    </r>
    <r>
      <rPr>
        <sz val="10"/>
        <color rgb="FF000000"/>
        <rFont val="Aptos Narrow"/>
        <scheme val="minor"/>
      </rPr>
      <t xml:space="preserve">; Walking </t>
    </r>
    <r>
      <rPr>
        <b/>
        <sz val="10"/>
        <color rgb="FF000000"/>
        <rFont val="Aptos Narrow"/>
        <scheme val="minor"/>
      </rPr>
      <t>duration</t>
    </r>
    <r>
      <rPr>
        <sz val="10"/>
        <color rgb="FF000000"/>
        <rFont val="Aptos Narrow"/>
        <scheme val="minor"/>
      </rPr>
      <t xml:space="preserve"> ( hours - minutes); </t>
    </r>
    <r>
      <rPr>
        <b/>
        <sz val="10"/>
        <color rgb="FF000000"/>
        <rFont val="Aptos Narrow"/>
        <scheme val="minor"/>
      </rPr>
      <t>frequency</t>
    </r>
    <r>
      <rPr>
        <sz val="10"/>
        <color rgb="FF000000"/>
        <rFont val="Aptos Narrow"/>
        <scheme val="minor"/>
      </rPr>
      <t xml:space="preserve"> (days/week)</t>
    </r>
  </si>
  <si>
    <r>
      <rPr>
        <b/>
        <sz val="10"/>
        <color rgb="FF000000"/>
        <rFont val="Aptos Narrow"/>
      </rPr>
      <t xml:space="preserve">Open Question: </t>
    </r>
    <r>
      <rPr>
        <sz val="10"/>
        <color rgb="FF000000"/>
        <rFont val="Aptos Narrow"/>
      </rPr>
      <t>Daily Walking Current Habits</t>
    </r>
  </si>
  <si>
    <r>
      <rPr>
        <b/>
        <sz val="10"/>
        <color rgb="FF000000"/>
        <rFont val="Aptos Narrow"/>
        <scheme val="minor"/>
      </rPr>
      <t xml:space="preserve">Survey Question: </t>
    </r>
    <r>
      <rPr>
        <sz val="10"/>
        <color rgb="FF000000"/>
        <rFont val="Aptos Narrow"/>
        <scheme val="minor"/>
      </rPr>
      <t>Identifying Barriers</t>
    </r>
  </si>
  <si>
    <r>
      <rPr>
        <b/>
        <sz val="10"/>
        <color rgb="FF000000"/>
        <rFont val="Aptos Narrow"/>
      </rPr>
      <t xml:space="preserve">Tips/Info: </t>
    </r>
    <r>
      <rPr>
        <sz val="10"/>
        <color rgb="FF000000"/>
        <rFont val="Aptos Narrow"/>
      </rPr>
      <t>Burnt calories per step</t>
    </r>
  </si>
  <si>
    <r>
      <rPr>
        <b/>
        <sz val="10"/>
        <color rgb="FF000000"/>
        <rFont val="Aptos Narrow"/>
      </rPr>
      <t>Info (Video):</t>
    </r>
    <r>
      <rPr>
        <sz val="10"/>
        <color rgb="FF000000"/>
        <rFont val="Aptos Narrow"/>
      </rPr>
      <t xml:space="preserve"> Integrate daily walking into busy life</t>
    </r>
  </si>
  <si>
    <r>
      <rPr>
        <b/>
        <sz val="10"/>
        <color rgb="FF000000"/>
        <rFont val="Aptos Narrow"/>
        <scheme val="minor"/>
      </rPr>
      <t xml:space="preserve">Instruction/ Guidance:  </t>
    </r>
    <r>
      <rPr>
        <sz val="10"/>
        <color rgb="FF000000"/>
        <rFont val="Aptos Narrow"/>
        <scheme val="minor"/>
      </rPr>
      <t>Walk Scheduling</t>
    </r>
  </si>
  <si>
    <r>
      <rPr>
        <b/>
        <sz val="10"/>
        <color rgb="FF000000"/>
        <rFont val="Aptos Narrow"/>
      </rPr>
      <t xml:space="preserve">Instruction/ Guidance: </t>
    </r>
    <r>
      <rPr>
        <sz val="10"/>
        <color rgb="FF000000"/>
        <rFont val="Aptos Narrow"/>
      </rPr>
      <t xml:space="preserve">Walking buddy appointment </t>
    </r>
  </si>
  <si>
    <r>
      <rPr>
        <b/>
        <sz val="10"/>
        <color rgb="FF000000"/>
        <rFont val="Aptos Narrow"/>
        <scheme val="minor"/>
      </rPr>
      <t xml:space="preserve">Activity Log: </t>
    </r>
    <r>
      <rPr>
        <sz val="10"/>
        <color rgb="FF000000"/>
        <rFont val="Aptos Narrow"/>
        <scheme val="minor"/>
      </rPr>
      <t xml:space="preserve">15 minute walk </t>
    </r>
  </si>
  <si>
    <r>
      <rPr>
        <b/>
        <sz val="10"/>
        <color rgb="FF000000"/>
        <rFont val="Aptos Narrow"/>
        <scheme val="minor"/>
      </rPr>
      <t xml:space="preserve">Activity Log: </t>
    </r>
    <r>
      <rPr>
        <sz val="10"/>
        <color rgb="FF000000"/>
        <rFont val="Aptos Narrow"/>
        <scheme val="minor"/>
      </rPr>
      <t>~30 minute walk (Swap Drive for Walk)</t>
    </r>
  </si>
  <si>
    <r>
      <rPr>
        <b/>
        <sz val="10"/>
        <color rgb="FF000000"/>
        <rFont val="Aptos Narrow"/>
        <scheme val="minor"/>
      </rPr>
      <t xml:space="preserve">Activity Log: </t>
    </r>
    <r>
      <rPr>
        <sz val="10"/>
        <color rgb="FF000000"/>
        <rFont val="Aptos Narrow"/>
        <scheme val="minor"/>
      </rPr>
      <t xml:space="preserve">60 minute walk </t>
    </r>
  </si>
  <si>
    <r>
      <rPr>
        <b/>
        <sz val="10"/>
        <color rgb="FF000000"/>
        <rFont val="Aptos Narrow"/>
        <scheme val="minor"/>
      </rPr>
      <t xml:space="preserve">Activity Log: </t>
    </r>
    <r>
      <rPr>
        <sz val="10"/>
        <color rgb="FF000000"/>
        <rFont val="Aptos Narrow"/>
        <scheme val="minor"/>
      </rPr>
      <t xml:space="preserve">75 minute walk </t>
    </r>
  </si>
  <si>
    <r>
      <rPr>
        <b/>
        <sz val="10"/>
        <color rgb="FF000000"/>
        <rFont val="Aptos Narrow"/>
        <scheme val="minor"/>
      </rPr>
      <t xml:space="preserve">Activity Log: </t>
    </r>
    <r>
      <rPr>
        <sz val="10"/>
        <color rgb="FF000000"/>
        <rFont val="Aptos Narrow"/>
        <scheme val="minor"/>
      </rPr>
      <t xml:space="preserve">15 minute walk - 3 times a week </t>
    </r>
  </si>
  <si>
    <r>
      <rPr>
        <b/>
        <sz val="10"/>
        <color rgb="FF000000"/>
        <rFont val="Aptos Narrow"/>
        <scheme val="minor"/>
      </rPr>
      <t xml:space="preserve">Activity Log: </t>
    </r>
    <r>
      <rPr>
        <sz val="10"/>
        <color rgb="FF000000"/>
        <rFont val="Aptos Narrow"/>
        <scheme val="minor"/>
      </rPr>
      <t>~30 minute walk - 3 times a week</t>
    </r>
  </si>
  <si>
    <r>
      <rPr>
        <b/>
        <sz val="10"/>
        <color rgb="FF000000"/>
        <rFont val="Aptos Narrow"/>
        <scheme val="minor"/>
      </rPr>
      <t xml:space="preserve">Activity Log: </t>
    </r>
    <r>
      <rPr>
        <sz val="10"/>
        <color rgb="FF000000"/>
        <rFont val="Aptos Narrow"/>
        <scheme val="minor"/>
      </rPr>
      <t>60 minute walk - 2 times a week</t>
    </r>
  </si>
  <si>
    <r>
      <rPr>
        <b/>
        <sz val="10"/>
        <color rgb="FF000000"/>
        <rFont val="Aptos Narrow"/>
        <scheme val="minor"/>
      </rPr>
      <t xml:space="preserve">Activity Log: </t>
    </r>
    <r>
      <rPr>
        <sz val="10"/>
        <color rgb="FF000000"/>
        <rFont val="Aptos Narrow"/>
        <scheme val="minor"/>
      </rPr>
      <t>30</t>
    </r>
    <r>
      <rPr>
        <b/>
        <sz val="10"/>
        <color rgb="FF000000"/>
        <rFont val="Aptos Narrow"/>
        <scheme val="minor"/>
      </rPr>
      <t xml:space="preserve"> </t>
    </r>
    <r>
      <rPr>
        <sz val="10"/>
        <color rgb="FF000000"/>
        <rFont val="Aptos Narrow"/>
        <scheme val="minor"/>
      </rPr>
      <t>minute walk  -  5 times a week</t>
    </r>
  </si>
  <si>
    <t>PA3</t>
  </si>
  <si>
    <t>(Reduced) Sitting time (Active Pauses)</t>
  </si>
  <si>
    <t>PA3 - A</t>
  </si>
  <si>
    <t>Stretching - Movement Breaks</t>
  </si>
  <si>
    <t>IPAQ  (item 7)</t>
  </si>
  <si>
    <r>
      <rPr>
        <sz val="10"/>
        <color rgb="FF000000"/>
        <rFont val="Aptos Narrow"/>
        <scheme val="minor"/>
      </rPr>
      <t>(Reduced) Sitting time</t>
    </r>
    <r>
      <rPr>
        <b/>
        <sz val="10"/>
        <color rgb="FF000000"/>
        <rFont val="Aptos Narrow"/>
        <scheme val="minor"/>
      </rPr>
      <t xml:space="preserve"> duration</t>
    </r>
    <r>
      <rPr>
        <sz val="10"/>
        <color rgb="FF000000"/>
        <rFont val="Aptos Narrow"/>
        <scheme val="minor"/>
      </rPr>
      <t xml:space="preserve">  (hours - minutes)</t>
    </r>
  </si>
  <si>
    <r>
      <rPr>
        <b/>
        <sz val="10"/>
        <color rgb="FF000000"/>
        <rFont val="Aptos Narrow"/>
      </rPr>
      <t>Quiz:</t>
    </r>
    <r>
      <rPr>
        <sz val="10"/>
        <color rgb="FF000000"/>
        <rFont val="Aptos Narrow"/>
      </rPr>
      <t xml:space="preserve"> Self-Assesment "Sitting Score"</t>
    </r>
  </si>
  <si>
    <r>
      <rPr>
        <b/>
        <sz val="10"/>
        <color rgb="FF000000"/>
        <rFont val="Aptos Narrow"/>
      </rPr>
      <t xml:space="preserve">Question: </t>
    </r>
    <r>
      <rPr>
        <sz val="10"/>
        <color rgb="FF000000"/>
        <rFont val="Aptos Narrow"/>
      </rPr>
      <t>Myth vs. Fact (Sitting time)</t>
    </r>
  </si>
  <si>
    <r>
      <rPr>
        <b/>
        <sz val="10"/>
        <color rgb="FF000000"/>
        <rFont val="Aptos Narrow"/>
        <scheme val="minor"/>
      </rPr>
      <t xml:space="preserve">Tips: </t>
    </r>
    <r>
      <rPr>
        <sz val="10"/>
        <color rgb="FF000000"/>
        <rFont val="Aptos Narrow"/>
        <scheme val="minor"/>
      </rPr>
      <t>Stay Active At your Workspace</t>
    </r>
  </si>
  <si>
    <r>
      <rPr>
        <b/>
        <sz val="10"/>
        <color rgb="FF000000"/>
        <rFont val="Aptos Narrow"/>
        <scheme val="minor"/>
      </rPr>
      <t xml:space="preserve">Photo Challenge: </t>
    </r>
    <r>
      <rPr>
        <sz val="10"/>
        <color rgb="FF000000"/>
        <rFont val="Aptos Narrow"/>
        <scheme val="minor"/>
      </rPr>
      <t>Identifying opportunities for  movement during work/Uni</t>
    </r>
  </si>
  <si>
    <r>
      <rPr>
        <b/>
        <sz val="10"/>
        <color rgb="FF000000"/>
        <rFont val="Aptos Narrow"/>
        <scheme val="minor"/>
      </rPr>
      <t xml:space="preserve">Instruction/ Guidance: </t>
    </r>
    <r>
      <rPr>
        <sz val="10"/>
        <color rgb="FF000000"/>
        <rFont val="Aptos Narrow"/>
        <scheme val="minor"/>
      </rPr>
      <t xml:space="preserve"> Using Garmin notifications to get activity reminders</t>
    </r>
  </si>
  <si>
    <r>
      <rPr>
        <b/>
        <sz val="10"/>
        <color rgb="FF000000"/>
        <rFont val="Aptos Narrow"/>
      </rPr>
      <t xml:space="preserve">Info (Video): </t>
    </r>
    <r>
      <rPr>
        <sz val="10"/>
        <color rgb="FF000000"/>
        <rFont val="Aptos Narrow"/>
      </rPr>
      <t>Concrete examples of active pause</t>
    </r>
  </si>
  <si>
    <r>
      <rPr>
        <b/>
        <sz val="10"/>
        <color rgb="FF000000"/>
        <rFont val="Aptos Narrow"/>
        <scheme val="minor"/>
      </rPr>
      <t xml:space="preserve">Activity Log: </t>
    </r>
    <r>
      <rPr>
        <sz val="10"/>
        <color rgb="FF000000"/>
        <rFont val="Aptos Narrow"/>
        <scheme val="minor"/>
      </rPr>
      <t>Neck Tilts</t>
    </r>
  </si>
  <si>
    <r>
      <rPr>
        <b/>
        <sz val="10"/>
        <color rgb="FF000000"/>
        <rFont val="Aptos Narrow"/>
        <scheme val="minor"/>
      </rPr>
      <t xml:space="preserve">Activity Log: </t>
    </r>
    <r>
      <rPr>
        <sz val="10"/>
        <color rgb="FF000000"/>
        <rFont val="Aptos Narrow"/>
        <scheme val="minor"/>
      </rPr>
      <t>Shoulder Roll</t>
    </r>
  </si>
  <si>
    <r>
      <rPr>
        <b/>
        <sz val="10"/>
        <color rgb="FF000000"/>
        <rFont val="Aptos Narrow"/>
        <scheme val="minor"/>
      </rPr>
      <t xml:space="preserve">Activity Log: </t>
    </r>
    <r>
      <rPr>
        <sz val="10"/>
        <color rgb="FF000000"/>
        <rFont val="Aptos Narrow"/>
        <scheme val="minor"/>
      </rPr>
      <t>Wrist &amp; Finger Stretch</t>
    </r>
  </si>
  <si>
    <r>
      <rPr>
        <b/>
        <sz val="10"/>
        <color rgb="FF000000"/>
        <rFont val="Aptos Narrow"/>
        <scheme val="minor"/>
      </rPr>
      <t xml:space="preserve">Activity Log: </t>
    </r>
    <r>
      <rPr>
        <sz val="10"/>
        <color rgb="FF000000"/>
        <rFont val="Aptos Narrow"/>
        <scheme val="minor"/>
      </rPr>
      <t>Torso Twist</t>
    </r>
  </si>
  <si>
    <r>
      <rPr>
        <b/>
        <sz val="10"/>
        <color rgb="FF000000"/>
        <rFont val="Aptos Narrow"/>
        <scheme val="minor"/>
      </rPr>
      <t xml:space="preserve">Activity Log: </t>
    </r>
    <r>
      <rPr>
        <sz val="10"/>
        <color rgb="FF000000"/>
        <rFont val="Aptos Narrow"/>
        <scheme val="minor"/>
      </rPr>
      <t>1-min stretch- 3 times per day</t>
    </r>
  </si>
  <si>
    <r>
      <rPr>
        <b/>
        <sz val="10"/>
        <color rgb="FF000000"/>
        <rFont val="Aptos Narrow"/>
        <scheme val="minor"/>
      </rPr>
      <t>Activity Log:</t>
    </r>
    <r>
      <rPr>
        <sz val="10"/>
        <color rgb="FF000000"/>
        <rFont val="Aptos Narrow"/>
        <scheme val="minor"/>
      </rPr>
      <t xml:space="preserve"> 2-min stretch- 3 times per day</t>
    </r>
  </si>
  <si>
    <r>
      <rPr>
        <b/>
        <sz val="10"/>
        <color rgb="FF000000"/>
        <rFont val="Aptos Narrow"/>
        <scheme val="minor"/>
      </rPr>
      <t xml:space="preserve">Activity Log: </t>
    </r>
    <r>
      <rPr>
        <sz val="10"/>
        <color rgb="FF000000"/>
        <rFont val="Aptos Narrow"/>
        <scheme val="minor"/>
      </rPr>
      <t>2 - 3 min stretch- 5 times per day</t>
    </r>
  </si>
  <si>
    <r>
      <rPr>
        <b/>
        <sz val="10"/>
        <color rgb="FF000000"/>
        <rFont val="Aptos Narrow"/>
        <scheme val="minor"/>
      </rPr>
      <t xml:space="preserve">Activity Log: </t>
    </r>
    <r>
      <rPr>
        <sz val="10"/>
        <color rgb="FF000000"/>
        <rFont val="Aptos Narrow"/>
        <scheme val="minor"/>
      </rPr>
      <t>2-3 min stretch- 7+ times per day</t>
    </r>
  </si>
  <si>
    <t>PA3 - B</t>
  </si>
  <si>
    <t xml:space="preserve">Standing </t>
  </si>
  <si>
    <r>
      <rPr>
        <sz val="10"/>
        <color rgb="FF000000"/>
        <rFont val="Aptos Narrow"/>
        <scheme val="minor"/>
      </rPr>
      <t xml:space="preserve">(Reduced) Sitting time </t>
    </r>
    <r>
      <rPr>
        <b/>
        <sz val="10"/>
        <color rgb="FF000000"/>
        <rFont val="Aptos Narrow"/>
        <scheme val="minor"/>
      </rPr>
      <t>duration</t>
    </r>
    <r>
      <rPr>
        <sz val="10"/>
        <color rgb="FF000000"/>
        <rFont val="Aptos Narrow"/>
        <scheme val="minor"/>
      </rPr>
      <t xml:space="preserve">  (hours - minutes)</t>
    </r>
  </si>
  <si>
    <r>
      <rPr>
        <b/>
        <sz val="10"/>
        <color rgb="FF000000"/>
        <rFont val="Aptos Narrow"/>
        <scheme val="minor"/>
      </rPr>
      <t xml:space="preserve">Activity Log: </t>
    </r>
    <r>
      <rPr>
        <sz val="10"/>
        <color rgb="FF000000"/>
        <rFont val="Aptos Narrow"/>
        <scheme val="minor"/>
      </rPr>
      <t>Stand up when making phone calls.</t>
    </r>
  </si>
  <si>
    <r>
      <rPr>
        <b/>
        <sz val="10"/>
        <color rgb="FF000000"/>
        <rFont val="Aptos Narrow"/>
        <scheme val="minor"/>
      </rPr>
      <t xml:space="preserve">Activity Log: </t>
    </r>
    <r>
      <rPr>
        <sz val="10"/>
        <color rgb="FF000000"/>
        <rFont val="Aptos Narrow"/>
        <scheme val="minor"/>
      </rPr>
      <t>Walking to X</t>
    </r>
  </si>
  <si>
    <r>
      <rPr>
        <b/>
        <sz val="10"/>
        <color rgb="FF000000"/>
        <rFont val="Aptos Narrow"/>
        <scheme val="minor"/>
      </rPr>
      <t xml:space="preserve">Activity Log: </t>
    </r>
    <r>
      <rPr>
        <sz val="10"/>
        <color rgb="FF000000"/>
        <rFont val="Aptos Narrow"/>
        <scheme val="minor"/>
      </rPr>
      <t>Longer route to (water/coffee) refill</t>
    </r>
  </si>
  <si>
    <r>
      <rPr>
        <b/>
        <sz val="10"/>
        <color rgb="FF000000"/>
        <rFont val="Aptos Narrow"/>
        <scheme val="minor"/>
      </rPr>
      <t xml:space="preserve">Activity Log: </t>
    </r>
    <r>
      <rPr>
        <sz val="10"/>
        <color rgb="FF000000"/>
        <rFont val="Aptos Narrow"/>
        <scheme val="minor"/>
      </rPr>
      <t>Standing up stretching exercises</t>
    </r>
  </si>
  <si>
    <r>
      <rPr>
        <b/>
        <sz val="10"/>
        <color rgb="FF000000"/>
        <rFont val="Aptos Narrow"/>
      </rPr>
      <t>Activity Log:</t>
    </r>
    <r>
      <rPr>
        <sz val="10"/>
        <color rgb="FF000000"/>
        <rFont val="Aptos Narrow"/>
      </rPr>
      <t xml:space="preserve">  3 stand-breaks a day (~6 mins)</t>
    </r>
  </si>
  <si>
    <r>
      <rPr>
        <b/>
        <sz val="10"/>
        <color rgb="FF000000"/>
        <rFont val="Aptos Narrow"/>
      </rPr>
      <t>Activity Log:</t>
    </r>
    <r>
      <rPr>
        <sz val="10"/>
        <color rgb="FF000000"/>
        <rFont val="Aptos Narrow"/>
      </rPr>
      <t xml:space="preserve">  ~10 minutes of stand-break</t>
    </r>
  </si>
  <si>
    <r>
      <rPr>
        <b/>
        <sz val="10"/>
        <color rgb="FF000000"/>
        <rFont val="Aptos Narrow"/>
      </rPr>
      <t>Activity Log:</t>
    </r>
    <r>
      <rPr>
        <sz val="10"/>
        <color rgb="FF000000"/>
        <rFont val="Aptos Narrow"/>
      </rPr>
      <t xml:space="preserve">  ~15 minutes of stand-break</t>
    </r>
  </si>
  <si>
    <r>
      <rPr>
        <b/>
        <sz val="10"/>
        <color rgb="FF000000"/>
        <rFont val="Aptos Narrow"/>
      </rPr>
      <t>Activity Log:</t>
    </r>
    <r>
      <rPr>
        <sz val="10"/>
        <color rgb="FF000000"/>
        <rFont val="Aptos Narrow"/>
      </rPr>
      <t xml:space="preserve">  ~20 minutes of stand-break</t>
    </r>
  </si>
  <si>
    <t>PA4</t>
  </si>
  <si>
    <t>Moderate PA</t>
  </si>
  <si>
    <t>PA4-A</t>
  </si>
  <si>
    <t>Household- related activites</t>
  </si>
  <si>
    <t>IPAQ (item 3-4)</t>
  </si>
  <si>
    <r>
      <rPr>
        <sz val="10"/>
        <color rgb="FF000000"/>
        <rFont val="Aptos Narrow"/>
        <scheme val="minor"/>
      </rPr>
      <t xml:space="preserve">Moderate PA </t>
    </r>
    <r>
      <rPr>
        <b/>
        <sz val="10"/>
        <color rgb="FF000000"/>
        <rFont val="Aptos Narrow"/>
        <scheme val="minor"/>
      </rPr>
      <t xml:space="preserve">duration </t>
    </r>
    <r>
      <rPr>
        <sz val="10"/>
        <color rgb="FF000000"/>
        <rFont val="Aptos Narrow"/>
        <scheme val="minor"/>
      </rPr>
      <t xml:space="preserve">(hours, minutes); </t>
    </r>
    <r>
      <rPr>
        <b/>
        <sz val="10"/>
        <color rgb="FF000000"/>
        <rFont val="Aptos Narrow"/>
        <scheme val="minor"/>
      </rPr>
      <t>frequency</t>
    </r>
    <r>
      <rPr>
        <sz val="10"/>
        <color rgb="FF000000"/>
        <rFont val="Aptos Narrow"/>
        <scheme val="minor"/>
      </rPr>
      <t xml:space="preserve"> (days/week)</t>
    </r>
  </si>
  <si>
    <r>
      <rPr>
        <b/>
        <sz val="10"/>
        <color rgb="FF000000"/>
        <rFont val="Aptos Narrow"/>
        <scheme val="minor"/>
      </rPr>
      <t xml:space="preserve">Open Question: </t>
    </r>
    <r>
      <rPr>
        <sz val="10"/>
        <color rgb="FF000000"/>
        <rFont val="Aptos Narrow"/>
        <scheme val="minor"/>
      </rPr>
      <t xml:space="preserve">Home Activity </t>
    </r>
  </si>
  <si>
    <r>
      <rPr>
        <b/>
        <sz val="10"/>
        <color rgb="FF000000"/>
        <rFont val="Aptos Narrow"/>
        <scheme val="minor"/>
      </rPr>
      <t>Survey Question:</t>
    </r>
    <r>
      <rPr>
        <sz val="10"/>
        <color rgb="FF000000"/>
        <rFont val="Aptos Narrow"/>
        <scheme val="minor"/>
      </rPr>
      <t xml:space="preserve"> Household Chore Energy Check</t>
    </r>
  </si>
  <si>
    <r>
      <rPr>
        <b/>
        <sz val="10"/>
        <color rgb="FF000000"/>
        <rFont val="Aptos Narrow"/>
        <scheme val="minor"/>
      </rPr>
      <t>Quiz:</t>
    </r>
    <r>
      <rPr>
        <sz val="10"/>
        <color rgb="FF000000"/>
        <rFont val="Aptos Narrow"/>
        <scheme val="minor"/>
      </rPr>
      <t xml:space="preserve"> Health benefits of movement through household chores</t>
    </r>
  </si>
  <si>
    <r>
      <rPr>
        <b/>
        <sz val="10"/>
        <color rgb="FF000000"/>
        <rFont val="Aptos Narrow"/>
        <scheme val="minor"/>
      </rPr>
      <t xml:space="preserve">Video: </t>
    </r>
    <r>
      <rPr>
        <sz val="10"/>
        <color rgb="FF000000"/>
        <rFont val="Aptos Narrow"/>
        <scheme val="minor"/>
      </rPr>
      <t>Easy movement with household daily activities</t>
    </r>
  </si>
  <si>
    <r>
      <rPr>
        <b/>
        <sz val="10"/>
        <color rgb="FF000000"/>
        <rFont val="Aptos Narrow"/>
        <scheme val="minor"/>
      </rPr>
      <t xml:space="preserve">Instruction: </t>
    </r>
    <r>
      <rPr>
        <sz val="10"/>
        <color rgb="FF000000"/>
        <rFont val="Aptos Narrow"/>
        <scheme val="minor"/>
      </rPr>
      <t>Scheduling  chore sessions</t>
    </r>
  </si>
  <si>
    <r>
      <rPr>
        <b/>
        <sz val="11"/>
        <color rgb="FF000000"/>
        <rFont val="Aptos Narrow"/>
        <scheme val="minor"/>
      </rPr>
      <t xml:space="preserve">Activity Log: </t>
    </r>
    <r>
      <rPr>
        <sz val="11"/>
        <color rgb="FF000000"/>
        <rFont val="Aptos Narrow"/>
        <scheme val="minor"/>
      </rPr>
      <t>Chores Playlist Motivation</t>
    </r>
  </si>
  <si>
    <r>
      <rPr>
        <b/>
        <sz val="10"/>
        <color rgb="FF000000"/>
        <rFont val="Aptos Narrow"/>
      </rPr>
      <t xml:space="preserve">Activity Log: </t>
    </r>
    <r>
      <rPr>
        <sz val="10"/>
        <color rgb="FF000000"/>
        <rFont val="Aptos Narrow"/>
      </rPr>
      <t>Tidying Up</t>
    </r>
  </si>
  <si>
    <r>
      <rPr>
        <b/>
        <sz val="10"/>
        <color rgb="FF000000"/>
        <rFont val="Aptos Narrow"/>
      </rPr>
      <t xml:space="preserve">Activity Log: </t>
    </r>
    <r>
      <rPr>
        <sz val="10"/>
        <color rgb="FF000000"/>
        <rFont val="Aptos Narrow"/>
      </rPr>
      <t>Scrub &amp; Sweep</t>
    </r>
  </si>
  <si>
    <r>
      <rPr>
        <b/>
        <sz val="10"/>
        <color rgb="FF000000"/>
        <rFont val="Aptos Narrow"/>
      </rPr>
      <t xml:space="preserve">Activity Log: </t>
    </r>
    <r>
      <rPr>
        <sz val="10"/>
        <color rgb="FF000000"/>
        <rFont val="Aptos Narrow"/>
      </rPr>
      <t>Deep-Clean</t>
    </r>
  </si>
  <si>
    <r>
      <rPr>
        <b/>
        <sz val="10"/>
        <color rgb="FF000000"/>
        <rFont val="Aptos Narrow"/>
      </rPr>
      <t xml:space="preserve">Activity Log: </t>
    </r>
    <r>
      <rPr>
        <sz val="10"/>
        <color rgb="FF000000"/>
        <rFont val="Aptos Narrow"/>
      </rPr>
      <t>Reorganize &amp; lift</t>
    </r>
  </si>
  <si>
    <r>
      <rPr>
        <b/>
        <sz val="10"/>
        <color rgb="FF000000"/>
        <rFont val="Aptos Narrow"/>
      </rPr>
      <t xml:space="preserve">Activity Log: </t>
    </r>
    <r>
      <rPr>
        <sz val="10"/>
        <color rgb="FF000000"/>
        <rFont val="Aptos Narrow"/>
      </rPr>
      <t>10 minutes active housework  a week</t>
    </r>
  </si>
  <si>
    <r>
      <rPr>
        <b/>
        <sz val="10"/>
        <color rgb="FF000000"/>
        <rFont val="Aptos Narrow"/>
      </rPr>
      <t xml:space="preserve">Activity Log: </t>
    </r>
    <r>
      <rPr>
        <sz val="10"/>
        <color rgb="FF000000"/>
        <rFont val="Aptos Narrow"/>
      </rPr>
      <t>20 minutes active housework  a week</t>
    </r>
  </si>
  <si>
    <r>
      <rPr>
        <b/>
        <sz val="10"/>
        <color rgb="FF000000"/>
        <rFont val="Aptos Narrow"/>
      </rPr>
      <t xml:space="preserve">Activity Log: </t>
    </r>
    <r>
      <rPr>
        <sz val="10"/>
        <color rgb="FF000000"/>
        <rFont val="Aptos Narrow"/>
      </rPr>
      <t>30 minutes activehousework  a week</t>
    </r>
  </si>
  <si>
    <r>
      <rPr>
        <b/>
        <sz val="10"/>
        <color rgb="FF000000"/>
        <rFont val="Aptos Narrow"/>
      </rPr>
      <t xml:space="preserve">Activity Log: </t>
    </r>
    <r>
      <rPr>
        <sz val="10"/>
        <color rgb="FF000000"/>
        <rFont val="Aptos Narrow"/>
      </rPr>
      <t>1 hour active housework  a week</t>
    </r>
  </si>
  <si>
    <t>PA4-B</t>
  </si>
  <si>
    <t xml:space="preserve">Biking </t>
  </si>
  <si>
    <t>--</t>
  </si>
  <si>
    <t>garmin usage /logging/ tracking - HR Monitoring</t>
  </si>
  <si>
    <r>
      <rPr>
        <b/>
        <sz val="10"/>
        <color rgb="FF000000"/>
        <rFont val="Aptos Narrow"/>
      </rPr>
      <t xml:space="preserve">Activity Log: </t>
    </r>
    <r>
      <rPr>
        <sz val="10"/>
        <color rgb="FF000000"/>
        <rFont val="Aptos Narrow"/>
      </rPr>
      <t>Swap drive by Bike</t>
    </r>
  </si>
  <si>
    <r>
      <rPr>
        <b/>
        <sz val="10"/>
        <color rgb="FF000000"/>
        <rFont val="Aptos Narrow"/>
        <scheme val="minor"/>
      </rPr>
      <t>Activity Log:</t>
    </r>
    <r>
      <rPr>
        <sz val="10"/>
        <color rgb="FF000000"/>
        <rFont val="Aptos Narrow"/>
        <scheme val="minor"/>
      </rPr>
      <t xml:space="preserve"> Bike around the Block (~15 min)</t>
    </r>
  </si>
  <si>
    <t>PA4-C</t>
  </si>
  <si>
    <t>Inline Skating</t>
  </si>
  <si>
    <r>
      <rPr>
        <b/>
        <sz val="10"/>
        <color rgb="FF000000"/>
        <rFont val="Aptos Narrow"/>
        <scheme val="minor"/>
      </rPr>
      <t>Info sheet</t>
    </r>
    <r>
      <rPr>
        <sz val="10"/>
        <color rgb="FF000000"/>
        <rFont val="Aptos Narrow"/>
        <scheme val="minor"/>
      </rPr>
      <t>: awareness-raising information</t>
    </r>
  </si>
  <si>
    <r>
      <rPr>
        <b/>
        <sz val="11"/>
        <color rgb="FF000000"/>
        <rFont val="Aptos Narrow"/>
        <scheme val="minor"/>
      </rPr>
      <t>Quiz</t>
    </r>
    <r>
      <rPr>
        <sz val="11"/>
        <color rgb="FF000000"/>
        <rFont val="Aptos Narrow"/>
        <scheme val="minor"/>
      </rPr>
      <t>: motivational and intentional factors inline skating</t>
    </r>
  </si>
  <si>
    <t>PA4-D</t>
  </si>
  <si>
    <t xml:space="preserve">Jogging </t>
  </si>
  <si>
    <r>
      <rPr>
        <b/>
        <sz val="10"/>
        <color rgb="FF000000"/>
        <rFont val="Aptos Narrow"/>
      </rPr>
      <t>Activity Log:</t>
    </r>
    <r>
      <rPr>
        <sz val="10"/>
        <color rgb="FF000000"/>
        <rFont val="Aptos Narrow"/>
      </rPr>
      <t xml:space="preserve"> Walk - Run Intervals (15 mins)</t>
    </r>
  </si>
  <si>
    <r>
      <rPr>
        <b/>
        <sz val="10"/>
        <color rgb="FF000000"/>
        <rFont val="Aptos Narrow"/>
      </rPr>
      <t>Activity Log:</t>
    </r>
    <r>
      <rPr>
        <sz val="10"/>
        <color rgb="FF000000"/>
        <rFont val="Aptos Narrow"/>
      </rPr>
      <t xml:space="preserve"> Increased Jogging Intervals (20 mins)</t>
    </r>
  </si>
  <si>
    <r>
      <rPr>
        <b/>
        <sz val="10"/>
        <color rgb="FF000000"/>
        <rFont val="Aptos Narrow"/>
      </rPr>
      <t>Activity Log:</t>
    </r>
    <r>
      <rPr>
        <sz val="10"/>
        <color rgb="FF000000"/>
        <rFont val="Aptos Narrow"/>
      </rPr>
      <t xml:space="preserve"> Steady - State Jog (20 mins)</t>
    </r>
  </si>
  <si>
    <r>
      <rPr>
        <b/>
        <sz val="10"/>
        <color rgb="FF000000"/>
        <rFont val="Aptos Narrow"/>
      </rPr>
      <t>Activity Log:</t>
    </r>
    <r>
      <rPr>
        <sz val="10"/>
        <color rgb="FF000000"/>
        <rFont val="Aptos Narrow"/>
      </rPr>
      <t xml:space="preserve"> Steady - State Jog (30 mins)</t>
    </r>
  </si>
  <si>
    <t>PA4-E</t>
  </si>
  <si>
    <t>Swimming</t>
  </si>
  <si>
    <r>
      <rPr>
        <b/>
        <sz val="10"/>
        <color rgb="FF000000"/>
        <rFont val="Aptos Narrow"/>
        <family val="2"/>
        <scheme val="minor"/>
      </rPr>
      <t>Info Tip (Video):</t>
    </r>
    <r>
      <rPr>
        <sz val="10"/>
        <color rgb="FF000000"/>
        <rFont val="Aptos Narrow"/>
        <family val="2"/>
        <scheme val="minor"/>
      </rPr>
      <t xml:space="preserve"> Awareness of benefits of swimming</t>
    </r>
  </si>
  <si>
    <r>
      <rPr>
        <b/>
        <sz val="10"/>
        <color rgb="FF000000"/>
        <rFont val="Aptos Narrow"/>
        <family val="2"/>
        <scheme val="minor"/>
      </rPr>
      <t>Quiz:</t>
    </r>
    <r>
      <rPr>
        <sz val="10"/>
        <color rgb="FF000000"/>
        <rFont val="Aptos Narrow"/>
        <family val="2"/>
        <scheme val="minor"/>
      </rPr>
      <t xml:space="preserve"> Reflecting on associations from swimming video</t>
    </r>
  </si>
  <si>
    <t>PA4-F</t>
  </si>
  <si>
    <t>Leisure -related activities (Sports) -Joker</t>
  </si>
  <si>
    <r>
      <rPr>
        <b/>
        <sz val="10"/>
        <color rgb="FF000000"/>
        <rFont val="Aptos Narrow"/>
        <scheme val="minor"/>
      </rPr>
      <t xml:space="preserve">Quiz: </t>
    </r>
    <r>
      <rPr>
        <sz val="10"/>
        <color rgb="FF000000"/>
        <rFont val="Aptos Narrow"/>
        <scheme val="minor"/>
      </rPr>
      <t xml:space="preserve">Find best fitting activity </t>
    </r>
  </si>
  <si>
    <r>
      <rPr>
        <b/>
        <sz val="10"/>
        <color rgb="FF000000"/>
        <rFont val="Aptos Narrow"/>
        <scheme val="minor"/>
      </rPr>
      <t>Activity Log:</t>
    </r>
    <r>
      <rPr>
        <sz val="10"/>
        <color rgb="FF000000"/>
        <rFont val="Aptos Narrow"/>
        <scheme val="minor"/>
      </rPr>
      <t xml:space="preserve"> Sport with a Friend</t>
    </r>
  </si>
  <si>
    <r>
      <rPr>
        <b/>
        <sz val="10"/>
        <color rgb="FF000000"/>
        <rFont val="Aptos Narrow"/>
      </rPr>
      <t>Activity Log:</t>
    </r>
    <r>
      <rPr>
        <sz val="10"/>
        <color rgb="FF000000"/>
        <rFont val="Aptos Narrow"/>
      </rPr>
      <t xml:space="preserve"> Practice a specific skill (e.g., throwing hoops, serving)</t>
    </r>
  </si>
  <si>
    <t>PA5</t>
  </si>
  <si>
    <t>Vigorous PA</t>
  </si>
  <si>
    <t>PA5-A</t>
  </si>
  <si>
    <t>Planks</t>
  </si>
  <si>
    <t>IPAQ (item 1-2)</t>
  </si>
  <si>
    <r>
      <rPr>
        <sz val="10"/>
        <color rgb="FF000000"/>
        <rFont val="Aptos Narrow"/>
        <scheme val="minor"/>
      </rPr>
      <t xml:space="preserve">Vigorous PA </t>
    </r>
    <r>
      <rPr>
        <b/>
        <sz val="10"/>
        <color rgb="FF000000"/>
        <rFont val="Aptos Narrow"/>
        <scheme val="minor"/>
      </rPr>
      <t xml:space="preserve">duration </t>
    </r>
    <r>
      <rPr>
        <sz val="10"/>
        <color rgb="FF000000"/>
        <rFont val="Aptos Narrow"/>
        <scheme val="minor"/>
      </rPr>
      <t xml:space="preserve">(hours, minutes); </t>
    </r>
    <r>
      <rPr>
        <b/>
        <sz val="10"/>
        <color rgb="FF000000"/>
        <rFont val="Aptos Narrow"/>
        <scheme val="minor"/>
      </rPr>
      <t>frequency</t>
    </r>
    <r>
      <rPr>
        <sz val="10"/>
        <color rgb="FF000000"/>
        <rFont val="Aptos Narrow"/>
        <scheme val="minor"/>
      </rPr>
      <t xml:space="preserve"> (days/week)</t>
    </r>
  </si>
  <si>
    <t>garmin usage/logging tracking - HR Monitoring</t>
  </si>
  <si>
    <r>
      <rPr>
        <b/>
        <sz val="11"/>
        <color rgb="FF000000"/>
        <rFont val="Aptos Narrow"/>
        <scheme val="minor"/>
      </rPr>
      <t>Instructions/ Guidance (Video):</t>
    </r>
    <r>
      <rPr>
        <sz val="11"/>
        <color rgb="FF000000"/>
        <rFont val="Aptos Narrow"/>
        <scheme val="minor"/>
      </rPr>
      <t xml:space="preserve"> Introduction to prepare and perform planks</t>
    </r>
  </si>
  <si>
    <r>
      <rPr>
        <b/>
        <sz val="11"/>
        <color rgb="FF000000"/>
        <rFont val="Aptos Narrow"/>
        <scheme val="minor"/>
      </rPr>
      <t xml:space="preserve">Activity Log: </t>
    </r>
    <r>
      <rPr>
        <sz val="11"/>
        <color rgb="FF000000"/>
        <rFont val="Aptos Narrow"/>
        <scheme val="minor"/>
      </rPr>
      <t>10 seconds</t>
    </r>
  </si>
  <si>
    <r>
      <rPr>
        <b/>
        <sz val="11"/>
        <color rgb="FF000000"/>
        <rFont val="Aptos Narrow"/>
        <scheme val="minor"/>
      </rPr>
      <t>Activity Log</t>
    </r>
    <r>
      <rPr>
        <sz val="11"/>
        <color rgb="FF000000"/>
        <rFont val="Aptos Narrow"/>
        <scheme val="minor"/>
      </rPr>
      <t>: 20 seconds</t>
    </r>
  </si>
  <si>
    <r>
      <rPr>
        <b/>
        <sz val="11"/>
        <color rgb="FF000000"/>
        <rFont val="Aptos Narrow"/>
      </rPr>
      <t>Activity Log</t>
    </r>
    <r>
      <rPr>
        <sz val="11"/>
        <color rgb="FF000000"/>
        <rFont val="Aptos Narrow"/>
      </rPr>
      <t>: 30 seconds</t>
    </r>
  </si>
  <si>
    <r>
      <rPr>
        <b/>
        <sz val="11"/>
        <color rgb="FF000000"/>
        <rFont val="Aptos Narrow"/>
      </rPr>
      <t>Activity Log</t>
    </r>
    <r>
      <rPr>
        <sz val="11"/>
        <color rgb="FF000000"/>
        <rFont val="Aptos Narrow"/>
      </rPr>
      <t>: 40 seconds</t>
    </r>
  </si>
  <si>
    <r>
      <rPr>
        <b/>
        <sz val="11"/>
        <color rgb="FF000000"/>
        <rFont val="Aptos Narrow"/>
        <scheme val="minor"/>
      </rPr>
      <t>Activity Log</t>
    </r>
    <r>
      <rPr>
        <sz val="11"/>
        <color rgb="FF000000"/>
        <rFont val="Aptos Narrow"/>
        <scheme val="minor"/>
      </rPr>
      <t>: 10 seconds - 2 times a week</t>
    </r>
  </si>
  <si>
    <r>
      <rPr>
        <b/>
        <sz val="11"/>
        <color rgb="FF000000"/>
        <rFont val="Aptos Narrow"/>
        <scheme val="minor"/>
      </rPr>
      <t>Activity Log</t>
    </r>
    <r>
      <rPr>
        <sz val="11"/>
        <color rgb="FF000000"/>
        <rFont val="Aptos Narrow"/>
        <scheme val="minor"/>
      </rPr>
      <t>: 20 seconds - 2 times a week</t>
    </r>
  </si>
  <si>
    <r>
      <rPr>
        <b/>
        <sz val="11"/>
        <color rgb="FF000000"/>
        <rFont val="Aptos Narrow"/>
        <scheme val="minor"/>
      </rPr>
      <t>Activity Log</t>
    </r>
    <r>
      <rPr>
        <sz val="11"/>
        <color rgb="FF000000"/>
        <rFont val="Aptos Narrow"/>
        <scheme val="minor"/>
      </rPr>
      <t>: 30 seconds - 3 times a week</t>
    </r>
  </si>
  <si>
    <r>
      <rPr>
        <b/>
        <sz val="11"/>
        <color rgb="FF000000"/>
        <rFont val="Aptos Narrow"/>
        <scheme val="minor"/>
      </rPr>
      <t>Activity Log</t>
    </r>
    <r>
      <rPr>
        <sz val="11"/>
        <color rgb="FF000000"/>
        <rFont val="Aptos Narrow"/>
        <scheme val="minor"/>
      </rPr>
      <t>: 40 seconds - 3 times a week</t>
    </r>
  </si>
  <si>
    <t>PA5-B</t>
  </si>
  <si>
    <t>Jumping Jacks</t>
  </si>
  <si>
    <r>
      <rPr>
        <b/>
        <sz val="11"/>
        <color rgb="FF000000"/>
        <rFont val="Aptos Narrow"/>
      </rPr>
      <t>Instructions/ Guidance (Video):</t>
    </r>
    <r>
      <rPr>
        <sz val="11"/>
        <color rgb="FF000000"/>
        <rFont val="Aptos Narrow"/>
      </rPr>
      <t xml:space="preserve"> Introduction to prepare and perform jumping jacks</t>
    </r>
  </si>
  <si>
    <r>
      <rPr>
        <b/>
        <sz val="11"/>
        <color rgb="FF000000"/>
        <rFont val="Aptos Narrow"/>
        <scheme val="minor"/>
      </rPr>
      <t>Activity Log</t>
    </r>
    <r>
      <rPr>
        <sz val="11"/>
        <color rgb="FF000000"/>
        <rFont val="Aptos Narrow"/>
        <scheme val="minor"/>
      </rPr>
      <t>: 10 seconds 2 times a week</t>
    </r>
  </si>
  <si>
    <r>
      <rPr>
        <b/>
        <sz val="11"/>
        <color rgb="FF000000"/>
        <rFont val="Aptos Narrow"/>
        <scheme val="minor"/>
      </rPr>
      <t>Activity Log</t>
    </r>
    <r>
      <rPr>
        <sz val="11"/>
        <color rgb="FF000000"/>
        <rFont val="Aptos Narrow"/>
        <scheme val="minor"/>
      </rPr>
      <t>: 20 seconds 2 times a week</t>
    </r>
  </si>
  <si>
    <t>PA5-C</t>
  </si>
  <si>
    <t>Wall Sit</t>
  </si>
  <si>
    <r>
      <rPr>
        <b/>
        <sz val="11"/>
        <color rgb="FF000000"/>
        <rFont val="Aptos Narrow"/>
        <scheme val="minor"/>
      </rPr>
      <t>Survey Question:</t>
    </r>
    <r>
      <rPr>
        <sz val="11"/>
        <color rgb="FF000000"/>
        <rFont val="Aptos Narrow"/>
        <scheme val="minor"/>
      </rPr>
      <t xml:space="preserve"> Wall Sit</t>
    </r>
  </si>
  <si>
    <r>
      <rPr>
        <b/>
        <sz val="11"/>
        <color rgb="FF000000"/>
        <rFont val="Aptos Narrow"/>
        <scheme val="minor"/>
      </rPr>
      <t>Tips/Info:</t>
    </r>
    <r>
      <rPr>
        <sz val="11"/>
        <color rgb="FF000000"/>
        <rFont val="Aptos Narrow"/>
        <scheme val="minor"/>
      </rPr>
      <t xml:space="preserve"> Introducing idea of having health advantages by doing the wall sit</t>
    </r>
  </si>
  <si>
    <r>
      <rPr>
        <b/>
        <sz val="11"/>
        <color rgb="FF000000"/>
        <rFont val="Aptos Narrow"/>
        <scheme val="minor"/>
      </rPr>
      <t>Instructions/ Guidance (Video)</t>
    </r>
    <r>
      <rPr>
        <sz val="11"/>
        <color rgb="FF000000"/>
        <rFont val="Aptos Narrow"/>
        <scheme val="minor"/>
      </rPr>
      <t>: Introduction to prepare and perform the wall sit</t>
    </r>
  </si>
  <si>
    <r>
      <rPr>
        <b/>
        <sz val="11"/>
        <color rgb="FF000000"/>
        <rFont val="Aptos Narrow"/>
      </rPr>
      <t>Activity Log:</t>
    </r>
    <r>
      <rPr>
        <sz val="11"/>
        <color rgb="FF000000"/>
        <rFont val="Aptos Narrow"/>
      </rPr>
      <t xml:space="preserve"> 10 seconds</t>
    </r>
  </si>
  <si>
    <r>
      <rPr>
        <b/>
        <sz val="11"/>
        <color rgb="FF000000"/>
        <rFont val="Aptos Narrow"/>
      </rPr>
      <t>Activity Log</t>
    </r>
    <r>
      <rPr>
        <sz val="11"/>
        <color rgb="FF000000"/>
        <rFont val="Aptos Narrow"/>
      </rPr>
      <t>: 20 seconds</t>
    </r>
  </si>
  <si>
    <r>
      <rPr>
        <b/>
        <sz val="11"/>
        <color rgb="FF000000"/>
        <rFont val="Aptos Narrow"/>
      </rPr>
      <t>Activity Log</t>
    </r>
    <r>
      <rPr>
        <sz val="11"/>
        <color rgb="FF000000"/>
        <rFont val="Aptos Narrow"/>
      </rPr>
      <t>: 10 seconds 3 times a week</t>
    </r>
  </si>
  <si>
    <r>
      <rPr>
        <b/>
        <sz val="11"/>
        <color rgb="FF000000"/>
        <rFont val="Aptos Narrow"/>
      </rPr>
      <t>Activity Log</t>
    </r>
    <r>
      <rPr>
        <sz val="11"/>
        <color rgb="FF000000"/>
        <rFont val="Aptos Narrow"/>
      </rPr>
      <t>: 20 seconds 3 times a week</t>
    </r>
  </si>
  <si>
    <t>PA5-D</t>
  </si>
  <si>
    <t>Fitness &amp; Functional Training (Joker)</t>
  </si>
  <si>
    <t>Instructions/Guidance (Video)</t>
  </si>
  <si>
    <t>PA5-I</t>
  </si>
  <si>
    <t>Cardio Training</t>
  </si>
  <si>
    <t>PA5-J</t>
  </si>
  <si>
    <t>Leisure -related activities (General Sports) (Joker)</t>
  </si>
  <si>
    <t>DN1</t>
  </si>
  <si>
    <t>starch food intake</t>
  </si>
  <si>
    <t>DN1 - A</t>
  </si>
  <si>
    <t xml:space="preserve">Eat 100% wholegrain food </t>
  </si>
  <si>
    <t>Nutrida nutrients - recipe information</t>
  </si>
  <si>
    <t>FFQ</t>
  </si>
  <si>
    <t xml:space="preserve">item 68-80 </t>
  </si>
  <si>
    <t>Quiz: Real or Fake?: A visual game where the user must identify which foods on a list are truly whole grain and which are “fake whole grains</t>
  </si>
  <si>
    <t>Challenge: Take a photo of the type of bread you usually eat and write down which cereal you think it is made from. Check it afterward.</t>
  </si>
  <si>
    <t>Challenge: Go to your pantry or the supermarket and find a product where the first ingredient is a whole grain.</t>
  </si>
  <si>
    <t>Challenge: On your next shopping trip, choose at least one 100% whole grain product and upload a photo of the selected item.</t>
  </si>
  <si>
    <t>Challenge: Choose a time of day (breakfast, lunch, or dinner) when, over the next week, you will eat 100% whole grain cereals.</t>
  </si>
  <si>
    <t>Challenge: Plan the meal you will have next week with 100% whole grain cereals in the Nutrida app.</t>
  </si>
  <si>
    <t>Challenge: Prepare the meal you planned in Nutrida.</t>
  </si>
  <si>
    <r>
      <t>Challenge:</t>
    </r>
    <r>
      <rPr>
        <sz val="11"/>
        <color rgb="FF000000"/>
        <rFont val="Aptos Narrow"/>
        <family val="2"/>
      </rPr>
      <t xml:space="preserve"> Find a fake whole grain food: Look for a product in the supermarket that looks whole grain but isn’t (“fake whole grain”) and upload a photo.</t>
    </r>
  </si>
  <si>
    <t>Cook a recipe provided by Nutrida using 100% whole grains other than wheat (quinoa, oats, couscous…).</t>
  </si>
  <si>
    <r>
      <t>Big challenge:</t>
    </r>
    <r>
      <rPr>
        <sz val="11"/>
        <color rgb="FF000000"/>
        <rFont val="Aptos Narrow"/>
        <family val="2"/>
      </rPr>
      <t xml:space="preserve"> This week, all the cereals you consume must be whole grain. Plan your complete menu in Nutrida.</t>
    </r>
  </si>
  <si>
    <t>Upload a photo of the groceries you bought to carry out the menu.</t>
  </si>
  <si>
    <r>
      <t>Challenge:</t>
    </r>
    <r>
      <rPr>
        <sz val="11"/>
        <color rgb="FF000000"/>
        <rFont val="Aptos Narrow"/>
        <family val="2"/>
      </rPr>
      <t xml:space="preserve"> Share a photo of your meal with whole grains with the rest of the community.</t>
    </r>
  </si>
  <si>
    <t>Test: test what you have learned over the past weeks by completing the questionnaire</t>
  </si>
  <si>
    <t>Final challenge: take your habits outside the home — when you eat out, choose whole grains</t>
  </si>
  <si>
    <t>DN1 - B</t>
  </si>
  <si>
    <t>Diversify starchy food consumption</t>
  </si>
  <si>
    <t>item 68-80</t>
  </si>
  <si>
    <t>Quiz: Source of Carbohydrates?: A game where the user must mark whether the foods shown are high in carbohydrates or not. (e.g., cold cuts, surimi, legumes, sauces, cereal bars)</t>
  </si>
  <si>
    <t>Challenge: Beyond Pasta and Rice: Name at least 3 foods whose main ingredient is a carbohydrate other than rice or pasta.</t>
  </si>
  <si>
    <t>Challenge: Do you remember the foods you identified as sources of carbohydrates? List at least 3 different ways to cook them.</t>
  </si>
  <si>
    <t>Challenge: Share a simple recipe that includes a carbohydrate source other than pasta or rice.</t>
  </si>
  <si>
    <t>Challenge: Plan your upcoming week: include 3 different sources of carbohydrates in your weekly plan.</t>
  </si>
  <si>
    <t>Challenge: Shopping list: Check your fridge and add any missing foods to your shopping list.</t>
  </si>
  <si>
    <t>Challenge: Time to get hands-on: it’s time to try the 3 different carbohydrate sources you chose. Share your first dish.</t>
  </si>
  <si>
    <t>Share your second course.</t>
  </si>
  <si>
    <t>Share your third course.</t>
  </si>
  <si>
    <t>Choose a recipe that combines two different types of carbohydrates, e.g., legumes with rice.</t>
  </si>
  <si>
    <r>
      <t>Tip:</t>
    </r>
    <r>
      <rPr>
        <sz val="11"/>
        <color rgb="FF000000"/>
        <rFont val="Aptos Narrow"/>
        <family val="2"/>
      </rPr>
      <t xml:space="preserve"> Throughout the day, it’s important to keep blood glucose levels stable. You can do this by adding a source of carbohydrates to each main meal.</t>
    </r>
  </si>
  <si>
    <r>
      <t>Challenge:</t>
    </r>
    <r>
      <rPr>
        <sz val="11"/>
        <color rgb="FF000000"/>
        <rFont val="Aptos Narrow"/>
        <family val="2"/>
      </rPr>
      <t xml:space="preserve"> Share your breakfast with the rest of the community.</t>
    </r>
  </si>
  <si>
    <t>Challenge: name all the sources of carbohydrates you know</t>
  </si>
  <si>
    <t>Share with the community a recipe you discovered thanks to this challenge</t>
  </si>
  <si>
    <t>DN2</t>
  </si>
  <si>
    <t>fruits and vegetables intake</t>
  </si>
  <si>
    <t>DN2 - A</t>
  </si>
  <si>
    <t xml:space="preserve">Eat fruits and vegetables </t>
  </si>
  <si>
    <t>item 33-61</t>
  </si>
  <si>
    <t>Challenge: Share your favorite fruit and vegetable with the rest of the community.</t>
  </si>
  <si>
    <t>Quiz: How many fruits and vegetables do you think are recommended to consume per day? How many servings do you eat daily?</t>
  </si>
  <si>
    <t>Tip/Info: Each color is associated with a specific vitamin.</t>
  </si>
  <si>
    <t>Challenge: How many different colors do you eat throughout your day? Count them and share your results with the rest of the community.</t>
  </si>
  <si>
    <t>Challenge: Include two different servings of fruits and vegetables in your day today.</t>
  </si>
  <si>
    <t>Challenge: Change your snack: replace a snack with a piece of fruit today.</t>
  </si>
  <si>
    <t>Challenge: For the next 3 days, we will eat 3 servings of fruits and vegetables per day with 3 different colors. Plan them in Nutrida to be prepared.</t>
  </si>
  <si>
    <r>
      <t>Weekly suggestion:</t>
    </r>
    <r>
      <rPr>
        <sz val="11"/>
        <color rgb="FF000000"/>
        <rFont val="Aptos Narrow"/>
        <family val="2"/>
      </rPr>
      <t xml:space="preserve"> Make a salad with as many different colors as possible and share it with the rest of the community.</t>
    </r>
  </si>
  <si>
    <r>
      <t>Challenge:</t>
    </r>
    <r>
      <rPr>
        <sz val="11"/>
        <color rgb="FF000000"/>
        <rFont val="Aptos Narrow"/>
        <family val="2"/>
      </rPr>
      <t xml:space="preserve"> Try a new vegetable. Have you heard of bimi or romanesco?</t>
    </r>
  </si>
  <si>
    <r>
      <t>Challenge:</t>
    </r>
    <r>
      <rPr>
        <sz val="11"/>
        <color rgb="FF000000"/>
        <rFont val="Aptos Narrow"/>
        <family val="2"/>
      </rPr>
      <t xml:space="preserve"> Share your favorite seasonal fruit with us.</t>
    </r>
  </si>
  <si>
    <r>
      <t>Challenge:</t>
    </r>
    <r>
      <rPr>
        <sz val="11"/>
        <color rgb="FF000000"/>
        <rFont val="Aptos Narrow"/>
        <family val="2"/>
      </rPr>
      <t xml:space="preserve"> Increase your fruit and vegetable intake to 4 servings per day. Plan your weekly menu in Nutrida.</t>
    </r>
  </si>
  <si>
    <r>
      <t>Quiz:</t>
    </r>
    <r>
      <rPr>
        <sz val="11"/>
        <color rgb="FF000000"/>
        <rFont val="Aptos Narrow"/>
        <family val="2"/>
      </rPr>
      <t xml:space="preserve"> Match each of these fruits and vegetables with the season they are in.</t>
    </r>
  </si>
  <si>
    <t>Weekly challenge: include one serving of fruits and vegetables in each meal you eat and share an image with the community</t>
  </si>
  <si>
    <t>Quiz: get to know your health by checking the bathroom — match each stool type with the corresponding dietary mistake</t>
  </si>
  <si>
    <t>DN3</t>
  </si>
  <si>
    <t>dairy food intake</t>
  </si>
  <si>
    <t>DN3 - A</t>
  </si>
  <si>
    <t>Eat dairy food per day</t>
  </si>
  <si>
    <t>item 1-13</t>
  </si>
  <si>
    <t>Info: Benefits of dairy consumption in young adults</t>
  </si>
  <si>
    <t>Info: Debunking myths: Is consuming dairy after childhood harmful?</t>
  </si>
  <si>
    <t>Challenge: Share with the community a dairy product you have consumed throughout the day.</t>
  </si>
  <si>
    <t>Challenge: Have a yogurt with fruit as a snack.</t>
  </si>
  <si>
    <t>Challenge: Add a dairy product to your menu in the Nutrida app.</t>
  </si>
  <si>
    <t>Info/Tip: Did you know that fermented products are probiotics? Try one of them.</t>
  </si>
  <si>
    <t>Challenge: Upgrade your dairy: choose sugar-free yogurts, cheeses with a better fat profile, and quality milk. Share a photo of your improved dairy product.</t>
  </si>
  <si>
    <t>Share with the rest of the community which dairy product is your favorite.</t>
  </si>
  <si>
    <r>
      <t>Challenge:</t>
    </r>
    <r>
      <rPr>
        <sz val="11"/>
        <color rgb="FF000000"/>
        <rFont val="Aptos Narrow"/>
        <family val="2"/>
      </rPr>
      <t xml:space="preserve"> Try making a homemade dairy-based ice cream.</t>
    </r>
  </si>
  <si>
    <r>
      <t>Info:</t>
    </r>
    <r>
      <rPr>
        <sz val="11"/>
        <color rgb="FF000000"/>
        <rFont val="Aptos Narrow"/>
        <family val="2"/>
      </rPr>
      <t xml:space="preserve"> Plant-based drinks are not considered dairy products, and some of them contain a high amount of added sugars.</t>
    </r>
  </si>
  <si>
    <r>
      <t>Challenge:</t>
    </r>
    <r>
      <rPr>
        <sz val="11"/>
        <color rgb="FF000000"/>
        <rFont val="Aptos Narrow"/>
        <family val="2"/>
      </rPr>
      <t xml:space="preserve"> Make a fruit and yogurt smoothie and share a photo with the rest of the community.</t>
    </r>
  </si>
  <si>
    <r>
      <t>Challenge:</t>
    </r>
    <r>
      <rPr>
        <sz val="11"/>
        <color rgb="FF000000"/>
        <rFont val="Aptos Narrow"/>
        <family val="2"/>
      </rPr>
      <t xml:space="preserve"> Upgrade your snack—replace a less healthy option with a quality dairy product.</t>
    </r>
  </si>
  <si>
    <t>Info: did you know that coffee and milk complement each other nutritionally? The antioxidant compounds in coffee and the vitamins in milk enhance nutrient absorption from both foods</t>
  </si>
  <si>
    <t>Info: protein supplements commonly consumed by athletes come from milk</t>
  </si>
  <si>
    <t>DN4</t>
  </si>
  <si>
    <t>plant-based food (PBF) intake</t>
  </si>
  <si>
    <t>DN4 -A</t>
  </si>
  <si>
    <t>Choose plant-based food (PBF) for protein</t>
  </si>
  <si>
    <t>item 66-67</t>
  </si>
  <si>
    <t xml:space="preserve">Info: The consumption of animal-based foods in Europe has surged in recent years, worsening the population’s dietary habits. </t>
  </si>
  <si>
    <t>Quiz: Indicate which of these foods are a source of protein.</t>
  </si>
  <si>
    <t>Challenge: Replace one serving of meat with a serving of legumes to enjoy your protein intake.</t>
  </si>
  <si>
    <t>Info: Did you know that lentils and rice complement each other by providing all essential amino acids?</t>
  </si>
  <si>
    <t>Challenge: Share your favorite plant-based protein source with the rest of the community.</t>
  </si>
  <si>
    <t>Challenge: Try a new plant-based protein source and share it with the rest of the community.</t>
  </si>
  <si>
    <t>Quiz: Have you tried any of these foods? (textured soy, seitan, bulgur…) Tell us!</t>
  </si>
  <si>
    <r>
      <t>Challenge:</t>
    </r>
    <r>
      <rPr>
        <sz val="11"/>
        <color rgb="FF000000"/>
        <rFont val="Aptos Narrow"/>
        <family val="2"/>
      </rPr>
      <t xml:space="preserve"> Include a recipe with a plant-based protein source in your Nutrida menu.</t>
    </r>
  </si>
  <si>
    <r>
      <t>Quiz:</t>
    </r>
    <r>
      <rPr>
        <sz val="11"/>
        <color rgb="FF000000"/>
        <rFont val="Aptos Narrow"/>
        <family val="2"/>
      </rPr>
      <t xml:space="preserve"> Which of these foods contains more protein? Compare animal-based and plant-based foods.</t>
    </r>
  </si>
  <si>
    <r>
      <t>Challenge:</t>
    </r>
    <r>
      <rPr>
        <sz val="11"/>
        <color rgb="FF000000"/>
        <rFont val="Aptos Narrow"/>
        <family val="2"/>
      </rPr>
      <t xml:space="preserve"> Upload a photo of your favorite legume-based dish.</t>
    </r>
  </si>
  <si>
    <r>
      <t>Info:</t>
    </r>
    <r>
      <rPr>
        <sz val="11"/>
        <color rgb="FF000000"/>
        <rFont val="Aptos Narrow"/>
        <family val="2"/>
      </rPr>
      <t xml:space="preserve"> Legumes are an excellent food due to their fiber content and high-quality protein.</t>
    </r>
  </si>
  <si>
    <r>
      <t>Challenge:</t>
    </r>
    <r>
      <rPr>
        <sz val="11"/>
        <color rgb="FF000000"/>
        <rFont val="Aptos Narrow"/>
        <family val="2"/>
      </rPr>
      <t xml:space="preserve"> How many servings of plant-based protein have you consumed this week? Share each one with the community.</t>
    </r>
  </si>
  <si>
    <t>Info: do you know how legumes are grown? Watch this video</t>
  </si>
  <si>
    <t>Challenge: tell us whether the amount of plant-based foods you consume has changed after participating in this project</t>
  </si>
  <si>
    <t>DN5</t>
  </si>
  <si>
    <t>plant-based oil and eat nuts intake</t>
  </si>
  <si>
    <t>Use plant-based oil daily</t>
  </si>
  <si>
    <t>item 62-65, 81-88</t>
  </si>
  <si>
    <t>Info/Tip: Extra virgin olive oil is considered the best fat for cooking. Do you know why? Its high content of polyphenols, vitamin E, and antioxidants is higher than that of sunflower, rapeseed, or palm oil.</t>
  </si>
  <si>
    <t>Info/Tip: Do you know the difference between extra virgin olive oil and regular olive oil? Extra virgin olive oil is obtained only by mechanical means and has higher quality, better flavor, and lower acidity, while regular olive oil is a blend of refined and virgin oils with lower flavor and quality.</t>
  </si>
  <si>
    <t>Challenge: Share a photo of the oil you usually use for cooking.</t>
  </si>
  <si>
    <t>Challenge: Answer the following question: Why do you usually choose that oil for cooking?</t>
  </si>
  <si>
    <t>Info: Extra virgin olive oil is a great source of omega-9 and omega-6 fatty acids.</t>
  </si>
  <si>
    <t>Challenge: If you use an oil other than olive oil, replace it for this week. Share a photo with the rest of the community.</t>
  </si>
  <si>
    <t>Challenge: Choose a recipe from Nutrida and prepare it using extra virgin olive oil as the main fat.</t>
  </si>
  <si>
    <r>
      <t>Quiz:</t>
    </r>
    <r>
      <rPr>
        <sz val="11"/>
        <color rgb="FF000000"/>
        <rFont val="Aptos Narrow"/>
        <family val="2"/>
      </rPr>
      <t xml:space="preserve"> Order these types of oil from best to worst quality: Extra virgin olive oil, Virgin olive oil, Olive oil, Pomace oil.</t>
    </r>
  </si>
  <si>
    <r>
      <t>Info:</t>
    </r>
    <r>
      <rPr>
        <sz val="11"/>
        <color rgb="FF000000"/>
        <rFont val="Aptos Narrow"/>
        <family val="2"/>
      </rPr>
      <t xml:space="preserve"> Did you know that extra virgin olive oil has more beneficial properties when consumed raw than after being exposed to heat?</t>
    </r>
  </si>
  <si>
    <r>
      <t>Challenge:</t>
    </r>
    <r>
      <rPr>
        <sz val="11"/>
        <color rgb="FF000000"/>
        <rFont val="Aptos Narrow"/>
        <family val="2"/>
      </rPr>
      <t xml:space="preserve"> Share your favorite salad dressing. Upload a photo and share it with the community.</t>
    </r>
  </si>
  <si>
    <r>
      <t>Quiz:</t>
    </r>
    <r>
      <rPr>
        <sz val="11"/>
        <color rgb="FF000000"/>
        <rFont val="Aptos Narrow"/>
        <family val="2"/>
      </rPr>
      <t xml:space="preserve"> Do you know how many times cooking oil can be reused?</t>
    </r>
  </si>
  <si>
    <r>
      <t>Quiz:</t>
    </r>
    <r>
      <rPr>
        <sz val="11"/>
        <color rgb="FF000000"/>
        <rFont val="Aptos Narrow"/>
        <family val="2"/>
      </rPr>
      <t xml:space="preserve"> Show what you’ve learned over the past months. What is the recommended daily amount of extra virgin olive oil in a healthy diet?</t>
    </r>
  </si>
  <si>
    <t>Challenge: upload an image showing the amount and type of fat you usually use for cooking</t>
  </si>
  <si>
    <t>Final challenge: share with the community which fat you have used the most for cooking over the past months</t>
  </si>
  <si>
    <t>Eat nuts everyday</t>
  </si>
  <si>
    <t>Info: Do you know why nuts are beneficial? Nuts are healthy because they provide healthy fats, protein, fiber, vitamins, and minerals, which help protect the heart, improve satiety, and enhance overall diet quality.</t>
  </si>
  <si>
    <t>Quiz: True or False (recommended amount of nuts, nutrients, and their attributed health benefits)</t>
  </si>
  <si>
    <t>Challenge: Share your favorite nut with the rest of the community.</t>
  </si>
  <si>
    <t>Info: The recommended amount of nuts is a handful per day (about 20–30 grams), preferably raw or roasted without salt.</t>
  </si>
  <si>
    <t>Challenge: Add your preferred nuts to your shopping list in the Nutrida app. Remember, they should be raw or roasted without added salt.</t>
  </si>
  <si>
    <t>Info: Nuts can help improve your cardiovascular health.</t>
  </si>
  <si>
    <t>Challenge: Include in your weekly menu a recipe with nuts, e.g., salad, yogurt with nuts, chicken with toasted almonds…</t>
  </si>
  <si>
    <r>
      <t>Quiz:</t>
    </r>
    <r>
      <rPr>
        <sz val="11"/>
        <color rgb="FF000000"/>
        <rFont val="Aptos Narrow"/>
        <family val="2"/>
      </rPr>
      <t xml:space="preserve"> Match each tree with the nut it produces.</t>
    </r>
  </si>
  <si>
    <r>
      <t>Challenge:</t>
    </r>
    <r>
      <rPr>
        <sz val="11"/>
        <color rgb="FF000000"/>
        <rFont val="Aptos Narrow"/>
        <family val="2"/>
      </rPr>
      <t xml:space="preserve"> Replace a less healthy snack with a handful of nuts. Share a photo with the rest of the community.</t>
    </r>
  </si>
  <si>
    <r>
      <t>Challenge:</t>
    </r>
    <r>
      <rPr>
        <sz val="11"/>
        <color rgb="FF000000"/>
        <rFont val="Aptos Narrow"/>
        <family val="2"/>
      </rPr>
      <t xml:space="preserve"> Try 3 different types of nuts this week. Share a photo of each one.</t>
    </r>
  </si>
  <si>
    <r>
      <t>Info:</t>
    </r>
    <r>
      <rPr>
        <sz val="11"/>
        <color rgb="FF000000"/>
        <rFont val="Aptos Narrow"/>
        <family val="2"/>
      </rPr>
      <t xml:space="preserve"> Eating nuts daily is healthy, but remember the recommended amount is one handful (20–30 g).</t>
    </r>
  </si>
  <si>
    <r>
      <t>Challenge:</t>
    </r>
    <r>
      <rPr>
        <sz val="11"/>
        <color rgb="FF000000"/>
        <rFont val="Aptos Narrow"/>
        <family val="2"/>
      </rPr>
      <t xml:space="preserve"> Nuts are a great emergency snack. Carry a handful with you to avoid choosing less healthy foods. Share a photo with the community.</t>
    </r>
  </si>
  <si>
    <t>Quiz: show what you have learned, true or false: nuts are foods rich in fiber</t>
  </si>
  <si>
    <t>Quiz: at what time of day is it easiest for you to eat nuts, and which habit would you like to maintain long term?</t>
  </si>
  <si>
    <t>DN6</t>
  </si>
  <si>
    <t>fish and seafood consumption</t>
  </si>
  <si>
    <t>Mind fish and seafood consumption</t>
  </si>
  <si>
    <t>item 27-32</t>
  </si>
  <si>
    <t>Quiz: Do you know the recommended weekly fish consumption?</t>
  </si>
  <si>
    <t>Info: By looking at the fish label, you can find out how it was farmed or caught.</t>
  </si>
  <si>
    <t>Info: Many fish substitutes, such as surimi or imitation baby eels, are highly processed, which reduces their nutritional value. Consuming them in excess may replace fresh fish, which provides higher-quality protein and omega-3.</t>
  </si>
  <si>
    <t>Info: Fish is the best source of omega-3 fatty acids, which are essential for brain function.</t>
  </si>
  <si>
    <t>Challenge: Plan your weekly menu including at least two servings of fish, and try a new type of fish or seafood. You can do this using the Nutrida app.</t>
  </si>
  <si>
    <t>Challenge: Make this week’s shopping list, including the servings of fish for the upcoming days.</t>
  </si>
  <si>
    <t>Challenge: Share a photo with the rest of the community each time you eat fish this week.</t>
  </si>
  <si>
    <r>
      <t>Info:</t>
    </r>
    <r>
      <rPr>
        <sz val="11"/>
        <color rgb="FF000000"/>
        <rFont val="Aptos Narrow"/>
        <family val="2"/>
      </rPr>
      <t xml:space="preserve"> Alternating between oily and white fish allows you to benefit from different nutrients: oily fish provides more omega-3, while white fish is lower in fat but still an excellent source of protein.</t>
    </r>
  </si>
  <si>
    <r>
      <t>Challenge:</t>
    </r>
    <r>
      <rPr>
        <sz val="11"/>
        <color rgb="FF000000"/>
        <rFont val="Aptos Narrow"/>
        <family val="2"/>
      </rPr>
      <t xml:space="preserve"> Include fish in a dish where you don’t usually use it, e.g., pasta with tuna or a fish scramble.</t>
    </r>
  </si>
  <si>
    <r>
      <t>Challenge:</t>
    </r>
    <r>
      <rPr>
        <sz val="11"/>
        <color rgb="FF000000"/>
        <rFont val="Aptos Narrow"/>
        <family val="2"/>
      </rPr>
      <t xml:space="preserve"> On your next shopping trip, choose a fresh, frozen, or high-quality canned fish that you’ve never tried before and upload a photo in the app.</t>
    </r>
  </si>
  <si>
    <r>
      <t>Quiz:</t>
    </r>
    <r>
      <rPr>
        <sz val="11"/>
        <color rgb="FF000000"/>
        <rFont val="Aptos Narrow"/>
        <family val="2"/>
      </rPr>
      <t xml:space="preserve"> Select which of these fish are considered oily fish and which are white fish.</t>
    </r>
  </si>
  <si>
    <r>
      <t>Challenge:</t>
    </r>
    <r>
      <rPr>
        <sz val="11"/>
        <color rgb="FF000000"/>
        <rFont val="Aptos Narrow"/>
        <family val="2"/>
      </rPr>
      <t xml:space="preserve"> The next time you eat out, include a serving of fish. Share a photo with the community.</t>
    </r>
  </si>
  <si>
    <t>Info: prioritize seasonal fish with sustainable certifications (MSC, ASC) to care for your health and the environment</t>
  </si>
  <si>
    <t>Final challenge: during this week, try at least 2 different types of fish (oily and white) and record each one</t>
  </si>
  <si>
    <t>DN7</t>
  </si>
  <si>
    <t>water consumption</t>
  </si>
  <si>
    <t>DN7 - A</t>
  </si>
  <si>
    <t>Drink water per day</t>
  </si>
  <si>
    <t>item 111</t>
  </si>
  <si>
    <t>Info (Video): Knowing if you are properly hydrated is essential. Watch this video to find out your current hydration status: https://www.youtube.com/watch?v=9iMGFqMmUFs</t>
  </si>
  <si>
    <t>Challenge: Share a photo showing your hydration status using the technique you learned.</t>
  </si>
  <si>
    <t>Info: As mentioned, staying hydrated is essential. Another way to check your hydration status is by observing your urine—the darker it is, the more dehydrated you are.</t>
  </si>
  <si>
    <t>Challenge: Share a photo of the water bottle you usually use during the day. If you don’t have a favorite bottle yet, this is your sign to get one!</t>
  </si>
  <si>
    <t>Info: Proper hydration improves skin elasticity, helps eliminate toxins, and supports an efficient metabolism.</t>
  </si>
  <si>
    <t>Quiz: How much water is it recommended to drink per day approximately?</t>
  </si>
  <si>
    <t>Challenge: For those who still struggle to drink water, try adding lemon or cucumber to your bottle for a different flavor. Share a photo with the rest of the community.</t>
  </si>
  <si>
    <r>
      <t>Quiz:</t>
    </r>
    <r>
      <rPr>
        <sz val="11"/>
        <color rgb="FF000000"/>
        <rFont val="Aptos Narrow"/>
        <family val="2"/>
      </rPr>
      <t xml:space="preserve"> True or False: Clear urine indicates good hydration.</t>
    </r>
  </si>
  <si>
    <r>
      <t>Info:</t>
    </r>
    <r>
      <rPr>
        <sz val="11"/>
        <color rgb="FF000000"/>
        <rFont val="Aptos Narrow"/>
        <family val="2"/>
      </rPr>
      <t xml:space="preserve"> To stay hydrated, drink small glasses of water every 1–2 hours instead of large amounts all at once. This is your reminder to do it.</t>
    </r>
  </si>
  <si>
    <r>
      <t>Challenge:</t>
    </r>
    <r>
      <rPr>
        <sz val="11"/>
        <color rgb="FF000000"/>
        <rFont val="Aptos Narrow"/>
        <family val="2"/>
      </rPr>
      <t xml:space="preserve"> Drink at least 8 glasses of water during the day and log your intake by sharing a photo with the community.</t>
    </r>
  </si>
  <si>
    <r>
      <t>Challenge:</t>
    </r>
    <r>
      <rPr>
        <sz val="11"/>
        <color rgb="FF000000"/>
        <rFont val="Aptos Narrow"/>
        <family val="2"/>
      </rPr>
      <t xml:space="preserve"> Share with the community your favorite water brand.</t>
    </r>
  </si>
  <si>
    <r>
      <t>Info:</t>
    </r>
    <r>
      <rPr>
        <sz val="11"/>
        <color rgb="FF000000"/>
        <rFont val="Aptos Narrow"/>
        <family val="2"/>
      </rPr>
      <t xml:space="preserve"> If you get bored of drinking water, herbal teas are your best ally—remember you can use them to improve your daily hydration.</t>
    </r>
  </si>
  <si>
    <t>Challenge: during this week, mark this challenge as completed every day you drink 2 or more liters of water</t>
  </si>
  <si>
    <t>Final challenge: share with the community which bottle has accompanied you the longest during these months</t>
  </si>
  <si>
    <t>DN7 - B</t>
  </si>
  <si>
    <t>Reduce sugar sweetened beverage (SSB), sugar, and sweetners</t>
  </si>
  <si>
    <t>item 112-123</t>
  </si>
  <si>
    <t>Info: Sugary drinks can give a quick energy spike followed by tiredness and hunger shortly afterward.</t>
  </si>
  <si>
    <t>Quiz: Many soft drinks, energy drinks, or packaged juices contain hidden sugar. Select whether these drinks contain a high amount of sugar or not.</t>
  </si>
  <si>
    <t>Info: A 330 ml soft drink can contain more than 8 teaspoons of sugar, while a glass of water or herbal tea contains none</t>
  </si>
  <si>
    <t>Challenge: Check the label of a drink you frequently consume and note the amount of sugar it contains.</t>
  </si>
  <si>
    <t>Challenge: During the week, record all the beverages you consume (other than water) and note which ones contain added sugar.</t>
  </si>
  <si>
    <t>Info: Choosing sugar-free alternatives, such as water, herbal teas, or unsweetened plant-based drinks, helps you realistically reduce sugary beverages.</t>
  </si>
  <si>
    <t>Challenge: Make a list of three sugar-free drinks you would like to have during the week instead of sugary sodas or juices.</t>
  </si>
  <si>
    <r>
      <t>Challenge:</t>
    </r>
    <r>
      <rPr>
        <sz val="11"/>
        <color rgb="FF000000"/>
        <rFont val="Aptos Narrow"/>
        <family val="2"/>
      </rPr>
      <t xml:space="preserve"> Replacing one sugary drink per day with water or an unsweetened infusion is a simple and effective first step. Track it each time you do it this week.</t>
    </r>
  </si>
  <si>
    <r>
      <t>Info:</t>
    </r>
    <r>
      <rPr>
        <sz val="11"/>
        <color rgb="FF000000"/>
        <rFont val="Aptos Narrow"/>
        <family val="2"/>
      </rPr>
      <t xml:space="preserve"> Gradually reducing sugary drinks is more effective than eliminating them all at once, as it helps avoid feelings of deprivation.</t>
    </r>
  </si>
  <si>
    <r>
      <t>Info:</t>
    </r>
    <r>
      <rPr>
        <sz val="11"/>
        <color rgb="FF000000"/>
        <rFont val="Aptos Narrow"/>
        <family val="2"/>
      </rPr>
      <t xml:space="preserve"> Frequent consumption of soft drinks and sugary beverages can disrupt the gut microbiota.</t>
    </r>
  </si>
  <si>
    <r>
      <t>Challenge:</t>
    </r>
    <r>
      <rPr>
        <sz val="11"/>
        <color rgb="FF000000"/>
        <rFont val="Aptos Narrow"/>
        <family val="2"/>
      </rPr>
      <t xml:space="preserve"> Always carrying water or unsweetened infusions makes it easier to maintain the habit outside the home—at school, work, or social events. Share a photo of your bottle each time you remember to bring it with you this week.</t>
    </r>
  </si>
  <si>
    <r>
      <t>Info:</t>
    </r>
    <r>
      <rPr>
        <sz val="11"/>
        <color rgb="FF000000"/>
        <rFont val="Aptos Narrow"/>
        <family val="2"/>
      </rPr>
      <t xml:space="preserve"> Maintaining this habit reduces sugar spikes, helps control weight, and improves energy levels steadily.</t>
    </r>
  </si>
  <si>
    <t>Challenge: are you able to go out for a drink without consuming soft drinks? Share an image</t>
  </si>
  <si>
    <t>Final challenge: mark each day you meet the goal of not consuming sugary drinks</t>
  </si>
  <si>
    <t>DN8</t>
  </si>
  <si>
    <t>Choose local and seasonal food</t>
  </si>
  <si>
    <t>Gamebus self-report questions</t>
  </si>
  <si>
    <t>Info: More flavor, fewer trips: Seasonal foods usually have better taste and texture because they are harvested at their peak ripeness.</t>
  </si>
  <si>
    <t>Challenge: Take a photo of your fridge and point out which products are seasonal.</t>
  </si>
  <si>
    <t>Record local and seasonal food consumption</t>
  </si>
  <si>
    <t>Challenge: Look at the price of a seasonal food and compare it with one that is out of season. Share the photo with the community.</t>
  </si>
  <si>
    <t>Challenge: Share a photo of your favorite local store with the rest of the community.</t>
  </si>
  <si>
    <t>Challenge: When planning your weekly menu in Nutrida, include two recipes using seasonal products.</t>
  </si>
  <si>
    <t>Challenge: Send a photo of your seasonal recipes for this week.</t>
  </si>
  <si>
    <r>
      <t>Quiz:</t>
    </r>
    <r>
      <rPr>
        <sz val="11"/>
        <color rgb="FF000000"/>
        <rFont val="Aptos Narrow"/>
        <family val="2"/>
      </rPr>
      <t xml:space="preserve"> Match each food with its corresponding season.</t>
    </r>
  </si>
  <si>
    <r>
      <t>Info:</t>
    </r>
    <r>
      <rPr>
        <sz val="11"/>
        <color rgb="FF000000"/>
        <rFont val="Aptos Narrow"/>
        <family val="2"/>
      </rPr>
      <t xml:space="preserve"> Buying local products supports your local economy and strengthens more sustainable food systems.</t>
    </r>
  </si>
  <si>
    <r>
      <t>Challenge:</t>
    </r>
    <r>
      <rPr>
        <sz val="11"/>
        <color rgb="FF000000"/>
        <rFont val="Aptos Narrow"/>
        <family val="2"/>
      </rPr>
      <t xml:space="preserve"> Visit a local store and share a photo of its fruit and vegetable section with the community.</t>
    </r>
  </si>
  <si>
    <r>
      <t>Challenge:</t>
    </r>
    <r>
      <rPr>
        <sz val="11"/>
        <color rgb="FF000000"/>
        <rFont val="Aptos Narrow"/>
        <family val="2"/>
      </rPr>
      <t xml:space="preserve"> If you eat out during the next month, ask for a seasonal and local dish and share it with the rest of the community.</t>
    </r>
  </si>
  <si>
    <r>
      <t>Challenge:</t>
    </r>
    <r>
      <rPr>
        <sz val="11"/>
        <color rgb="FF000000"/>
        <rFont val="Aptos Narrow"/>
        <family val="2"/>
      </rPr>
      <t xml:space="preserve"> Share a homemade recipe from your local area with the community.</t>
    </r>
  </si>
  <si>
    <t>Info: choosing fruit produced within 100 km of your home instead of imported fruit can save CO₂ equivalent to driving 500–600 fewer kilometers by car</t>
  </si>
  <si>
    <t>Challenge: which fruit is currently in season in your local area? Share an image with the community</t>
  </si>
  <si>
    <t>DN9</t>
  </si>
  <si>
    <t>(Practice) a sustainable and healthy meal</t>
  </si>
  <si>
    <t>Practice a sustainable and healthy meal</t>
  </si>
  <si>
    <t>Info: Eating less processed foods not only improves your health but also reduces the energy and water required to produce ultra-processed foods.</t>
  </si>
  <si>
    <t>Quiz: Approximately how much water is needed to produce 1 kg of these foods? Match each food with the correct amount: beef, cheese, bread, potato, tomato.</t>
  </si>
  <si>
    <t>Info/Tip: Choosing fresh products instead of ultra-processed foods helps reduce the environmental impact of your diet.</t>
  </si>
  <si>
    <t>Challenge: Share a photo of your fridge. How many fresh products do you have?</t>
  </si>
  <si>
    <t>Info/Tip: Many spices, such as turmeric, cumin, or cinnamon, provide antioxidants and anti-inflammatory compounds, adding benefits to your diet.</t>
  </si>
  <si>
    <t>Challenge: This week, choose a recipe you usually make and add at least one new spice you’ve never used before.</t>
  </si>
  <si>
    <t>Info: Did you know that turmeric has been used in Asia for over 4,000 years as a coloring and medicinal ingredient? Try it today to give your dish an exotic touch.</t>
  </si>
  <si>
    <r>
      <t>Quiz:</t>
    </r>
    <r>
      <rPr>
        <sz val="11"/>
        <color rgb="FF000000"/>
        <rFont val="Aptos Narrow"/>
        <family val="2"/>
      </rPr>
      <t xml:space="preserve"> True or False: Cumin was used in ancient times to preserve food.</t>
    </r>
  </si>
  <si>
    <r>
      <t>Challenge:</t>
    </r>
    <r>
      <rPr>
        <sz val="11"/>
        <color rgb="FF000000"/>
        <rFont val="Aptos Narrow"/>
        <family val="2"/>
      </rPr>
      <t xml:space="preserve"> Find a recipe in Nutrida that uses spices you haven’t tried before and share it with the community.</t>
    </r>
  </si>
  <si>
    <r>
      <t>Tip:</t>
    </r>
    <r>
      <rPr>
        <sz val="11"/>
        <color rgb="FF000000"/>
        <rFont val="Aptos Narrow"/>
        <family val="2"/>
      </rPr>
      <t xml:space="preserve"> Lightly toasting spices before adding them enhances their flavor and aroma.</t>
    </r>
  </si>
  <si>
    <r>
      <t>Challenge:</t>
    </r>
    <r>
      <rPr>
        <sz val="11"/>
        <color rgb="FF000000"/>
        <rFont val="Aptos Narrow"/>
        <family val="2"/>
      </rPr>
      <t xml:space="preserve"> Prepare a visually appealing “sustainable plate”: color and variety also encourage healthy habits. Share a photo with the community.</t>
    </r>
  </si>
  <si>
    <r>
      <t>Challenge:</t>
    </r>
    <r>
      <rPr>
        <sz val="11"/>
        <color rgb="FF000000"/>
        <rFont val="Aptos Narrow"/>
        <family val="2"/>
      </rPr>
      <t xml:space="preserve"> Replace an ultra-processed food in your usual menu with a fresh or plant-based alternative this week.</t>
    </r>
  </si>
  <si>
    <t>Info: ground spices lose flavor faster than whole ones; buying them whole and grinding them at home is more intense and fresh</t>
  </si>
  <si>
    <t>Challenge: adapt an international recipe using local products. Share an image with the community</t>
  </si>
  <si>
    <t>DN10</t>
  </si>
  <si>
    <t>(Reduce) food waste</t>
  </si>
  <si>
    <t>Reduce food waste</t>
  </si>
  <si>
    <t>Info: Over 1 billion tons of food are wasted every year worldwide, representing around 19% of all food available for consumption.</t>
  </si>
  <si>
    <t>Info: The use of plastic packaging in food and drinks contributes to resource consumption and pollution; choosing products with less packaging or reusable containers helps reduce plastic waste and protect the planet.</t>
  </si>
  <si>
    <t>Challenge: Next time you go to the supermarket, find a product with an excessive amount of plastic and share a photo with the rest of the community.</t>
  </si>
  <si>
    <t>Info/Tip: Save vegetable peels, stems, and food scraps to make broths, soups, or purées. This way, you reduce waste and make the most of all the nutrients.</t>
  </si>
  <si>
    <t>Challenge: Make a smoothie using ripe or nearly spoiled fruit instead of throwing it away.</t>
  </si>
  <si>
    <t>Info/Tip: Citrus peels can flavor teas, be baked into chips, or even add taste to desserts. You can freeze them for when you need them.</t>
  </si>
  <si>
    <t>Challenge: Turn stale or old bread into crumbs, toast, or croutons and use them in salads or soups. Share your recipe with the rest of the community.</t>
  </si>
  <si>
    <r>
      <t>Info/Tip:</t>
    </r>
    <r>
      <rPr>
        <sz val="11"/>
        <color rgb="FF000000"/>
        <rFont val="Aptos Narrow"/>
        <family val="2"/>
      </rPr>
      <t xml:space="preserve"> Freeze leftover herbs, citrus peels, or broths in ice cube trays and use them later for drinks.</t>
    </r>
  </si>
  <si>
    <r>
      <t>Challenge:</t>
    </r>
    <r>
      <rPr>
        <sz val="11"/>
        <color rgb="FF000000"/>
        <rFont val="Aptos Narrow"/>
        <family val="2"/>
      </rPr>
      <t xml:space="preserve"> Share your favorite leftover-based (food reuse) recipe with the rest of the community.</t>
    </r>
  </si>
  <si>
    <r>
      <t>Challenge:</t>
    </r>
    <r>
      <rPr>
        <sz val="11"/>
        <color rgb="FF000000"/>
        <rFont val="Aptos Narrow"/>
        <family val="2"/>
      </rPr>
      <t xml:space="preserve"> Bake potato or carrot peels with a little oil and spices to make crispy chips.</t>
    </r>
  </si>
  <si>
    <r>
      <t>Info/Tip:</t>
    </r>
    <r>
      <rPr>
        <sz val="11"/>
        <color rgb="FF000000"/>
        <rFont val="Aptos Narrow"/>
        <family val="2"/>
      </rPr>
      <t xml:space="preserve"> Citrus peels + herbs + cinnamon → small sachets to scent wardrobes or backpacks. Eco-friendly cooking and home tips.</t>
    </r>
  </si>
  <si>
    <r>
      <t>Challenge:</t>
    </r>
    <r>
      <rPr>
        <sz val="11"/>
        <color rgb="FF000000"/>
        <rFont val="Aptos Narrow"/>
        <family val="2"/>
      </rPr>
      <t xml:space="preserve"> Place leftover herbs or citrus peels in oil to create an aromatic dressing and make use of what you would normally throw away. Share it with the community.</t>
    </r>
  </si>
  <si>
    <t>Info/tip: blend and freeze ripe fruit in molds to make ice creams and prevent it from going to waste</t>
  </si>
  <si>
    <t>Challenge: if you practice batch cooking, share an image of your meal prep containers with the community</t>
  </si>
  <si>
    <t>DN11</t>
  </si>
  <si>
    <t>(Reach) fiber intake</t>
  </si>
  <si>
    <t>Reach fiber intake up to 25g/day</t>
  </si>
  <si>
    <t>Info: Fiber helps maintain a healthy digestive system, improves satiety, and can help prevent cardiovascular diseases.</t>
  </si>
  <si>
    <t>Challenge: Replace a usual snack with a high-fiber one (fruit, nuts, veggie sticks). Share a photo with the rest of the community.</t>
  </si>
  <si>
    <t>Info: The recommended fiber intake is approximately 25 g per day, but most young people consume much less.</t>
  </si>
  <si>
    <t>Challenge: Include an extra legume dish this week. Remember, you can get inspiration from the Nutrida app. Share a photo each time you eat legumes this week.</t>
  </si>
  <si>
    <t>Challenge: Replace a refined product in your usual meal (rice, pasta, or bread) with its whole grain version. Share a photo with the rest of the community.</t>
  </si>
  <si>
    <t>Quiz: True/False: Eating 3 pieces of fruit guarantees reaching the daily 25 g of fiber.</t>
  </si>
  <si>
    <t>Challenge: Make sure at least half of your plate contains fiber-rich plant foods during meals. Share a photo of your plate each time you meet this condition during the week.</t>
  </si>
  <si>
    <r>
      <t>Quiz:</t>
    </r>
    <r>
      <rPr>
        <sz val="11"/>
        <color rgb="FF000000"/>
        <rFont val="Aptos Narrow"/>
        <family val="2"/>
      </rPr>
      <t xml:space="preserve"> Order these foods according to the amount of fiber you think they contain: 100 g chickpeas, 100 g watermelon, 100 g almonds, 100 g nori seaweed.</t>
    </r>
  </si>
  <si>
    <r>
      <t>Info/Tip:</t>
    </r>
    <r>
      <rPr>
        <sz val="11"/>
        <color rgb="FF000000"/>
        <rFont val="Aptos Narrow"/>
        <family val="2"/>
      </rPr>
      <t xml:space="preserve"> One tablespoon of chia seeds contains 5 g of fiber—perfect for adding to smoothies, yogurt, or oats.</t>
    </r>
  </si>
  <si>
    <r>
      <t>Challenge:</t>
    </r>
    <r>
      <rPr>
        <sz val="11"/>
        <color rgb="FF000000"/>
        <rFont val="Aptos Narrow"/>
        <family val="2"/>
      </rPr>
      <t xml:space="preserve"> Adding seeds to your recipes is a great way to increase your daily fiber intake. Share a photo of your dish if you decide to try it.</t>
    </r>
  </si>
  <si>
    <r>
      <t>Challenge:</t>
    </r>
    <r>
      <rPr>
        <sz val="11"/>
        <color rgb="FF000000"/>
        <rFont val="Aptos Narrow"/>
        <family val="2"/>
      </rPr>
      <t xml:space="preserve"> Share with the community your favorite high-fiber snack: hummus, fruit, nuts, etc.</t>
    </r>
  </si>
  <si>
    <r>
      <t>Info/Tip:</t>
    </r>
    <r>
      <rPr>
        <sz val="11"/>
        <color rgb="FF000000"/>
        <rFont val="Aptos Narrow"/>
        <family val="2"/>
      </rPr>
      <t xml:space="preserve"> Seaweeds are a great source of fiber—remember you can use them to cook a wide variety of dishes.</t>
    </r>
  </si>
  <si>
    <t>Challenge: create a smoothie with at least 3 fiber-rich ingredients you have never combined before and share it</t>
  </si>
  <si>
    <t>Info/tip: eating an apple or pear with the skin before going to bed helps digestion while you sleep</t>
  </si>
  <si>
    <t>DN12</t>
  </si>
  <si>
    <t>(Read) nutrition labels</t>
  </si>
  <si>
    <t>Read nutrition labels</t>
  </si>
  <si>
    <t>Info: The ingredient list shows what the product contains and in what order; the first ingredients are the ones present in the largest amounts.</t>
  </si>
  <si>
    <t>Info: The E numbers in ingredients indicate food additives (preservatives, colorants, or stabilizers). Not all are harmful: some are natural, but reading them helps you know what you are consuming.</t>
  </si>
  <si>
    <t>Info: E330 is simply citric acid, the same as found in a natural lemon. So when you see it in juices or soft drinks, don’t worry—it just indicates it was used to add flavor or preserve naturally.</t>
  </si>
  <si>
    <t>Challenge: Share a photo with the community of a product in your pantry that has fewer than 5 ingredients.</t>
  </si>
  <si>
    <t>Info: Ingredients such as corn syrup, maltose, or dextrose are added sugars, even if they don’t seem like it. Checking the ingredient list helps you avoid them.</t>
  </si>
  <si>
    <t>Challenge: Next time you’re at the supermarket, look for products with health or nutrition claims on the packaging, such as “Low Fat,” “Source of Fiber,” or “No Added Sugar.”</t>
  </si>
  <si>
    <t>Quiz: Which of these ingredients indicates added sugar? Corn syrup, Apple, Maltose.</t>
  </si>
  <si>
    <r>
      <t>Challenge:</t>
    </r>
    <r>
      <rPr>
        <sz val="11"/>
        <color rgb="FF000000"/>
        <rFont val="Aptos Narrow"/>
        <family val="2"/>
      </rPr>
      <t xml:space="preserve"> Find a food that seemed healthy at first glance but whose label surprised you negatively (due to sugar, fats, or additives). Share the image with the community.</t>
    </r>
  </si>
  <si>
    <r>
      <t>Quiz:</t>
    </r>
    <r>
      <rPr>
        <sz val="11"/>
        <color rgb="FF000000"/>
        <rFont val="Aptos Narrow"/>
        <family val="2"/>
      </rPr>
      <t xml:space="preserve"> If one cereal has 12 g of sugar per serving and another has 8 g, which one is healthier according to the label?</t>
    </r>
  </si>
  <si>
    <r>
      <t>Challenge:</t>
    </r>
    <r>
      <rPr>
        <sz val="11"/>
        <color rgb="FF000000"/>
        <rFont val="Aptos Narrow"/>
        <family val="2"/>
      </rPr>
      <t xml:space="preserve"> Choose 3 similar products, read their labels, and rank them from healthiest to least healthy based on the nutrition information.</t>
    </r>
  </si>
  <si>
    <r>
      <t>Info/Tip:</t>
    </r>
    <r>
      <rPr>
        <sz val="11"/>
        <color rgb="FF000000"/>
        <rFont val="Aptos Narrow"/>
        <family val="2"/>
      </rPr>
      <t xml:space="preserve"> Checking fiber per serving helps you maintain your daily intake and improve satiety.</t>
    </r>
  </si>
  <si>
    <r>
      <t>Challenge:</t>
    </r>
    <r>
      <rPr>
        <sz val="11"/>
        <color rgb="FF000000"/>
        <rFont val="Aptos Narrow"/>
        <family val="2"/>
      </rPr>
      <t xml:space="preserve"> Identify a product that seems healthy but contains hidden added sugars on the label and share your discovery.</t>
    </r>
  </si>
  <si>
    <t>Quiz: a pack of cookies shows 120 kcal per serving, but it has 4 servings. How many calories are there if you eat the whole pack? a) 120 b) 240 c) 480 d) 360</t>
  </si>
  <si>
    <t>Info/tip: some products that do not seem healthy may contain hidden fiber, such as whole grain breads or cereal bars</t>
  </si>
  <si>
    <t>Mental/ Mindfulness</t>
  </si>
  <si>
    <t>Sleep</t>
  </si>
  <si>
    <t>M1 - A</t>
  </si>
  <si>
    <t>Sleeping time</t>
  </si>
  <si>
    <t>When do I sleep?</t>
  </si>
  <si>
    <t>PSQI</t>
  </si>
  <si>
    <t>question 1-4</t>
  </si>
  <si>
    <t>Become aware of why sleep is important for everyday student life (energy, focus, mood), without being asked to change sleep behavior.</t>
  </si>
  <si>
    <t>Learn what what help to feel more rested (sleep timing relates to recovery, stress, and weight regulation)</t>
  </si>
  <si>
    <t>Reflect on the personal benefits and challenges of having a more regular bedtime within your current student lifestyle.</t>
  </si>
  <si>
    <t>Explore your current sleep habits and reflect on how they may affect your daily functioning and routines.</t>
  </si>
  <si>
    <t>Identify recurring sleep patterns and triggers (e.g., late studying, screen use, weekends) that influence your bedtime.</t>
  </si>
  <si>
    <t>x</t>
  </si>
  <si>
    <t>Choose and try one or two small, realistic bedtime-related changes to your routine that you can repeat on multiple days.</t>
  </si>
  <si>
    <t>Practice going to bed slightly earlier and test what when happens to your sleep if you go to bed 15-30 minutes earlier than planned</t>
  </si>
  <si>
    <t>Maintain a relatively consistent bedtime and wake-up time across most days of the week.</t>
  </si>
  <si>
    <t>Anticipate common sleep disruptions and practice strategies to return to your routine afterward.</t>
  </si>
  <si>
    <t>M1 - B</t>
  </si>
  <si>
    <t>Sleep quality and hygiene</t>
  </si>
  <si>
    <t>What affects how well I sleep?</t>
  </si>
  <si>
    <t>question 6</t>
  </si>
  <si>
    <t>Understand what sleep hygiene is and how everyday behaviors (e.g., caffeine use, room conditions, screen exposure) influence sleep quality in young adults.</t>
  </si>
  <si>
    <t>Reflect on your current sleep quality (e.g., feeling rested, night awakenings, difficulty falling asleep) and how it affects your daily life.</t>
  </si>
  <si>
    <t>Identify personal behaviors, habits, or environmental factors that may be reducing your sleep quality (e.g., caffeine timing, stress, phone use).</t>
  </si>
  <si>
    <t>Apply and maintain small changes to your sleeping environment that support your bedtime routine.</t>
  </si>
  <si>
    <t>Plan and try small adjustments to reduce sleep-disrupting substances (e.g., caffeine, energy drinks) and/or introduce calming alternatives in the evening.</t>
  </si>
  <si>
    <t>Practice relaxation-based activities (e.g., breathing, stretching, audio guidance) before sleep and log their perceived effect on stress or sleep quality.</t>
  </si>
  <si>
    <t>Practice having a screen-free wind-down period before sleep on several evenings and log completion.</t>
  </si>
  <si>
    <t>Integrate more advanced relaxation or recovery techniques into your evening routine to support deeper and more restorative sleep.</t>
  </si>
  <si>
    <t>Maintain sleep hygiene behaviors consistently over time and adapt them to busy or stressful periods.</t>
  </si>
  <si>
    <t>M1 - C</t>
  </si>
  <si>
    <t>sleep continuity and reducing nighttime anxiety</t>
  </si>
  <si>
    <t>What keeps me asleep?</t>
  </si>
  <si>
    <t>question 5</t>
  </si>
  <si>
    <t>Learn about common nighttime struggles in young adults (e.g., racing thoughts, stress-related awakenings, vivid dreams) and why they occur</t>
  </si>
  <si>
    <t>Reflect on personal stress, emotions, and thought patterns interfere with staying asleep</t>
  </si>
  <si>
    <t>Track your sleep for several days to observe nighttime awakenings, restlessness, or difficulty falling back asleep.</t>
  </si>
  <si>
    <t>Practice getting natural daylight exposure during the day to support circadian regulation and reduce nighttime restlessness.</t>
  </si>
  <si>
    <t>Practice techniques that reduce the impact of racing thoughts before bed or after awakenings (e.g., grounding, breathing, muscle relaxation).</t>
  </si>
  <si>
    <t>Practice writing down or reframing recurring nighttime thoughts into more neutral or supportive alternatives.</t>
  </si>
  <si>
    <t>Present Centered Awareness/ Attention</t>
  </si>
  <si>
    <t>M2- A</t>
  </si>
  <si>
    <t>Body-Checking Meditation</t>
  </si>
  <si>
    <t>How can I focus my mind?</t>
  </si>
  <si>
    <t>WHOQOL-Bref</t>
  </si>
  <si>
    <t>domain 2</t>
  </si>
  <si>
    <t>Understand what present-centered awareness means and how it differs from being on “autopilot” in daily life.</t>
  </si>
  <si>
    <t>Reflect on why being more present could be relevant in your own life (e.g., stress, distraction, multitasking).</t>
  </si>
  <si>
    <t>Use one sense (e.g., hearing, touch, sight) as an anchor to the present moment for a short period and notice what that feels like.</t>
  </si>
  <si>
    <t>Gently experience present-moment awareness by noticing the breath for a short time, without trying to change it.</t>
  </si>
  <si>
    <t>Set a timer for social media (and other distraction apps)</t>
  </si>
  <si>
    <t>Practice being present while doing a daily task (like eating: by noticing taste, texture, and pace without judgment. or walking: noticing body sensations and surroundings.)</t>
  </si>
  <si>
    <t>Plan short period to put your phone away while focussing</t>
  </si>
  <si>
    <t>Practice a short, structured meditation (5 minutes) by gently moving attention through different parts of the body.</t>
  </si>
  <si>
    <t>Integrate present-moment awareness into a regular daily routine (e.g., morning, evening, or before sleep).</t>
  </si>
  <si>
    <t>Gradually extend meditation practice to 8–10 minutes to deepen attention and awareness.</t>
  </si>
  <si>
    <t>M2 - B</t>
  </si>
  <si>
    <t>Progressive Muscle Releaxation (PMR)</t>
  </si>
  <si>
    <t>How can I relax my body?</t>
  </si>
  <si>
    <t xml:space="preserve">Learn what Progressive Muscle Relaxation (PMR) is </t>
  </si>
  <si>
    <t>Reflect how stress and tension show up physically in your body</t>
  </si>
  <si>
    <t>Identify personal benefits of practicing relaxation techniques (e.g., reducing tension, improving sleep, feeling calmer).</t>
  </si>
  <si>
    <t>Try a very brief (2-minute) body scan to notice areas of tension and relaxation.</t>
  </si>
  <si>
    <t>Practice simple breath awareness exercises to prepare your body and mind for relaxation sessions.</t>
  </si>
  <si>
    <t>Experience exercises that alternately tense and release major muscle groups to understand bodily tension patterns.</t>
  </si>
  <si>
    <t>Perform a 5-minute guided PMR session, focusing on key muscle groups.</t>
  </si>
  <si>
    <t>Practice the complete PMR sequence for 10–15 minutes to reinforce skill and deepen relaxation.</t>
  </si>
  <si>
    <t>Incorporate PMR into your daily routine or during stressful situations, making it a regular, repeatable habit.</t>
  </si>
  <si>
    <t>Perform PMR independently without guidance, using learned skills to manage tension or stress.</t>
  </si>
  <si>
    <t>Reflect on PMR/meditation practice and its effects on stress, sleep, and overall wellbeing to strengthen motivation and self-awareness.</t>
  </si>
  <si>
    <t xml:space="preserve">Non-reactive and Non-judgmental Attitude </t>
  </si>
  <si>
    <t>M3 - A</t>
  </si>
  <si>
    <t>Positive and Negative Attitude</t>
  </si>
  <si>
    <t>What am I feeling?</t>
  </si>
  <si>
    <t>Notice your emotional reactions to daily thoughts and events, both positive and negative, without judgment.</t>
  </si>
  <si>
    <t>Recognize situations, people, or activities that tend to trigger positive or negative emotions in your daily student life.</t>
  </si>
  <si>
    <t>Learn the concept of “omdenken” (turning challenges into opportunities) and consider how it might apply to your daily experiences.</t>
  </si>
  <si>
    <t>Keep a short journal noting positive and negative thoughts or events from the day to increase awareness</t>
  </si>
  <si>
    <t>Practice flip-think exercises with made-up situations and plan how you could apply them</t>
  </si>
  <si>
    <t>Learn and practice short breathing exercises or grounding techniques to manage negative emotions in the moment.</t>
  </si>
  <si>
    <t>Actively notice and savor positive moments throughout the day (e.g., small successes, enjoyable interactions).</t>
  </si>
  <si>
    <t>Practice creating mental distance from negative thoughts by noticing them (e.g., “I notice the thought that I failed”) and accepting that it is okay to feel this way.</t>
  </si>
  <si>
    <t>Practice flip-think exercises whenever you feel stressed or down to regulate emotions in the moment.</t>
  </si>
  <si>
    <t>Regularly practice noticing, savoring, or generating positive emotions in daily life, even during minor challenges, and write them down as a gratitude journal</t>
  </si>
  <si>
    <t>Deepen your ability to observe emotions as they arise without immediately reacting, maintaining calm and clarity across situations.</t>
  </si>
  <si>
    <t>M3 -B</t>
  </si>
  <si>
    <t xml:space="preserve"> Cognitive Experiences and Biases</t>
  </si>
  <si>
    <t>What am I thinking?</t>
  </si>
  <si>
    <t>Create awareness of your mental activity</t>
  </si>
  <si>
    <t>Observe how your attention shifts throughout the day</t>
  </si>
  <si>
    <t>Understand the idea of decentering from thoughts and emotions: noticing them as passing experiences that do not define you.</t>
  </si>
  <si>
    <t>Practice mindful observation of thoughts for a few minutes and label the mental experiences (sensations, thoughts)</t>
  </si>
  <si>
    <t>Minimize exposure to unnecessary negative triggers</t>
  </si>
  <si>
    <t>Manage strong emotions (like stress) in the moment using breath and deconstruction (make a mind-map)</t>
  </si>
  <si>
    <t>Log moments when you handled a challenge well or accomplish something</t>
  </si>
  <si>
    <t>Deconstruct a recent experience by examining attention, sensations, feelings, thoughts, and perceptions</t>
  </si>
  <si>
    <t>Identify biases in your experiences (assumptions, jumping to conclusions)</t>
  </si>
  <si>
    <t>Integrate decentering into daily routine</t>
  </si>
  <si>
    <t>Periodically reflect on cognitive patterns, biases, and attention</t>
  </si>
  <si>
    <t>Wholesome and Pro-Social Mental Habits</t>
  </si>
  <si>
    <t>M4 - A</t>
  </si>
  <si>
    <t>Kindness &amp; Appreciation</t>
  </si>
  <si>
    <t>How to be kind to myself?</t>
  </si>
  <si>
    <t>domain 3</t>
  </si>
  <si>
    <t>Explore why cultivating kindness, compassion, and appreciation can improve wellbeing for yourself and others.</t>
  </si>
  <si>
    <t>Observe examples of kindness and appreciation around you (friends, family, classmates, strangers).</t>
  </si>
  <si>
    <t>Reflect on what makes it hard for you to practice kindness or appreciation regularly (e.g., stress, time, shyness).</t>
  </si>
  <si>
    <t>Begin cultivating kindness toward yourself, e.g., journaling things you like about yourself or noticing positive aspects of your environment.</t>
  </si>
  <si>
    <t>Perform a short loving-kindness meditation focused on yourself to strengthen positive self-emotions.</t>
  </si>
  <si>
    <t>Perform small acts of kindness toward others (e.g., give a compliment, hold the door, send a positive message).</t>
  </si>
  <si>
    <t>Engage in slightly more involved acts of appreciation (e.g., active listening, telling someone how they make you feel).</t>
  </si>
  <si>
    <t>Practice pro-social habits with people you don’t know (e.g., smile, small acts of kindness, expressing appreciation).</t>
  </si>
  <si>
    <t>Develop a plan for continuing kindness and appreciation practices long-term (self, friends, classmates).</t>
  </si>
  <si>
    <t>Regularly reflect on and journal acts of kindness, appreciation, and compassion, and how they make you feel.</t>
  </si>
  <si>
    <t>M4 - B</t>
  </si>
  <si>
    <t>Exchange with friends</t>
  </si>
  <si>
    <t>How to be kind to others?</t>
  </si>
  <si>
    <t>Notice how often and in what ways you interact with friends, family, and peers, and reflect on your current social habits.</t>
  </si>
  <si>
    <t>Reflect on the Value of Pro-Social Habits in Relationships and what you like in your friends and family</t>
  </si>
  <si>
    <t>Reflect on what makes it difficult to form stronger bonds with important people (e.g., time, distance, shyness, scheduling conflicts).</t>
  </si>
  <si>
    <t>Identify opportunities to express kindness or appreciation to others (friends, peers, family) or simple social activities you can do</t>
  </si>
  <si>
    <t>Reflect what went well and what you can do in difficult conversations (pause, notice reactions, breathing)</t>
  </si>
  <si>
    <t>Begin reaching out to friends or family with simple messages (e.g., asking how they are, sharing a positive moment).</t>
  </si>
  <si>
    <t>Engage in meaningful in-person interactions</t>
  </si>
  <si>
    <t>Organize planned social activity with friends, family, or classmates.</t>
  </si>
  <si>
    <t>Maintain a routine of checking in with friends/family or scheduling social activities weekly.</t>
  </si>
  <si>
    <t>Gradually engage with acquaintances or join group activities to broaden your support network.</t>
  </si>
  <si>
    <t>Seasonal Waves</t>
  </si>
  <si>
    <t>Conditions</t>
  </si>
  <si>
    <t>Wave</t>
  </si>
  <si>
    <t>Behavioral Change Variable</t>
  </si>
  <si>
    <t>Type of activity</t>
  </si>
  <si>
    <t>Task No.</t>
  </si>
  <si>
    <t>Task Code</t>
  </si>
  <si>
    <t>Task Type</t>
  </si>
  <si>
    <t>SDT - Competence</t>
  </si>
  <si>
    <t>SDT - Autonomy</t>
  </si>
  <si>
    <t>SDT - Relatedness</t>
  </si>
  <si>
    <t>Task Title</t>
  </si>
  <si>
    <t xml:space="preserve">Task Title (ES) </t>
  </si>
  <si>
    <t>TargetGroup</t>
  </si>
  <si>
    <t>Description</t>
  </si>
  <si>
    <t>Description (ES)</t>
  </si>
  <si>
    <t>Columna1</t>
  </si>
  <si>
    <t>Columna2</t>
  </si>
  <si>
    <t>Notes for configuration</t>
  </si>
  <si>
    <t>Notes for configuration (ES)</t>
  </si>
  <si>
    <t>Reward count (max_times_fired)</t>
  </si>
  <si>
    <t>Timeframe ( in days) to reset reward count (min_days_to_fire)</t>
  </si>
  <si>
    <t>Requirement - Image</t>
  </si>
  <si>
    <t>Requirement - Text</t>
  </si>
  <si>
    <t>Requirement - Other</t>
  </si>
  <si>
    <t>Allowed Activity Type</t>
  </si>
  <si>
    <t xml:space="preserve">Conditions - Property </t>
  </si>
  <si>
    <t>Conditions - Operator</t>
  </si>
  <si>
    <t>Conditions - Value</t>
  </si>
  <si>
    <t>Points</t>
  </si>
  <si>
    <t>Data providers</t>
  </si>
  <si>
    <t>Current Status</t>
  </si>
  <si>
    <t>Main</t>
  </si>
  <si>
    <t>PC</t>
  </si>
  <si>
    <t>Survey Question</t>
  </si>
  <si>
    <t>A Quick Activity Check</t>
  </si>
  <si>
    <t xml:space="preserve">We're curious about your typical daily activity level. On average, how many steps do you think you take each day? Don't worry about being precise—just a rough estimate is perfect. </t>
  </si>
  <si>
    <t>Question Options: [ 2000-4000; 4000-6000; 6000 - 8000; I have never checked/ I have no idea]</t>
  </si>
  <si>
    <t>Tracking your activity?</t>
  </si>
  <si>
    <t>Many people find it helpful to track their daily steps or activity levels to get a better understanding of their movement. Do you currently use a fitness tracker, smartphone app, or any other method to monitor your daily activity?</t>
  </si>
  <si>
    <t>Question Options: [Yes, I track my activity regularly; Yes, but I don't track it regularly; No, I don't track my activity]</t>
  </si>
  <si>
    <t>C</t>
  </si>
  <si>
    <t>Info Tip</t>
  </si>
  <si>
    <t>Every Step Counts</t>
  </si>
  <si>
    <t xml:space="preserve">Even small increases in your daily steps can significantly impact your health. Taking at least 2,300 steps per day lowers your risk of heart disease, and for every 500 extra steps, that risk drops even further! Imagine the benefits of adding a few more walks to your day. </t>
  </si>
  <si>
    <t>Info Tip - Activity Log</t>
  </si>
  <si>
    <t>Discover the Power of Tracking</t>
  </si>
  <si>
    <t>Simply tracking your daily activity can be a game-changer! It helps you find small ways to move more, set realistic goals, and celebrate your progress. It’s about understanding your habits and making small changes that add up. This week try to keep some track on your step count by using any of the tools you have at hand (e.g. Garmin, smartphone). Feel free to report on the description of this task.</t>
  </si>
  <si>
    <t>P</t>
  </si>
  <si>
    <t>Instruction: Tutorial (Video)</t>
  </si>
  <si>
    <t>Get started with the HW8 Watch App</t>
  </si>
  <si>
    <t>Are you ready to start tracking your steps with your Garmin Watch? Watch the video, which will guide you through the basics of tracking steps with your Garmin and the HW8 Watch App.</t>
  </si>
  <si>
    <t>Video on HW8 Watch App Instructions</t>
  </si>
  <si>
    <t>Video</t>
  </si>
  <si>
    <t>Activity Log (Automatic)</t>
  </si>
  <si>
    <t>Self- Monitoring</t>
  </si>
  <si>
    <t>Your First Steps with HW8 Watch App</t>
  </si>
  <si>
    <t>By monitoring your activity and tracking your steps, you’ll not only gain health benefits but you can also earn points! Log your steps for the first time. Try to reach at least 100 steps by taking a very short walk and syncing the app.</t>
  </si>
  <si>
    <t>DAY_AGGREGATE</t>
  </si>
  <si>
    <t>STEPS_SUM</t>
  </si>
  <si>
    <t>STRICTLY_GREATER</t>
  </si>
  <si>
    <t>Garmin</t>
  </si>
  <si>
    <t>A</t>
  </si>
  <si>
    <t>Step Into Action</t>
  </si>
  <si>
    <t xml:space="preserve">Let's get moving! Your first challenge is to reach and log 4,000 steps. This is a great starting point to build a habit of walking and moving throughout the day. </t>
  </si>
  <si>
    <t>Info Box: [ Tip: Break it down by taking short walks, such as during breaks or after meals.]</t>
  </si>
  <si>
    <t>TBD</t>
  </si>
  <si>
    <t>Steppin' Up</t>
  </si>
  <si>
    <t xml:space="preserve">Great job on hitting 4,000 steps last time! Now it's time to challenge yourself with 6,000 steps. This will help build stamina while continuing your daily movement. </t>
  </si>
  <si>
    <t>Info Box: [Tip: You can break it into smaller chunks, like a 10-minute walk in the morning, another in the afternoon, and an evening stroll.]</t>
  </si>
  <si>
    <t>Stepping Strong</t>
  </si>
  <si>
    <t xml:space="preserve">You've made great progress, so let’s raise the bar to 8,000 steps! This will increase your endurance and keep you on track toward a more active lifestyle. </t>
  </si>
  <si>
    <t>Info Box: ["Tip: If you don’t have time for a long walk, try breaking it down into shorter bursts—aim for 3-4 walks throughout the day."]</t>
  </si>
  <si>
    <t>Keep Stepping</t>
  </si>
  <si>
    <t>You're doing fantastic! Now, let's go for 9,000 steps. This is a solid goal that will challenge your endurance while making you feel accomplished.</t>
  </si>
  <si>
    <t>Info Box: ["Tip: Take a longer walk, like a 30-minute stroll around your neighborhood, to help boost your step count."]</t>
  </si>
  <si>
    <t>M</t>
  </si>
  <si>
    <t>Daily Momentum</t>
  </si>
  <si>
    <t>Now that you’ve reached 4,000 steps, let’s try to make it a daily habit! Challenge yourself to hit this goal at least 5 days a week. Remember, life happens – if you miss a day, don’t worry! Just focus on getting back on track tomorrow.</t>
  </si>
  <si>
    <t>Info Box: ["Tip: Consider taking the stairs instead of the elevator or walking to nearby destinations instead of driving."]</t>
  </si>
  <si>
    <t>Consistent Steppin'</t>
  </si>
  <si>
    <t>You’ve successfully stepped up to 6,000 steps! Now it's time to build consistency. Aim to reach this goal on at least 5 days this week, turning it into a regular part of your routine. Don't let a busy day derail you - find small pockets of time to add steps.</t>
  </si>
  <si>
    <t>Info Box: ["Tip: Add an extra 5-minute walk in the morning and after lunch to help you reach your goal."]</t>
  </si>
  <si>
    <t>Sustained Strength</t>
  </si>
  <si>
    <t>Amazing work reaching 8,000 steps! To maintain this progress, focus on incorporating walking into your daily life. Aim to hit 8,000 steps on 5 days this week. Schedule short walks throughout the day, and remember that even a little extra effort can make a big difference.</t>
  </si>
  <si>
    <t>Info Box: ["Tip: Try parking a little farther away or leaving a bus stop farther from your destination to get some extra steps in."]</t>
  </si>
  <si>
    <t>Daily Drive</t>
  </si>
  <si>
    <t>You've made it to the final step goal! Now, focus on sustaining this momentum. Challenge yourself to reach 9,000 steps on at least 5 days this week. Treat your daily walk as a non-negotiable appointment, and celebrate your successes along the way. Remember to be kind to yourself and adjust as needed!</t>
  </si>
  <si>
    <t>Info Box: ["Tip: Take the opportunity to walk to a nearby park, explore a new area, or go for a walk with a friend."]</t>
  </si>
  <si>
    <t>PA2</t>
  </si>
  <si>
    <t>PA2 - A</t>
  </si>
  <si>
    <t>Open Question</t>
  </si>
  <si>
    <t>Walking Habits</t>
  </si>
  <si>
    <t>If you could fit a short 10-minute walk into your day (today), what are the moments when you could potentially fit in a short walk?</t>
  </si>
  <si>
    <t>Walking Barriers</t>
  </si>
  <si>
    <t>What prevents you from walking more during the day?</t>
  </si>
  <si>
    <t>Question Options: [Lack of time, Weather, Distance to destinations, Discomfort, Prefer other activities, Other]</t>
  </si>
  <si>
    <t>Walking calories away</t>
  </si>
  <si>
    <t>Did you know that ?</t>
  </si>
  <si>
    <t>Real people, Real walks</t>
  </si>
  <si>
    <t>Studying, working, family, friends. How do I fit activity in? Watch the next video to get some of ideas on how to incorporate some movement by integrating short walks into your daily life</t>
  </si>
  <si>
    <t>Short snippets of people describing how they integrate walking into their busy lives (e.g., walking during lunch breaks, walking meetings).</t>
  </si>
  <si>
    <t>Instruction</t>
  </si>
  <si>
    <t>Walk Scheduling</t>
  </si>
  <si>
    <t>In the last level you identified some moments when you could fit in a short walk. Use it as inspiration and schedule in at least one short 10-minute walk this week</t>
  </si>
  <si>
    <t>Friend Walking</t>
  </si>
  <si>
    <t xml:space="preserve">If you are already scheduling short walks, why don't you try to bring a friend in? Schedule a walking meeting with a friend for a walk into the park or for a walk in the city. </t>
  </si>
  <si>
    <t>Activity Log</t>
  </si>
  <si>
    <t>15-Minute Stroll</t>
  </si>
  <si>
    <t xml:space="preserve">Start with an easy and relaxed 15-minute walk. Pick a nearby location (e.g. park, café, supermarket, Mensa) and walk there. The goal is to make walking a habit, starting with short, manageable distances. </t>
  </si>
  <si>
    <t>Swap Drive for Walk</t>
  </si>
  <si>
    <t>Ditch the drive! Make a conscious decision to walk instead of driving (car or public transportation). Choose a short trip that you usually take by car (or public transportation) and switch it for a walk. This could be going to the store, visiting a friend, or a local errand. Pick a trip that would normally take you 5-10 minutes by car or public transportation. Instead, walk to your destination (~30 minutes)</t>
  </si>
  <si>
    <t>Exploring Walking Joy</t>
  </si>
  <si>
    <t>You are getting used to the walking vibe. Now pick a route that you’ve never walked before, and explore it for about 60 minutes. It can be a beautiful park nearby or exploring the streets of a neighborhood you have not been so often in before. Use this time to enjoy new sights, discover interesting places, or simply take in the fresh air.</t>
  </si>
  <si>
    <t>Weekend Trip</t>
  </si>
  <si>
    <t>Time for a weekend adventure! Go for a weekend mini-trip (Ausflug) involving at least 75 minutes of walking. Explore a nearby town, hike a scenic trail, or visit a local attraction. Pack a lunch, bring a friend, and enjoy a full day of discovery!</t>
  </si>
  <si>
    <t>Daily Walking Doses</t>
  </si>
  <si>
    <t>Now, let’s make 15-minute walks a habit! Aim to do short 15-minute walks at least 3 times per week.</t>
  </si>
  <si>
    <t>Info Box: [Tip: Get off at an earlier bus stop, explore a new section of your neighborhood, or take a scenic route to your favorite coffee shop]</t>
  </si>
  <si>
    <t xml:space="preserve">Active Traveling </t>
  </si>
  <si>
    <t>Now that you have made the decision of swapping on car/public transport for short routes. Try to implement this more often into your daily routine. Aim to swap at least 3 times per week.</t>
  </si>
  <si>
    <t>Weekly Discovery Walk</t>
  </si>
  <si>
    <t>Continue exploring new routes for 60 minutes at least twice per week. Make it a weekly ritual to discover new parts of your city or enjoy the beauty of nature.</t>
  </si>
  <si>
    <t>Info Box:[Tip:  It is way easier when bringing a friend. Consider meeting and catching up with freinds over a walk]</t>
  </si>
  <si>
    <t>Make daily walking a non-negotiable part of your weekly routine. Schedule weekly walks to explore nature, meet with friends or  choose walking to your destinations as much as possible. Consistency is key! Your goal is to get at least 30 minutes of walking activity 5 times per week.</t>
  </si>
  <si>
    <t xml:space="preserve">PA3 </t>
  </si>
  <si>
    <t>Quiz</t>
  </si>
  <si>
    <t>What is your sitting score?</t>
  </si>
  <si>
    <t xml:space="preserve"> Let’s explore your daily sitting habits! Answer these quick questions to get a sense of how much time you spend seated and get your sitting score.</t>
  </si>
  <si>
    <t>Quiz: see quizzes (H5P Content)</t>
  </si>
  <si>
    <t>H5P_GENERAL</t>
  </si>
  <si>
    <t>Question (True -False)</t>
  </si>
  <si>
    <t>Myth vs. Fact</t>
  </si>
  <si>
    <t>Myth or Fact? Let's test if you can spot the myths or common misconceptions on sitting, stretching, and movement. Statement: "Stretching needs to take a long time to be effective"</t>
  </si>
  <si>
    <t>Question Options: [Yes; No]; Text after answer: [ Fact: Even 2-minute stretches can provide big benefits"]</t>
  </si>
  <si>
    <t>Tip</t>
  </si>
  <si>
    <t>Stay Active At Your Workspace</t>
  </si>
  <si>
    <t>Long sitting sessions can take a toll on your health, increasing the risk of chronic conditions. But don't worry – even small changes can make a big difference! Here are some ideas to stay active throughout your day:
Set an Alarm: Use a phone or fitness tracker to remind you to stand up.
Stretch It Out: Try light stretches to improve circulation and relieve tension.
Walk and Talk: Take calls while walking or pace during brainstorms.
Desk Hacks: Use a standing desk or improvise by propping your laptop on a raised surface.</t>
  </si>
  <si>
    <t>Activity Log (Photo)</t>
  </si>
  <si>
    <t>Quick Fix</t>
  </si>
  <si>
    <t xml:space="preserve">Take a quick check of your workspace! Then, find one small thing you can adjust right now to encourage a little more movement. This could be moving your water bottle slightly further away so you have to get up to refill it. Maybe also a small reminder note on your monitor to stand up and stretch every hour. Get creative :)
Share a photo of the quick fix you made! </t>
  </si>
  <si>
    <t>Set Activity reminders with your Garmin</t>
  </si>
  <si>
    <t>You can use your Garmin for an extra nudge in order to get more active- The next video will show you how to easily do that:</t>
  </si>
  <si>
    <t>Video on reminder configuration</t>
  </si>
  <si>
    <t xml:space="preserve">Active Reminder to Move	
</t>
  </si>
  <si>
    <t>Select one of the recommended activities, set a reminder on your phone or use the one from your Garmin. Once you get the reminder, go for it! Add a little extra movement to your day. You will be surprised how easy it can be.</t>
  </si>
  <si>
    <t>Video on Active Pause examples</t>
  </si>
  <si>
    <t>Neck Release</t>
  </si>
  <si>
    <t>Take a moment to release tension in your neck! Perform gentle neck tilts to relieve stiffness. Slowly tilt your head to the right, bringing your ear towards your shoulder. Hold for 15 seconds. Repeat on the left side. Repeat 2 times each side.</t>
  </si>
  <si>
    <t>Add Video</t>
  </si>
  <si>
    <t xml:space="preserve">Shoulder Rolls </t>
  </si>
  <si>
    <t>Loosen up your shoulders! Perform shoulder rolls to relieve tension and improve your posture.Slowly roll your shoulders forward in a circular motion for 30 seconds. Then, reverse the direction and roll them backward for 30 seconds.</t>
  </si>
  <si>
    <t>Wrist Stretch</t>
  </si>
  <si>
    <t xml:space="preserve">Give your hands a break! These wrist stretches help prevent strain and improve flexibility. Extend one arm forward, palm facing up. Gently bend your wrist downwards with your other hand. Hold for 15 seconds. Repeat with palm facing down, bending wrist upwards. Repeat on the other arm. </t>
  </si>
  <si>
    <t>Add Video; Info Box: [ Tip: For an extra stretch you can add a finger stretch: Make a fist then open it widely and repeat 5 times]</t>
  </si>
  <si>
    <t>Torso Twist</t>
  </si>
  <si>
    <t>Improve your spinal mobility with a gentle seated torso twist! This stretch can help relieve back tension and improve posture. Sit tall in your chair. Gently twist your torso to the right, holding onto the back of your chair for support. Hold for 15 seconds. Repeat on the left side. Repeat 2 times each side.</t>
  </si>
  <si>
    <t>Microbreak Starter</t>
  </si>
  <si>
    <t>Take a 1-minute stretching break at least three times today. You can maybe use the neck tilt or any stretch that you like.</t>
  </si>
  <si>
    <t>Info Box: [Remember to maybe set your garmin to help you with the reminders]</t>
  </si>
  <si>
    <t>Microbreak Builder</t>
  </si>
  <si>
    <t xml:space="preserve">Take a 2-minute stretching break at least three times today. You can combine some of the stretches you have learned so far or add some of your favorites. </t>
  </si>
  <si>
    <t>Microbreak Master</t>
  </si>
  <si>
    <t>Take a 2-3 minute stretching break (choose 3-4 different stretches) at least five times today</t>
  </si>
  <si>
    <t>Microbreak Champion</t>
  </si>
  <si>
    <t>Consistently take 7+ stretching breaks throughout your workday, each lasting 2-3 minutes, choosing a variety of stretches, whatever suits you best at the moment</t>
  </si>
  <si>
    <t>Info Box: [Set up your Garmin reminders to reach your goal]</t>
  </si>
  <si>
    <t>Take a walk around your office working space when you are having a phone call or responding to a text</t>
  </si>
  <si>
    <t>PA3-B</t>
  </si>
  <si>
    <t xml:space="preserve">Think about something you reach to fairly often when working/studying (e.g.phone, printer). If possible, position it further away from your desk or workspace. This will require you to stand up every time you have to get it. Test it once! </t>
  </si>
  <si>
    <t>Take the longer route to your coffee or water refill</t>
  </si>
  <si>
    <t>Stand -up Stretching</t>
  </si>
  <si>
    <t>Stand up and do some stretch exercises. You can use some of the ones that we have recommended you (e.g., neck tilts, torso twist) or you can mix it up adding your favorite ones. The main thing as you take a stand-up &amp; move break.</t>
  </si>
  <si>
    <t>Stand &amp; Break</t>
  </si>
  <si>
    <t>Aim to take at least 3 short breaks to stand and move throughout your workday. No specific duration required – listen to your body. We recommend to make them around 2-minutes so that your body can fully benefit from the movement</t>
  </si>
  <si>
    <t>Info Box: [Set up a timer or use your garmin]</t>
  </si>
  <si>
    <t>Standing Intervals</t>
  </si>
  <si>
    <t>Try to incorporate at least 10 minutes of standing throughout your workday, broken up into smaller chunks. Maybe you can have 5 short breaks of 2 minutes each, or 2 short breaks of 5 minutes. You can adapt it to your times, but try to reach your 10-minute goal.</t>
  </si>
  <si>
    <t xml:space="preserve">Home Activity </t>
  </si>
  <si>
    <t>Think about a typical weekend day. What activities do you usually do around the house? (e.g., laundry, cooking, gardening). Just list a them in the description box – no need to judge whether they're 'exercise' or not!</t>
  </si>
  <si>
    <t>Chore Energy</t>
  </si>
  <si>
    <t>What was the last household chore you completed? Whether it was making your bed, cleaning, or gardening. Rate how tired or strained you felt after completing that chore (1 = Not at all, 5 = Extremely)</t>
  </si>
  <si>
    <t>Home Sweet Workout</t>
  </si>
  <si>
    <t>Curious about how your everyday chores can actually boost your health? This quick quiz will test your knowledge of the surprising benefits of moving more around the house! Let's see what you know!</t>
  </si>
  <si>
    <t>Add multiple-choice Quiz</t>
  </si>
  <si>
    <t>Info Tip (Video)</t>
  </si>
  <si>
    <t>Household Movement Hacks</t>
  </si>
  <si>
    <t xml:space="preserve"> Turn your chores into a workout! Watch the video to discover simple ways to boost your daily activity levels while tackling your to-do list.</t>
  </si>
  <si>
    <t>Chore Planning</t>
  </si>
  <si>
    <r>
      <rPr>
        <sz val="11"/>
        <color rgb="FF000000"/>
        <rFont val="Aptos Narrow"/>
        <scheme val="minor"/>
      </rPr>
      <t xml:space="preserve">This week, create a realistic chore plan. List 3 chores you'll tackle, specifying </t>
    </r>
    <r>
      <rPr>
        <i/>
        <sz val="11"/>
        <color rgb="FF000000"/>
        <rFont val="Aptos Narrow"/>
        <scheme val="minor"/>
      </rPr>
      <t xml:space="preserve">when </t>
    </r>
    <r>
      <rPr>
        <sz val="11"/>
        <color rgb="FF000000"/>
        <rFont val="Aptos Narrow"/>
        <scheme val="minor"/>
      </rPr>
      <t xml:space="preserve">you'll do them and for </t>
    </r>
    <r>
      <rPr>
        <i/>
        <sz val="11"/>
        <color rgb="FF000000"/>
        <rFont val="Aptos Narrow"/>
        <scheme val="minor"/>
      </rPr>
      <t>how long</t>
    </r>
    <r>
      <rPr>
        <sz val="11"/>
        <color rgb="FF000000"/>
        <rFont val="Aptos Narrow"/>
        <scheme val="minor"/>
      </rPr>
      <t xml:space="preserve">. </t>
    </r>
  </si>
  <si>
    <t>Clean Beats</t>
  </si>
  <si>
    <t xml:space="preserve"> Create a playlist of upbeat, energizing music to listen to while you do your chores. Share one song in the description that you recommend or the one that powered you through your last cleaning session. Let’s build the ultimate chore playlist together!</t>
  </si>
  <si>
    <t>Tidying Up</t>
  </si>
  <si>
    <t xml:space="preserve">Start with a basic, 10-minute cleaning session, you planned it! Get yourself moving and start using your muscles for activities like bending, stretching, and walking around. Tasks can include picking up clutter, making the bed, folding laundry, or any of the tasks on your to-do list.
</t>
  </si>
  <si>
    <t>Scrub and Sweep</t>
  </si>
  <si>
    <t>Step up the intensity by doing activities like vacuuming, sweeping, mopping and scrubbing floors. These tasks require more effort, working both your arms and legs, and keep your body moving for a longer time.</t>
  </si>
  <si>
    <t>Deep-Clean</t>
  </si>
  <si>
    <t>Deep cleaning the kitchen, the bathroom or the windows is a great way to get your body working! This task involves scrubbing, wiping, and reaching—plus a bit of lifting if you clean under and around appliances or cabinets. Include tasks like washing dishes, scrubbing countertops, cleaning the oven, wiping down surfaces or washing windows.</t>
  </si>
  <si>
    <t>Reorganize and Lift</t>
  </si>
  <si>
    <t>Spend 30 minutes reorganizing a room or space, which might involve moving furniture, lifting boxes, or decluttering shelves. Engage your core, legs, and arms as you move heavier items.</t>
  </si>
  <si>
    <t>Discover the advantages of Inline Skating</t>
  </si>
  <si>
    <t>Are you ready to discover the effect inline skating can have for your life? Watch the video, which will guide you through the healthadvantages inline skating can have for you.</t>
  </si>
  <si>
    <t>Fact Check</t>
  </si>
  <si>
    <t xml:space="preserve">Release the power of movement and online skating facts </t>
  </si>
  <si>
    <t>Get ready to mark a surprising fact you didn't have in mind concerning inline skating</t>
  </si>
  <si>
    <t xml:space="preserve"> Read an interesting success story</t>
  </si>
  <si>
    <t>In the following read the true story example about mia carefully: After ten years without skating, Mia strapped on her inline skates again and immediately felt her muscles waking up to the unfamiliar effort. Within just a few weeks, her endurance returned, her legs grew stronger, and the stiffness in her back noticeably eased. Each training session brought clear improvements—deeper breathing, better coordination, and a much more stable body. Even her sleep became more restful because her body was finally being challenged again. After struggling with physical difficulties for so long, this kind of movement did her exceptionally well, and when she finally glided effortlessly across a long stretch, she knew she had given her body something it had been missing for years.</t>
  </si>
  <si>
    <t>Are you right on the verge of starting inline skating?</t>
  </si>
  <si>
    <t>a motivating quiz about the pros and cons of starting inline skating, designed to explore different reasons for (or against) getting into the sport — fun, reflective, and encouraging at the same time- checking the attitude towards benefits of inline skating</t>
  </si>
  <si>
    <t>Add Quiz</t>
  </si>
  <si>
    <t>1 minute safety video for your physical integrity</t>
  </si>
  <si>
    <t>Watch this short video about safety, fall-technique and more...</t>
  </si>
  <si>
    <t>Checklist</t>
  </si>
  <si>
    <t>Material Checklist inline skating</t>
  </si>
  <si>
    <t>Tick the boxes when you considered about where you can get the material or already have the material in order to start inline skating</t>
  </si>
  <si>
    <t>Add Checklist</t>
  </si>
  <si>
    <t>Walk - Run Interval</t>
  </si>
  <si>
    <t>Start slowly! Alternate between 1 minute of jogging and 2 minutes of walking for a total of 15 minutes. Focus on finding a comfortable pace</t>
  </si>
  <si>
    <t>Info Box: [Tip: Use your Garmin Watch to keep track of the timing of your intervals]</t>
  </si>
  <si>
    <t>Increased Jogging Intervals</t>
  </si>
  <si>
    <t>Alternate between 2 minutes of jogging and 1 minute of walking for a total of 20 minutes.</t>
  </si>
  <si>
    <t>Steady-State Jog</t>
  </si>
  <si>
    <t>Jog at a comfortable pace for 20 minutes without stopping.</t>
  </si>
  <si>
    <t>Steady Jog Level Up</t>
  </si>
  <si>
    <t>Jog at a comfortable pace for 30 minutes without stopping.</t>
  </si>
  <si>
    <t>PA4 - E</t>
  </si>
  <si>
    <t>Unlock the various benefits of swimming</t>
  </si>
  <si>
    <t>Watch this short awareness video of swimming beginners and try to think about advantages swimming may have for you in camparison to other activitys.</t>
  </si>
  <si>
    <t>Reflect your associations developed by the video of swimming</t>
  </si>
  <si>
    <t>Which aspects of the video you just watched felt pleasant an calming ? What associations you had ? What do you liked more and what less?</t>
  </si>
  <si>
    <t>Personalization/Customization</t>
  </si>
  <si>
    <t>Don't underestimate the wall sit!</t>
  </si>
  <si>
    <t>Shortly read this key benefits a wall sit can provide to your healthiness:
The wall sit offers three major benefits for your physical health: it strengthens your quadriceps and glute muscles, improves knee and core stability, and significantly boosts muscular endurance. Because your body has to hold a steady position, the exercise builds control and resilience that carries over into everyday movement and sports. With no equipment needed and quick results, the wall sit is a simple but highly effective way to enhance your overall fitness.</t>
  </si>
  <si>
    <t>Question</t>
  </si>
  <si>
    <t>Ever heard of the wall sit ?</t>
  </si>
  <si>
    <t xml:space="preserve"> Doing a Wall sit builds up your lower body strength an endurance and improves posture and core stability-muscles that are used daily and are under constant strain. Have you ever heard of the wall sit exercise, or have you ever done it ?</t>
  </si>
  <si>
    <t>Question Options: [Yes, I have already did the exercise; Yes, I do know the exercise, but i never did it yet; No, I have never did the exercise bevor and i also never heard of it.]</t>
  </si>
  <si>
    <t>Implementing the Wall Sit</t>
  </si>
  <si>
    <t>Implementing the wall sit is really everyday friendly. Espacially in the winter you can do it at home easily. You will just need a free wall and some space around it.The wall sit strengthens key lower-body muscles (muscles many people dont train enough and tending to suffer pain later on because of underdeveloped muscles in this area) and improves joint stability, supporting better posture and everyday movement. It also enhances muscular endurance, which contributes to long-term health and injury prevention.</t>
  </si>
  <si>
    <t>PA5-E</t>
  </si>
  <si>
    <t>Quiz Wall Sit</t>
  </si>
  <si>
    <t>What health benefits can you gain from regularly including the wall sit in your long-term training?</t>
  </si>
  <si>
    <t>A) Improved leg strength, better joint stability, and increased muscular endurance (correct)
B) Faster sprint speed and improved throwing strength
C) Increased flexibility in the shoulders and arms
D) Only improved balance without any strength benefits</t>
  </si>
  <si>
    <t>Instruction: Tutorial (Video) and Action log</t>
  </si>
  <si>
    <t>Activating the wall sit by yourself</t>
  </si>
  <si>
    <t>Go into action: move into the starting position for the wall sit exercise, as shown in the video. Your first wall sit looks great — strong form, steady posture, just like in the video.
Now hold that position for at least 5 seconds (You can also hold that position longer if you want to). You’ve got this! Stay focused, stay powerful, and feel your strength building with every second. Keep going!</t>
  </si>
  <si>
    <t>Video on Wall Sit Tutorial</t>
  </si>
  <si>
    <t>Self Monitoring</t>
  </si>
  <si>
    <t>Improve your key lower-body muscles by doing the wall sit</t>
  </si>
  <si>
    <t xml:space="preserve">„It’s action time“ Let's see how well you can remember the wall sit. Go into the starting position and try to hold the wall sit for 15 seconds if you can (No worries if you don't, every second is a progress). You’ve got this! Stay focused! If it is easier for you instead of counting to ten you can focus on your breathing. Take 7 slow breaths in and out, nice and calm, controlled. Great job! You just successfully completed a new exercise that’s excellent for your overall muscle strength. Not only does it build stability, but it’s also </t>
  </si>
  <si>
    <t>Info Box:[Tip:For your own health. Have in mind:Keep your back flat against the wall, feet hip-width apart, and lower yourself until your knees form a 90-degree angle directly above your ankles. Hold the position by engaging your core and keeping your thighs parallel to the ground without letting your hips slide down.]</t>
  </si>
  <si>
    <t>Yes</t>
  </si>
  <si>
    <t>„It’s action time“ Let's see how well you can remember the wall sit. Go into the starting position and try to hold the wall sit for 10 seconds if you can (No worries if you don't, every second is a progress). You’ve got this! Stay focused! If it is easier for you instead of counting to ten you can focus on your breathing. Take 5 slow breaths in and out, nice and calm, controlled. Great job! You just successfully completed a new exercise that’s excellent for your overall muscle strength. Not only does it build stability, but it’s also fantastic for injury prevention — keep up the amazing work!</t>
  </si>
  <si>
    <t>Enhance your wall sit performance</t>
  </si>
  <si>
    <t>Great job on hitting the wall sit for 15 seconds! Now it's time to challenge yourself by trying to hold the wall sit for 30 seconds (If you feel uncomfortable don't hesitate to finish the exercise, you already did a lot of progress, don't forget this) You can do it! Imagine how much progress you’ll make if you can hold it twice as long as last time!</t>
  </si>
  <si>
    <t>Info Box:[Tip:Take 15 slow breaths in and out, nice and calm, controlled. Great job! You just successfully completed a new exercise that’s excellent for your overall muscle strength. Not only does it build stability, but it’s also fantastic for injury prevention — keep up the amazing work!]</t>
  </si>
  <si>
    <t>Great job on hitting the wall sit for 10 seconds! Now it's time to challenge yourself by trying to hold the wall sit for 20 seconds (If you feel uncomfortable don't hesitate to finish the exercise, you already did a lot of progress, don't forget this) You can do it! Imagine how much progress you’ll make if you can hold it twice as long as last time!</t>
  </si>
  <si>
    <t>Info Box:[Tip:Take 10 slow breaths in and out, nice and calm, controlled. Great job! You just successfully completed a new exercise that’s excellent for your overall muscle strength. Not only does it build stability, but it’s also fantastic for injury prevention — keep up the amazing work!]</t>
  </si>
  <si>
    <t>You made excellent progress by doing the wall sit for 30 seconds already! Now it's time to challenge yourself by trying to hold the wall sit for 45 seconds (If you feel uncomfortable don't hesitate to finish the exercise, you already did a lot of progress, don't forget this) You can do it! Imagine how much progress you’ll make if you can hold it twice as long as last time!</t>
  </si>
  <si>
    <t>Info Box:[Tip:Take about 20 slow breaths in and out, nice and calm, controlled. Great job! You just successfully completed a new exercise that’s excellent for your overall muscle strength. Not only does it build stability, but it’s also fantastic for injury prevention — keep up the amazing work!]</t>
  </si>
  <si>
    <t>You made excellent progress by doing the wall sit for 20 seconds already! Now it's time to challenge yourself by trying to hold the wall sit for 30 seconds (If you feel uncomfortable don't hesitate to finish the exercise, you already did a lot of progress, don't forget this) You can do it! Imagine how much progress you’ll make if you can hold it twice as long as last time!</t>
  </si>
  <si>
    <t>You made excellent progress by doing the wall sit for 45 seconds already! Now it's time to challenge yourself by trying to hold the wall sit for 60 seconds (If you feel uncomfortable don't hesitate to finish the exercise, you already did a lot of progress, don't forget this) You can do it! Imagine how much progress you’ll make if you can hold it twice as long as last time!</t>
  </si>
  <si>
    <t>Info Box:[Tip:Take 30 slow breaths in and out, nice and calm, controlled. Great job! You just successfully completed a new exercise that’s excellent for your overall muscle strength. Not only does it build stability, but it’s also fantastic for injury prevention — keep up the amazing work!]</t>
  </si>
  <si>
    <t>M1-PA5-C-Young</t>
  </si>
  <si>
    <t>Gaining continuity</t>
  </si>
  <si>
    <t>Now that you’ve reached 15seconds, let’s try to make it a more continuous habit! Challenge yourself to hit this goal at least 3 days a week. Remember, life happens – if you miss a day, don’t worry! Just focus on getting back on track tomorrow.</t>
  </si>
  <si>
    <t>M1-PA5-C-Elderly</t>
  </si>
  <si>
    <t>Now that you’ve reached 10seconds, let’s try to make it a more continuous habit! Challenge yourself to hit this goal at least 3 days a week. Remember, life happens – if you miss a day, don’t worry! Just focus on getting back on track tomorrow.</t>
  </si>
  <si>
    <t>Info Box:[Tip:Take 5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</si>
  <si>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M1-PA5-ECYoung</t>
  </si>
  <si>
    <t>Now that you’ve reached 30seconds, let’s try to make it a more continuous habit! Challenge yourself to hit this goal at least 3 days a week. Remember, life happens – if you miss a day, don’t worry! Just focus on getting back on track tomorrow.</t>
  </si>
  <si>
    <t>Info Box:[Tip:Take 15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</si>
  <si>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Now that you’ve reached 20seconds, let’s try to make it a more continuous habit! Challenge yourself to hit this goal at least 3 days a week. Remember, life happens – if you miss a day, don’t worry! Just focus on getting back on track tomorrow.</t>
  </si>
  <si>
    <t>Info Box:[Tip:Take 10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</si>
  <si>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Now that you’ve reached 45seconds, let’s try to make it a more continuous habit! Challenge yourself to hit this goal at least 3 days a week. Remember, life happens – if you miss a day, don’t worry! Just focus on getting back on track tomorrow.</t>
  </si>
  <si>
    <t>Info Box:[Tip:Take 20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</si>
  <si>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Now that you’ve reached 60seconds, let’s try to make it a more continuous habit! Challenge yourself to hit this goal at least 3 days a week. Remember, life happens – if you miss a day, don’t worry! Just focus on getting back on track tomorrow.</t>
  </si>
  <si>
    <t>Info Box:[Tip:Take 30 slow breaths in and out, nice and calm, controlled. Great job! You’re doing an excellent job—not only performing the exercise correctly, but also successfully integrating it into your long-term routine. This kind of consistency and mindful effort is exactly what leads to lasting health and strength. Keep going, trust the process, and be proud of every step you take.]</t>
  </si>
  <si>
    <t>Getting thrilled by the plank!</t>
  </si>
  <si>
    <t>The plank is a highly effective and motivating exercise because it builds a strong core that directly supports posture, balance, and confidence in everyday movement. Physiologically, regular planking helps protect the lumbar spine by stabilizing the vertebrae and reducing stress on the intervertebral discs, which can prevent lower back pain. It also supports the shoulder joints and hip stability, lowering the risk of muscular imbalances and overuse injuries. Because it activates deep stabilizing muscles, the plank improves movement efficiency in daily tasks like lifting or standing for long periods. From a health behavior perspective, its simplicity and time efficiency make it easy to stay consistent. This consistency leads to long-term strength, better body control, and injury prevention. Overall, the plank is a small daily effort with powerful, long-lasting health benefits.</t>
  </si>
  <si>
    <t>Ever heard of the plank ?</t>
  </si>
  <si>
    <t xml:space="preserve"> Doing a plank increases your lower body strength an endurance and improves posture and core stability-muscles that are used daily and are under constant strain. It also prevents very painfull injuires.Have you ever heard of the plank exercise, or have you ever done it ?</t>
  </si>
  <si>
    <t>C1-PA5-C-Young</t>
  </si>
  <si>
    <t>Implementing the plank</t>
  </si>
  <si>
    <t>Implementing the plank is really everyday friendly. Espacially in the winter you can do it at home easily. Incorporating the plank into your daily routine is easier than you think and can quickly become a powerful habit. Choosing a fixed time—such as right after waking up, during a work break, or before going to bed—helps anchor the plank firmly into your daily rhythm. Even 30 to 60 seconds are enough, which makes it feel manageable and removes the pressure of “needing more time.” Pairing the plank with an existing habit, like brushing your teeth or finishing your workout, increases consistency and makes it automatic. Setting small, realistic goals and tracking progress can boost motivation and confidence. On busy days, reminding yourself that one short plank is always better than none helps maintain the habit. Over time, this simple routine becomes a natural part of your day and a strong investment in your long-term health.</t>
  </si>
  <si>
    <t>Quiz Plank</t>
  </si>
  <si>
    <t>What is a long-term health benefit of doing plank exercises regularly?</t>
  </si>
  <si>
    <t>A) Improved balance and core muscle strength (correct)
B) Increased heart rate similar to endurance training
C) Greater flexibility in the arms only
D) Faster recovery after intense cardio workouts</t>
  </si>
  <si>
    <t>Activating the plank by yourself</t>
  </si>
  <si>
    <t>Go into action: move into the starting position for the plank exercise, as shown in the picture. Your first plank looks great — strong form, steady posture, just like in the picture.
Now hold that position for at least 5 seconds (You can also hold that position longer if you want to). You’ve got this! Stay focused, stay powerful, and feel your strength building with every second. Keep going!</t>
  </si>
  <si>
    <t>Add picture</t>
  </si>
  <si>
    <t>Improve your long term posture by doing the plank</t>
  </si>
  <si>
    <t xml:space="preserve">„It’s action time“ Let's see how well you can remember the plank. Go into the starting position and try to hold the plank for 15 seconds if you can (No worries if you don't, every second is a progress). You’ve got this! Stay focused! If it is easier for you instead of counting to ten you can focus on your breathing. Take 7 slow breaths in and out, nice and calm, controlled. Great job! You just successfully completed a new exercise that’s excellent for your overall muscle strength. Not only does it build stability, but it’s also </t>
  </si>
  <si>
    <t>Info Box:[Tip:For your own health. Have in mind:Start by aligning your body in one strong, straight line from head to heels. Keep your head neutral, eyes looking down, and neck relaxed to avoid tension. Place your shoulders directly over your elbows, press your forearms firmly into the floor, and keep your arms active for stability. Engage your core to support your lower back and maintain a flat, strong spine without arching or rounding. Squeeze your glutes and keep your legs extended and active, pushing through your heels to create full-body tension. Breathe steadily, stay focused, and remember: controlled form makes every second of the plank count.]</t>
  </si>
  <si>
    <t>Improve your ong term posture by doing the plank</t>
  </si>
  <si>
    <t>„It’s action time“ Let's see how well you can remember the plank. Go into the starting position and try to hold the plank for 10 seconds if you can (No worries if you don't, every second is a progress). You’ve got this! Stay focused! If it is easier for you instead of counting to ten you can focus on your breathing. Take 5 slow breaths in and out, nice and calm, controlled. Great job! You just successfully completed a new exercise that’s excellent for your overall muscle strength. Not only does it build stability, but it’s also fantastic for injury prevention — keep up the amazing work!</t>
  </si>
  <si>
    <t>Info Box:[Tip:For your own health. Have in mind:Start by aligning your body in one strong, straight line from head to heels. Keep your head neutral, eyes looking down, and neck relaxed to avoid tension. Place your shoulders directly over your elbows, press your forearms firmly into the floor, and keep your arms active for stability. Engage your core to support your lower back and maintain a flat, strong spine without arching or rounding. Squeeze your glutes and keep your legs extended and active, pushing through your heels to create full-body tension. Breathe steadily, stay focused, and remember: controlled form makes every second of the plank count..]</t>
  </si>
  <si>
    <t>Enhance your plank performance</t>
  </si>
  <si>
    <t>Great job on hitting the plank for 15 seconds! Now it's time to challenge yourself by trying to hold the plank for 30 seconds (If you feel uncomfortable don't hesitate to finish the exercise, you already did a lot of progress, don't forget this) You can do it! Imagine how much progress you’ll make if you can hold it twice as long as last time!</t>
  </si>
  <si>
    <t>Enhance your plankl performance</t>
  </si>
  <si>
    <t>Great job on hitting the plank for 10 seconds! Now it's time to challenge yourself by trying to hold the plank for 20 seconds (If you feel uncomfortable don't hesitate to finish the exercise, you already did a lot of progress, don't forget this) You can do it! Imagine how much progress you’ll make if you can hold it twice as long as last time!</t>
  </si>
  <si>
    <t>You made excellent progress by doing the plank for 30 seconds already! Now it's time to challenge yourself by trying to hold the plank for 45 seconds (If you feel uncomfortable don't hesitate to finish the exercise, you already did a lot of progress, don't forget this) You can do it! Imagine how much progress you’ll make if you can hold it twice as long as last time!</t>
  </si>
  <si>
    <t>You made excellent progress by doing the plank for 20 seconds already! Now it's time to challenge yourself by trying to hold the plank for 30 seconds (If you feel uncomfortable don't hesitate to finish the exercise, you already did a lot of progress, don't forget this) You can do it! Imagine how much progress you’ll make if you can hold it twice as long as last time!</t>
  </si>
  <si>
    <t>You made excellent progress by doing the plank 45 seconds already! Now it's time to challenge yourself by trying to hold the plank for 60 seconds (If you feel uncomfortable don't hesitate to finish the exercise, you already did a lot of progress, don't forget this) You can do it! Imagine how much progress you’ll make if you can hold it twice as long as last time!</t>
  </si>
  <si>
    <t>M1-PA5-E-Young</t>
  </si>
  <si>
    <t>M1-PA5-E-Elderly</t>
  </si>
  <si>
    <t>Info Box:[Tip:Take 20 slow breaths in and out, nice and calm, controlled. Great job! You just successfully completed a new exercise that’s excellent for your overall muscle strength. Not only does it build stability, but it’s also fantastic for injury prevention — keep up the amazing work!]</t>
  </si>
  <si>
    <t>DN1A</t>
  </si>
  <si>
    <t>PC1-DN1A-Young</t>
  </si>
  <si>
    <t>Real or Fake? 🧐🔎</t>
  </si>
  <si>
    <t>¿Real o Fake? 🧐🔎</t>
  </si>
  <si>
    <t>The user must identify which foods on a list are truly whole grain and which are “fake whole grains". 🕵️‍♂️🥖</t>
  </si>
  <si>
    <t>Identifica cuáles de estos alimentos son integrales de verdad y cuáles son "falsos integrales". ¡Cuidado, que los fakes están por todas partes! 🕵️‍♂️🥖</t>
  </si>
  <si>
    <t>Question Options: [100% Whole Grain Bread; ""Multigrain"" or ""7-Grain"" Bread; Brown Rice; Dark-colored Pasta (with coloring); Rolled Oats (Old Fashioned); ""High Fiber"" Cookies; Quinoa; ""Honey-colored"" Breakfast Cereals]</t>
  </si>
  <si>
    <t>Question Options: [Pan 100% Integral; Pan ""Multicereales"" o ""7 Semillas""; Arroz Integral; Pasta de colores; Copos de Avena (Old Fashioned); Galletas altas en fibra; Quinoa; Cereales de desayuno color miel]</t>
  </si>
  <si>
    <t>YES</t>
  </si>
  <si>
    <t>GENERAL_ACTIVITY</t>
  </si>
  <si>
    <t>GameBus Studio</t>
  </si>
  <si>
    <t>DNI1</t>
  </si>
  <si>
    <t xml:space="preserve">DNI1-A </t>
  </si>
  <si>
    <t>PC2-DNI1-A -Young</t>
  </si>
  <si>
    <t>What’s actually in your bread? 🥖</t>
  </si>
  <si>
    <t>¿Qué hay realmente en tu pan? 🥖</t>
  </si>
  <si>
    <t>Take a photo of the bread you have at home and write down which cereal you think it’s made of. Then, check the ingredients: were you right or were you scammed? 📸🥖</t>
  </si>
  <si>
    <t>Saca una foto al pan que tienes en casa y escribe de qué cereal crees que está hecho. Luego, mira los ingredientes y haz el check: ¿has acertado o te han timado? 📸🥖</t>
  </si>
  <si>
    <t>no</t>
  </si>
  <si>
    <t>NUTRITION_DIARY</t>
  </si>
  <si>
    <t>C1-DNI1-A -Young</t>
  </si>
  <si>
    <t>Spot the high-quality whole grain! 🔍🥖</t>
  </si>
  <si>
    <t>¡Detecta el cereal integral de calidad! 🔍🥖</t>
  </si>
  <si>
    <t>Go to your pantry or the supermarket and find a product where the first ingredient is a whole grain. Upload the photo to complete the check! 📸🌾</t>
  </si>
  <si>
    <t>Ve a tu despensa o al súper y encuentra un producto donde el primer ingrediente sea un grano integral. ¡Sube la foto para completar el check! 📸🌾</t>
  </si>
  <si>
    <t>C2-DNI1-A -Young</t>
  </si>
  <si>
    <t>Whole grain shopping spree! 🛒🌾</t>
  </si>
  <si>
    <t>¡Shopping de integrales! 🛒🌾</t>
  </si>
  <si>
    <t>On your next shopping trip, choose at least one product that is 100% whole grain and upload a photo of your choice to earn points 🚀. Make sure it's the real deal! 🛒📸</t>
  </si>
  <si>
    <t>En tu próxima compra, elige al menos un producto que sea 100% integral y sube una foto del elegido para sumar puntos  🚀. ¡Asegúrate de que sea el real! 🛒📸</t>
  </si>
  <si>
    <t>P1-DNI1-A -Young</t>
  </si>
  <si>
    <t>100% Whole grain menu! 🥗🌾</t>
  </si>
  <si>
    <t>¡Menú 100% Integral! 🥗🌾</t>
  </si>
  <si>
    <t>Choose one meal of the day (breakfast, lunch, or dinner) to switch to "Whole Grain Mode" for the entire week. For example: if you choose dinner, your bread, rice, or pasta must always be whole grain. 🗓️🌾 Write your challenge below: 👇</t>
  </si>
  <si>
    <t>Elige una comida del día (desayuno, almuerzo o cena) para pasarla a "Modo Integral" durante toda la semana. Por ejemplo: si eliges la cena, que tu pan, arroz o pasta sean siempre integrales. 🗓️🌾
Escribe aquí abajo cuál será tu reto: 👇</t>
  </si>
  <si>
    <t>P2-DNI1-A -Young</t>
  </si>
  <si>
    <t>Automatic- nutrida</t>
  </si>
  <si>
    <t>Plan your whole grain menu 📝🥗</t>
  </si>
  <si>
    <t>Planea tu menú integral 📝🥗</t>
  </si>
  <si>
    <t>Plan next week's menu in the Nutrida app using 100% whole grains. It can be your portion of bread, rice, or pasta at breakfast, lunch, or dinner. 📝🥗 Points will be added automatically once completed. 🚀</t>
  </si>
  <si>
    <t>Planea en la app Nutrida el menú de la próxima semana usando cereales 100% integrales. Puede ser tu ración de pan, arroz o pasta en el desayuno, almuerzo o cena. 📝🥗
Una vez hayas completado la tarea, se te sumarán los puntos automáticamente. 🚀</t>
  </si>
  <si>
    <t xml:space="preserve">PLAN_MEAL </t>
  </si>
  <si>
    <t>NUTRIDA</t>
  </si>
  <si>
    <t>DNI1- A</t>
  </si>
  <si>
    <t>A1-DNI1- A-Young</t>
  </si>
  <si>
    <t>Your whole grain grocery list 🛒🌾</t>
  </si>
  <si>
    <t>Tu lista de la compra integral 🛒🌾</t>
  </si>
  <si>
    <t>Enter the Nutrida app and create your shopping list including the 100% whole grain products you’ll need for your weekly menu. Don't forget anything! 📝 Points will be added automatically once completed. 🚀</t>
  </si>
  <si>
    <t>Entra en la app Nutrida y crea tu lista de la compra incluyendo los productos 100% integrales que vas a necesitar para tu menú de la semana. ¡Que no se te olvide nada! 📝
Una vez hayas completado la tarea, se te sumarán los puntos automáticamente. 🚀</t>
  </si>
  <si>
    <t>A2-DNI1- A-Young</t>
  </si>
  <si>
    <t>Let's get cooking! 👨‍🍳🥘</t>
  </si>
  <si>
    <t>¡Manos a la obra! 👨‍🍳🥘</t>
  </si>
  <si>
    <t>It’s time to get your hands dirty! Prepare that meal you planned using your 100% whole grains. Expert tip: you can do some batch cooking and cook a week's worth of rice or pasta today to save time. 🌾✨ Upload a photo of your dish or your cooking session to earn points. 📸🚀</t>
  </si>
  <si>
    <t>¡Es hora de mancharse las manos! Prepara esa comida que planeaste usando tus cereales 100% integrales. Un truco de experto: puedes hacer batch cooking y cocinar hoy el arroz o la pasta de toda la semana para ahorrar tiempo. 🌾✨
Sube una foto de tu plato o de tu sesión de cocina para sumar los puntos. 📸🚀</t>
  </si>
  <si>
    <t>A3-DNI1- A-Young</t>
  </si>
  <si>
    <t>Weekly whole grain menu 🗓️🌾</t>
  </si>
  <si>
    <t>Menú integral semanal 🗓️🌾</t>
  </si>
  <si>
    <t>Time to keep the streak alive! Throughout this week, make sure at least one of your daily meals includes 100% whole grains. We want to see your dishes and reward your consistency. 🔥 Every time you upload a photo enjoying your whole grain menu, points will be added to your account. Go for a perfect score! 📸🚀</t>
  </si>
  <si>
    <t>¡Es hora de mantener la racha! Durante toda esta semana, asegúrate de que al menos una de tus comidas diarias incluya cereales 100% integrales. Queremos ver tus platos y recompensar tu constancia. 🔥
Cada vez que subas una foto disfrutando de tu menú integral, se te sumarán puntos a tu cuenta. ¡A por el pleno! 📸🚀</t>
  </si>
  <si>
    <t>A4-DNI1- A-Young</t>
  </si>
  <si>
    <t>Eating whole grains out 🍽️🌍</t>
  </si>
  <si>
    <t>Cereales integrales fuera de casa 🍽️🌍</t>
  </si>
  <si>
    <t>The ultimate challenge! Your mission is to choose a whole grain option the next time you eat out (at a restaurant, cafe, or a friend's house). It could be whole grain toast, a side of wild rice, or a whole grain pizza crust. 🍕✅ Upload a photo of your meal away from home to earn points. Show us you can handle anything! 📸🚀</t>
  </si>
  <si>
    <t>¡El reto definitivo! Tu misión es elegir una opción integral la próxima vez que comas fuera de casa (en un restaurante, cafetería o en casa de un amigo). Puede ser una tostada de pan integral, una guarnición de arroz salvaje o una base de pizza integral. 🍕✅
Sube una foto de tu plato fuera de casa para sumar tus puntos. ¡Demuestra que puedes con todo! 📸🚀</t>
  </si>
  <si>
    <t>DNI1-A</t>
  </si>
  <si>
    <t>M1-DNI1-A-Young</t>
  </si>
  <si>
    <t>Share your star recipe 👨‍🍳⭐️</t>
  </si>
  <si>
    <t>Comparte tu receta estrella 👨‍🍳⭐️</t>
  </si>
  <si>
    <t>You are now a whole grain expert. It's time to inspire others! Prepare your favorite whole grain dish and share the recipe. It could be that breakfast you love or the dinner you learned to cook weeks ago. 📖✨ Upload a photo of your dish to earn points. 📸🚀</t>
  </si>
  <si>
    <t>Ya eres un experto en cereales integrales. ¡Es hora de inspirar a otros! Prepara tu plato favorito con granos integrales y comparte la receta. Puede ser ese desayuno que te encanta o la cena que aprendiste a cocinar hace unas semanas. 📖✨
Sube una foto de tu plato para sumar tus puntos. 📸🚀</t>
  </si>
  <si>
    <t>M2-DNI1-A-Young</t>
  </si>
  <si>
    <t>Control your environment 🏠🚫</t>
  </si>
  <si>
    <t>Controla tu entorno 🏠🚫</t>
  </si>
  <si>
    <r>
      <rPr>
        <sz val="11"/>
        <color rgb="FF000000"/>
        <rFont val="Aptos Narrow"/>
      </rPr>
      <t xml:space="preserve">The best way to avoid eating what you don't want is not to have it at home. If you clean out your pantry and ensure your staples (bread, rice, and pasta) are always 100% whole grain, you won't have to use willpower every time you're hungry. Making it easy is the key to success! 🔋🌈 </t>
    </r>
    <r>
      <rPr>
        <sz val="11"/>
        <color rgb="FFA02B93"/>
        <rFont val="Aptos Narrow"/>
      </rPr>
      <t>Remember  rule of three N: No buy, no own, no eat.</t>
    </r>
  </si>
  <si>
    <t>La mejor forma de no comer aquello que no quieres es no tenerlo en casa. Si haces una limpieza en tu despensa y te aseguras de que tus básicos (pan, arroz y pasta) sean siempre 100% integrales, no tendrás que usar tu fuerza de voluntad cada vez que tengas hambre. ¡Ponértelo fácil es la clave del éxito! 🔋🌈</t>
  </si>
  <si>
    <t>M4-DNI1-A-Young</t>
  </si>
  <si>
    <t>Tip: The 80/20 rule ⚖️🍕</t>
  </si>
  <si>
    <t>Tip: La regla del 80/20 ⚖️🍕</t>
  </si>
  <si>
    <t>Don't look for perfection, look for consistency. If 80% of your grains are whole, that remaining 20% (a pizza with friends or a special dessert) won't ruin your progress. Enjoy the journey without guilt, because what matters is what you do most of the time. Relax and enjoy! 🎈😎</t>
  </si>
  <si>
    <t>No busques la perfección, busca la constancia. Si el 80% de tus cereales son integrales, ese 20% restante (una pizza con amigos o un postre especial) no arruinará tu progreso. Disfruta del camino sin culpas, porque lo que importa es lo que haces la mayor parte del tiempo. ¡Relájate y disfruta! 🎈😎</t>
  </si>
  <si>
    <t>DNI1-B</t>
  </si>
  <si>
    <t>PC1-DNI1-B-Young</t>
  </si>
  <si>
    <t>What would an expert choose? 🧠💎</t>
  </si>
  <si>
    <t>¿Qué elegiría un experto? 🧠💎</t>
  </si>
  <si>
    <t>You’re holding three loaves of bread. 🥖👀 After a close look at the labels, which of these is the only option that truly guarantees you’re getting all the benefits of the whole grain? 🧐💎</t>
  </si>
  <si>
    <t>Tienes tres paquetes de pan frente a ti. 🥖👀 Tras analizar detenidamente las etiquetas, ¿cuál de estas opciones es la única que te garantiza de verdad todos los beneficios del grano completo? 🧐💎</t>
  </si>
  <si>
    <t>Question Options: [1. Wheat flour, bran, and 7 cereals. 🌾⚪ 2. 100% whole wheat flour. ✅🍞 3. Whole grain flour and seeds. 🌻🥖 4. High-fiber bread made with sourdough. 🧪📉]</t>
  </si>
  <si>
    <t>Question Options: [1. Harina de trigo, salvado y 7 cereales. 🌾⚪ 2. 100% harina de trigo integral. 🍞 3. Harina de grano completo y semillas. 🌻🥖 4. Pan rico en fibra y elaborado con masa madre. 🧪📉]</t>
  </si>
  <si>
    <t>No</t>
  </si>
  <si>
    <t>PC2-DNI1-B-Young</t>
  </si>
  <si>
    <t>Beyond Pasta and Rice Challenge 🍝🚫</t>
  </si>
  <si>
    <t>Más allá de la pasta y el arroz 🍝🚫</t>
  </si>
  <si>
    <r>
      <rPr>
        <sz val="11"/>
        <color rgb="FF000000"/>
        <rFont val="Aptos Narrow"/>
      </rPr>
      <t>Name at least 3 foods whose main ingredient is a carbohydrate other than rice or pasta. 🧐🔎</t>
    </r>
    <r>
      <rPr>
        <sz val="11"/>
        <color rgb="FFA02B93"/>
        <rFont val="Aptos Narrow"/>
      </rPr>
      <t xml:space="preserve"> Let these be side dishes rather than sweets and snacks</t>
    </r>
  </si>
  <si>
    <t>Nombra al menos 3 alimentos cuyo ingrediente principal sea un carbohidrato que no sea ni arroz ni pasta🧐🔎</t>
  </si>
  <si>
    <t>C1-DNI1-B-Young</t>
  </si>
  <si>
    <t>3 Ways to Cook Your Carbohydrates 👨‍🍳🔥</t>
  </si>
  <si>
    <t>3 Formas de cocinar tus carbohidratos 👨‍🍳🔥</t>
  </si>
  <si>
    <t>Do you remember the foods you identified as carbohydrate sources? List at least 3 different ways to cook them so you never get bored. Once you have completed the task in the Nutrida app, points will be added automatically. 👨‍🍳🔥</t>
  </si>
  <si>
    <t>¿Recuerdas los alimentos que identificaste como fuentes de carbohidratos? Enumera al menos 3 formas diferentes de cocinarlos para no aburrirte nunca. Una vez hayas completado la tarea en la app Nutrida, se te sumarán los puntos automáticamente. 👨‍🍳🔥</t>
  </si>
  <si>
    <t>C2-DNI1-B-Young</t>
  </si>
  <si>
    <t>Share a Non-Pasta/Rice Carb Recipe 📖✨</t>
  </si>
  <si>
    <t>Comparte tu receta sin pasta ni arroz 📖✨</t>
  </si>
  <si>
    <t>Share a simple recipe that includes a carbohydrate source other than pasta or rice.📖✨</t>
  </si>
  <si>
    <t>Comparte una foto de una receta sencilla que incluya una fuente de carbohidratos que no sea pasta ni arroz . 📖✨</t>
  </si>
  <si>
    <t>P1-DNI1-B-Young</t>
  </si>
  <si>
    <t>Plan Your Week with 3 Carb Sources 🗓️🥗</t>
  </si>
  <si>
    <t>Planea tu semana con 3 fuentes de hidratos 🗓️🥗</t>
  </si>
  <si>
    <t>Plan your upcoming week: include 3 different sources of carbohydrates in your weekly menu to ensure variety in the Nutrida app. Once completed, points will be added automatically. 🗓️🥗</t>
  </si>
  <si>
    <t>Planifica tu próxima semana: incluye 3 fuentes diferentes de carbohidratos en tu menú semanal para asegurar la variedad en la app Nutrida. Una vez completado, se te sumarán los puntos automáticamente. 🗓️🥗</t>
  </si>
  <si>
    <t>P2-DNI1-B-Young</t>
  </si>
  <si>
    <t>Shopping list 🛒📝</t>
  </si>
  <si>
    <t>Tu lista de la compra variada 🛒📝</t>
  </si>
  <si>
    <t>Enter the Nutrida app and create your shopping list including the various carbohydrates you will need. Once you have completed the task, points will be added automatically. 🛒📝</t>
  </si>
  <si>
    <t>Entra en la app Nutrida y crea tu lista de la compra incluyendo los carbohidratos variados que vas a necesitar. Una vez hayas completado la tarea, se te sumarán los puntos automáticamente. 🛒📝</t>
  </si>
  <si>
    <t>A1-DNI1-B-Young</t>
  </si>
  <si>
    <t>Try Your 3 Chosen Carb Sources 🍴🌈</t>
  </si>
  <si>
    <t>Prueba tus 3 fuentes de hidratos elegidas 🍴🌈</t>
  </si>
  <si>
    <t>It’s time to get hands-on! It’s time to try the 3 carbohydrate sources you chose. Share a photo of your first dish here to earn your points. 🍴📸</t>
  </si>
  <si>
    <t>¡Es hora de ponerse manos a la obra! Toca probar las 3 fuentes de carbohidratos que elegiste. Comparte aquí la foto de tus platos, cada vez que lo hagas sumarás tus puntos. 🍴📸</t>
  </si>
  <si>
    <t>A2-DNI1-B-Young</t>
  </si>
  <si>
    <t>Tip: The Resistant Starch Trick ❄️🧪</t>
  </si>
  <si>
    <t>Tip: El truco del almidón resistente ❄️🧪</t>
  </si>
  <si>
    <r>
      <t xml:space="preserve">If you cook rice or potatoes and let them cool in the fridge for 24 hours, you create </t>
    </r>
    <r>
      <rPr>
        <b/>
        <sz val="11"/>
        <color rgb="FF1F1F1F"/>
        <rFont val="Google Sans Text"/>
        <family val="2"/>
        <charset val="1"/>
      </rPr>
      <t>resistant starch</t>
    </r>
    <r>
      <rPr>
        <sz val="11"/>
        <color rgb="FF1F1F1F"/>
        <rFont val="Google Sans Text"/>
        <family val="2"/>
        <charset val="1"/>
      </rPr>
      <t>. This feeds your microbiota and prevents blood sugar spikes. Try it out! ❄️🧪</t>
    </r>
  </si>
  <si>
    <r>
      <rPr>
        <sz val="11"/>
        <color rgb="FF000000"/>
        <rFont val="Aptos Narrow"/>
      </rPr>
      <t xml:space="preserve">Si cocinas el arroz o la patata y los dejas enfriar 24h en la nevera, creas </t>
    </r>
    <r>
      <rPr>
        <sz val="11"/>
        <color rgb="FF1F1F1F"/>
        <rFont val="Google Sans Text"/>
      </rPr>
      <t>almidón resistente. Esto alimenta tu microbiota y evita picos de azúcar. ¡Pruébalo! ❄️🧪</t>
    </r>
  </si>
  <si>
    <t>A3-DNI1-B-Young</t>
  </si>
  <si>
    <t>Breakfast Without Bread 🥣☀️</t>
  </si>
  <si>
    <t>Reto: Desayuno sin pan 🥣☀️</t>
  </si>
  <si>
    <r>
      <rPr>
        <sz val="11"/>
        <color rgb="FF000000"/>
        <rFont val="Aptos Narrow"/>
      </rPr>
      <t xml:space="preserve">Break the routine and prepare a breakfast where bread is not the star. Try oatmeal, banana pancakes, or fruit with yogurt. Upload your photo to earn points! 🥣📸 </t>
    </r>
    <r>
      <rPr>
        <sz val="11"/>
        <color rgb="FFA02B93"/>
        <rFont val="Aptos Narrow"/>
      </rPr>
      <t xml:space="preserve">You can also try homemade granola or sweet potatoes which are perfect baked with honey or  like sweet potato mash. </t>
    </r>
  </si>
  <si>
    <t>Rompe la rutina y prepara un desayuno donde el protagonista no sea el pan. Prueba con avena, tortitas de plátano o fruta con yogur. ¡Sube tu foto para sumar puntos! 🥣📸</t>
  </si>
  <si>
    <t>A4-DNI1-B-Young</t>
  </si>
  <si>
    <t>Recipe Combining Two Carb Types 🍲🔄</t>
  </si>
  <si>
    <t>Receta: Combinando dos tipos de hidratos 🍲🔄</t>
  </si>
  <si>
    <r>
      <rPr>
        <sz val="11"/>
        <color rgb="FF000000"/>
        <rFont val="Aptos Narrow"/>
      </rPr>
      <t>Choose a recipe that combines two different types of carbohydrates, for example: lentils with a bit of rice or potatoes with peas. 🍲🔄</t>
    </r>
    <r>
      <rPr>
        <sz val="11"/>
        <color rgb="FFA02B93"/>
        <rFont val="Aptos Narrow"/>
      </rPr>
      <t xml:space="preserve">  This way, you’ll get a complete spectrum of amino acids from carbohydrate side dishes.</t>
    </r>
  </si>
  <si>
    <t>Elige una receta que combine dos tipos diferentes de carbohidratos, por ejemplo: lentejas con un poco de arroz o patata con guisantes. 🍲🔄</t>
  </si>
  <si>
    <t>M1-DNI1-B-Young</t>
  </si>
  <si>
    <t>Keep Blood Glucose Stable  🔋⚖️</t>
  </si>
  <si>
    <t>Mantén tu glucosa estable 🔋⚖️</t>
  </si>
  <si>
    <t>To keep your energy levels stable throughout the day, make sure to include a source of complex carbohydrates in each of your main meals. 🔋⚖️</t>
  </si>
  <si>
    <t>Para mantener tu energía estable todo el día, asegúrate de incluir una fuente de carbohidratos complejos en cada una de tus comidas principales. 🔋⚖️</t>
  </si>
  <si>
    <t>M2-DNI1-B-Young</t>
  </si>
  <si>
    <t>Breakfast Check: How Do You Feel? 🧐✅</t>
  </si>
  <si>
    <t>Check de desayunos: ¿Cómo te sientes? 🧐✅</t>
  </si>
  <si>
    <t>Share today's breakfast with the rest of the community. We want to see how you apply what you've learned to start the day with energy. 🥣✨</t>
  </si>
  <si>
    <t>Comparte tu desayuno de hoy con el resto de la comunidad. Queremos ver cómo aplicas lo aprendido para empezar el día con energía. 🥣✨</t>
  </si>
  <si>
    <t>M3-DNI1-B-Young</t>
  </si>
  <si>
    <t>The Carb Hunt 🕵️‍♂️🔍</t>
  </si>
  <si>
    <t>La caza del carbohidrato 🕵️‍♂️🔍</t>
  </si>
  <si>
    <t>Treasure hunt! Name all the carbohydrate sources you know now that you've nearly completed the entire block. 🕵️‍♂️🔍</t>
  </si>
  <si>
    <t>Nombra todas las fuentes de carbohidratos que conozcas ahora que has completado casi todo el bloque. 🕵️‍♂️🔍</t>
  </si>
  <si>
    <t>M4-DNI1-B-Young</t>
  </si>
  <si>
    <t>My New Discovery 🌟💎</t>
  </si>
  <si>
    <t>Mi nuevo descubrimiento 🌟💎</t>
  </si>
  <si>
    <t>Share a recipe with the community that you discovered through this challenge and that is here to stay in your menu. 🌟💎</t>
  </si>
  <si>
    <t>Comparte con la comunidad una receta que hayas descubierto gracias a este reto y que se vaya a quedar para siempre en tu menú. 🌟💎</t>
  </si>
  <si>
    <t>DN2-A</t>
  </si>
  <si>
    <t>PC1-DN2-A-Young</t>
  </si>
  <si>
    <t>Your Top Picks 🍎🥦</t>
  </si>
  <si>
    <t>Tus Favoritos 🍎🥦</t>
  </si>
  <si>
    <t>We want to know your tastes! ✨ Share your all-time favorite fruit and vegetable with the rest of the community. 🍎🥦</t>
  </si>
  <si>
    <t>¡Queremos conocer tus gustos! ✨ Comparte con el resto de la comunidad cuál es tu fruta y tu verdura preferida de todo el mundo. 🍎🥦</t>
  </si>
  <si>
    <t>PC2-DN2-A-Young</t>
  </si>
  <si>
    <t>The 5-a-Day Goal 🖐️✨</t>
  </si>
  <si>
    <t>El objetivo: 5 al día 🖐️✨</t>
  </si>
  <si>
    <t>How many servings of fruit and vegetables do you think are recommended per day? 🧐 And how many do you actually eat? Be honest with us! 🖐️🍎</t>
  </si>
  <si>
    <t>¿Cuántas raciones de fruta y verdura crees que se recomienda comer al día? 🧐 ¿Y cuántas sueles comer tú realmente? ¡Sincérate con nosotros! 🖐️🍎</t>
  </si>
  <si>
    <t>C1-DN2-A-Young</t>
  </si>
  <si>
    <t>Rainbow Vitamins 🌈💊</t>
  </si>
  <si>
    <t>Vitaminas arcoíris 🌈💊</t>
  </si>
  <si>
    <t>Eat the rainbow! 🌈 Each color is linked to a specific vitamin. Do you know which nutrient is most abundant in red or orange vegetables? 🥕❤️</t>
  </si>
  <si>
    <t>¡Come colores! 🌈 Cada tono está asociado a una vitamina específica. ¿Sabrías identificar qué nutriente abunda en los vegetales rojos o naranjas? 🥕❤️</t>
  </si>
  <si>
    <t>C2-DN2-A-Young</t>
  </si>
  <si>
    <t>Color Tracker 🎨🔍</t>
  </si>
  <si>
    <t>Rastreador de colores 🎨🔍</t>
  </si>
  <si>
    <t>Sharpen your eyes! 🎨🔍 How many different colors do you manage to eat throughout the day? Count them and share your results with the community to inspire us. 🎨🥗</t>
  </si>
  <si>
    <t>¡Ojo crítico! 🎨🔍 ¿Cuántos colores diferentes logras comer a lo largo de un día? Cuéntalos y comparte el resultado con la comunidad para inspirarnos. 🎨🥗</t>
  </si>
  <si>
    <t>P1-DN2-A-Young</t>
  </si>
  <si>
    <t>Double the Green 🍏🥗</t>
  </si>
  <si>
    <t>Doble de verde 🍏🥗</t>
  </si>
  <si>
    <r>
      <rPr>
        <sz val="11"/>
        <color rgb="FF000000"/>
        <rFont val="Aptos Narrow"/>
      </rPr>
      <t xml:space="preserve">Double portion today! 🍏🥗 Include two different servings of fruits and vegetables in your meals today for an extra energy boost. ⚡💪 </t>
    </r>
    <r>
      <rPr>
        <sz val="11"/>
        <color rgb="FFA02B93"/>
        <rFont val="Aptos Narrow"/>
      </rPr>
      <t>One tip: Fruit and vegetables taste better from local growers than from large supermarkets.</t>
    </r>
  </si>
  <si>
    <t>¡Hoy toca ración doble! 🍏🥗 Incluye dos raciones distintas de frutas y verduras en tus comidas de hoy para un extra de energía. ⚡💪</t>
  </si>
  <si>
    <t>P2-DN2-A-Young</t>
  </si>
  <si>
    <t>The Fruit Swap 🍎🔄</t>
  </si>
  <si>
    <t>El cambiazo de la fruta 🍎🔄</t>
  </si>
  <si>
    <t>Time for the swap! 🍎🔄 Replace your usual snack or treat with a piece of seasonal fruit today. Your body will thank you! 🍑✨</t>
  </si>
  <si>
    <t>¡Hora del cambiazo! 🍎🔄 Sustituye tu snack o tentempié habitual por una pieza de fruta de temporada. ¡Tu cuerpo te lo agradecerá! 🍑✨</t>
  </si>
  <si>
    <t>A1-DN2-A-Young</t>
  </si>
  <si>
    <t>Nutrida 3x3 Plan 🗓️⚡</t>
  </si>
  <si>
    <t>Plan Nutrida 3x3 🗓️⚡</t>
  </si>
  <si>
    <t>Ultimate Challenge! 🔥 For the next 3 days, eat 3 daily servings of 3 different colors. Plan them in the Nutrida app to automatically earn your points. 🗓️⚡</t>
  </si>
  <si>
    <t>¡Reto máximo! 🔥 Durante los próximos 3 días, comeremos 3 raciones diarias de 3 colores distintos. Planéalo en la app Nutrida para ganar tus puntos automáticamente. 🗓️⚡</t>
  </si>
  <si>
    <t>A2-DN2-A-Young</t>
  </si>
  <si>
    <t>Rainbow Bowl 🥣🌈</t>
  </si>
  <si>
    <t>Bol arcoíris 🥣🌈</t>
  </si>
  <si>
    <t>Art on a plate! 🥣🌈 Prepare a salad or a bowl with as many different colors as possible and share a photo with the community. Make it look delicious! 📸✨</t>
  </si>
  <si>
    <t>¡Arte en el plato! 🥣🌈 Prepara una ensalada o un bol con el mayor número de colores posible y comparte la foto con la comunidad. ¡Que entre por los ojos! 📸✨</t>
  </si>
  <si>
    <t>A3-DN2-A-Young</t>
  </si>
  <si>
    <t>Veggies 2.0 🥦🚀</t>
  </si>
  <si>
    <t>Verduras 2.0 🥦🚀</t>
  </si>
  <si>
    <t>Explore new flavors! 🥦🚀 Try a vegetable you've never had before. Dare to try bimi, romanesco, or kale? Upload your new discovery! 🧪🌟</t>
  </si>
  <si>
    <t>¡Explora nuevos sabores! 🥦🚀 Prueba una verdura que no conozcas. ¿Te atreves con el bimi, el romanesco o el kale? ¡Sube tu descubrimiento! 🧪🌟</t>
  </si>
  <si>
    <t>A4-DN2-A-Young</t>
  </si>
  <si>
    <t>Season’s Best 🍂🍓</t>
  </si>
  <si>
    <t>Lo mejor de la temporada 🍂🍓</t>
  </si>
  <si>
    <t>Total freshness! 🍂🍓 Share your favorite seasonal fruit with us right now. Local produce always tastes better! 🍐✅</t>
  </si>
  <si>
    <t>¡Frescura total! 🍂🍓 Comparte con nosotros cuál es tu fruta de temporada favorita en este momento. ¡Lo local siempre sabe mejor! 🍐✅</t>
  </si>
  <si>
    <t>M1-DN2-A-Young</t>
  </si>
  <si>
    <t>Level Up: 4-a-Day 📈🍎</t>
  </si>
  <si>
    <t>Nivel Pro: 4 al día 📈🍎</t>
  </si>
  <si>
    <t>Raise the stakes! 📈🍎 Increase your intake to 4 servings per day. Plan your weekly menu in the Nutrida app, and points will be added automatically once the task is complete. 🚀✨</t>
  </si>
  <si>
    <t>¡Sube la apuesta! 📈🍎 Aumenta tu consumo a 4 raciones diarias. Planifica tu menú semanal en la app Nutrida y los puntos se sumarán automáticamente al completar la tarea. 🚀✨</t>
  </si>
  <si>
    <t>M2-DN2-A-Young</t>
  </si>
  <si>
    <t>Season Match Challenge 📅🍒</t>
  </si>
  <si>
    <t>El reto de las estaciones 📅🍒</t>
  </si>
  <si>
    <t>Are you a botany expert? 📅🍒 Test your knowledge and match each of these fruits and vegetables with the season where they are at their peak. ☀️❄️</t>
  </si>
  <si>
    <t>¿Eres un experto botánico? 📅🍒 Pon a prueba tus conocimientos y empareja cada una de estas frutas y verduras con la estación en la que están en su punto óptimo. ☀️❄️</t>
  </si>
  <si>
    <r>
      <t>Question Options:</t>
    </r>
    <r>
      <rPr>
        <sz val="11"/>
        <color theme="1"/>
        <rFont val="Aptos Narrow"/>
        <family val="2"/>
        <scheme val="minor"/>
      </rPr>
      <t xml:space="preserve"> [Q1 (Summer Fruits ☀️): Watermelon and Melon 🍉, Apple and Pear 🍎, Orange and Tangerine 🍊; Q2 (Winter Fruits ❄️): Strawberry and Cherry 🍓, Orange and Tangerine 🍊, Peach and Apricot 🍑; Q3 (Spring Vegetables 🌸): Asparagus and Peas 🎋🫛, Pumpkin and Cabbage 🎃, Eggplant and Pepper 🍆; Q4 (Autumn Vegetables 🍂): Pumpkin and Mushrooms 🎃🍄, Zucchini and Tomato 🥒🍅, Asparagus and Beans 🎋🫛; Q5 (Year-round Basics 🗓️): Lettuce and Onion 🥬🧅, Cherries and Plums 🍒🫐, Artichokes and Cauliflower 🥗🥦]</t>
    </r>
  </si>
  <si>
    <r>
      <t>Question Options:</t>
    </r>
    <r>
      <rPr>
        <sz val="11"/>
        <color theme="1"/>
        <rFont val="Aptos Narrow"/>
        <family val="2"/>
        <scheme val="minor"/>
      </rPr>
      <t xml:space="preserve"> [Q1 (Frutas de Verano ☀️): Sandía y Melón 🍉, Manzana y Pera 🍎, Naranja y Mandarina 🍊; Q2 (Frutas de Invierno ❄️): Fresa y Cereza 🍓, Naranja y Mandarina 🍊, Melocotón y Albaricoque 🍑; Q3 (Verduras de Primavera 🌸): Espárragos y Guisantes 🎋🫛, Calabaza y Col 🎃, Berenjena y Pimiento 🍆; Q4 (Verduras de Otoño 🍂): Calabaza y Setas 🎃🍄, Calabacín y Tomate 🥒🍅, Espárragos y Judías 🎋🫛; Q5 (Básicos de todo el año 🗓️): Lechuga y Cebolla 🥬🧅, Cerezas y Ciruelas 🍒🫐, Alcachofas y Coliflor 🥗🥦]</t>
    </r>
  </si>
  <si>
    <t>M3-DN2-A-Young</t>
  </si>
  <si>
    <t>Plate Upgrade 🍽️✨</t>
  </si>
  <si>
    <t>Plato mejorado 🍽️✨</t>
  </si>
  <si>
    <t>The perfect plate! 🍽️✨ Include a serving of fruit or vegetables in every single meal today and share an image with the community to earn your points. 📸🔥</t>
  </si>
  <si>
    <t>¡El plato perfecto! 🍽️✨ Incluye una ración de fruta o verdura en cada una de tus comidas del día y comparte una imagen con la comunidad para sumar tus puntos. 📸🔥</t>
  </si>
  <si>
    <t>M4-DN2-A-Young</t>
  </si>
  <si>
    <t>Gut Check 🚽🔍</t>
  </si>
  <si>
    <t>Check intestinal 🚽🔍</t>
  </si>
  <si>
    <t>Your health is talking! 🚽🔍 Understand your internal status by checking your transit: match each stool type with the corresponding dietary mistake. Fiber is the key! 📋💡</t>
  </si>
  <si>
    <t>¡Tu salud habla! 🚽🔍 Conoce tu estado interno revisando tu tránsito: relaciona cada tipo de heces con el error dietético correspondiente. ¡La fibra es la clave! 📋💡</t>
  </si>
  <si>
    <t>Question Options: [Q1 (Hard lumps / Constipation 🧱): Low fiber and low water intake 💧, Excessive probiotic intake 🧪, Too much leafy green consumption 🥬; Q2 (Watery or liquid / Diarrhea 🌊): High intake of whole grains 🌾, Possible food intolerance or infection ⚠️, Not enough red meat 🥩; Q3 (Soft sausage shape / Ideal ✨): Normal balanced diet ✅, Lack of dietary fats 🥑, Excessive sugar consumption 🍭; Q4 (Cracked sausage shape / Near ideal 👍): Slight dehydration 🏜️, Too much exercise 🏃, Excess of vitamin C 🍊; Q5 (Greasy or floating stools 🫧): Poor fat absorption or excess fatty foods 🍟, High protein intake 🍗, Lack of carbohydrates 🍞]</t>
  </si>
  <si>
    <t>Question Options: [Q1 (Bolas duras / Estreñimiento 🧱): Poca fibra y poca hidratación 💧, Exceso de probióticos 🧪, Demasiadas verduras de hoja verde 🥬; Q2 (Líquidas o acuosas / Diarrea 🌊): Mucho cereal integral 🌾, Posible intolerancia o infección ⚠️, Falta de carne roja 🥩; Q3 (Forma de salchicha suave / Ideal ✨): Dieta equilibrada y normal ✅, Falta de grasas saludables 🥑, Exceso de azúcar 🍭; Q4 (Forma de salchicha con grietas / Casi ideal 👍): Ligera deshidratación 🏜️, Demasiado ejercicio físico 🏃, Exceso de vitamina C 🍊; Q5 (Heces grasas o flotantes 🫧): Mala absorción de grasa o exceso de fritos 🍟, Mucha proteína 🍗, Falta de carbohidratos 🍞]</t>
  </si>
  <si>
    <t>DN3-A</t>
  </si>
  <si>
    <t>PC1-DN3-A-Young</t>
  </si>
  <si>
    <t>Benefits in young adults 🥛💪</t>
  </si>
  <si>
    <t>Beneficios en adultos jóvenes 🥛💪</t>
  </si>
  <si>
    <t>Dairy products are essential for reaching your peak bone mass before age 30. Building a good calcium reserve now is your best insurance for the future. 🦴✨</t>
  </si>
  <si>
    <t>Los lácteos son fundamentales para alcanzar tu pico de masa ósea antes de los 30 años. Una buena reserva de calcio ahora es tu mejor seguro de vida para el futuro. 🦴✨</t>
  </si>
  <si>
    <t>PC2-DN3-A-Young</t>
  </si>
  <si>
    <t>Dairy mythbusters 🕵️‍♂️🥛</t>
  </si>
  <si>
    <t>Cazadores de mitos lácteos 🕵️‍♂️🥛</t>
  </si>
  <si>
    <t>Is consuming dairy after childhood harmful? Write down what you have heard about this or what your current opinion is on the subject. 🥛🤔</t>
  </si>
  <si>
    <t>¿Es perjudicial consumir lácteos después de la infancia? Escribe qué has oído al respecto o cuál es tu opinión actual sobre este tema. 🥛🤔</t>
  </si>
  <si>
    <t>C1-DN3-A-Young</t>
  </si>
  <si>
    <t>Dairy diary 📝🥛</t>
  </si>
  <si>
    <t>Diario de lácteos 📝🥛</t>
  </si>
  <si>
    <t>Keep track of your intake! 📝🥛 Share with the community a dairy product you have consumed throughout the day today.</t>
  </si>
  <si>
    <t>¡Ojo a lo que consumes! 📝🥛 Comparte con la comunidad un producto lácteo que hayas tomado a lo largo del día de hoy.</t>
  </si>
  <si>
    <t>C2-DN3-A-Young</t>
  </si>
  <si>
    <t>Yogurt mix 🥣🍓</t>
  </si>
  <si>
    <t>Mix de yogur 🥣🍓</t>
  </si>
  <si>
    <r>
      <rPr>
        <sz val="11"/>
        <color rgb="FF000000"/>
        <rFont val="Aptos Narrow"/>
      </rPr>
      <t xml:space="preserve">Snack time! Prepare a plain yogurt today and add your favorite fruit. Enjoy a satisfying and nutritious combination. 🥣🍎 </t>
    </r>
    <r>
      <rPr>
        <sz val="11"/>
        <color rgb="FFA02B93"/>
        <rFont val="Aptos Narrow"/>
      </rPr>
      <t>For longer fullness, use protein or Greek yogurt.</t>
    </r>
  </si>
  <si>
    <t>¡Hora de merendar! Prepárate hoy mismo un yogur natural y añádele tu fruta favorita. Disfruta de una combinación saciante y nutritiva. 🥣🍎</t>
  </si>
  <si>
    <t>P1-DN3-A-Young</t>
  </si>
  <si>
    <t>Nutrida dairy log 🗓️✅</t>
  </si>
  <si>
    <t>Registro lácteo Nutrida 🗓️✅</t>
  </si>
  <si>
    <t>Plan your menu in the Nutrida app and include at least one serving of dairy today. Points will be added automatically upon completion. 🗓️✅</t>
  </si>
  <si>
    <t>Planifica tu menú en la app Nutrida e incluye al menos una ración de lácteos en el día de hoy. Los puntos se sumarán automáticamente al completar la tarea. 🗓️✅</t>
  </si>
  <si>
    <t>P2-DN3-A-Young</t>
  </si>
  <si>
    <t>Probiotic power 🧪🔋</t>
  </si>
  <si>
    <t>El poder de los probióticos 🧪🔋</t>
  </si>
  <si>
    <t>Did you know that fermented products are probiotics? Choose one (kefir, plain yogurt, cheese) and upload a photo of your choice. 🧪📸</t>
  </si>
  <si>
    <t>¿Sabías que los productos fermentados son probióticos? Elige uno (kéfir, yogur natural, queso) y sube una foto de tu elección. 🧪📸</t>
  </si>
  <si>
    <t>A1-DN3-A-Young</t>
  </si>
  <si>
    <t>Upgrade your dairy 🥛🚀</t>
  </si>
  <si>
    <t>Mejora tu lácteo 🥛🚀</t>
  </si>
  <si>
    <t>Level up! 🥛🚀 Choose sugar-free yogurts, cheeses with a better fat profile, and high-quality milk. Share a photo of your improved dairy product. 📸✅</t>
  </si>
  <si>
    <t>¡Sube el nivel! 🥛🚀 Elige yogures sin azúcar, quesos con mejor perfil graso y leche de calidad. Comparte una foto de tu producto lácteo mejorado. 📸✅</t>
  </si>
  <si>
    <t>A2-DN3-A-Young</t>
  </si>
  <si>
    <t>Top dairy picks 🌟🧀</t>
  </si>
  <si>
    <t>Mis lácteos favoritos 🌟🧀</t>
  </si>
  <si>
    <r>
      <rPr>
        <sz val="11"/>
        <color rgb="FF000000"/>
        <rFont val="Aptos Narrow"/>
      </rPr>
      <t xml:space="preserve">We want recommendations! 🌟🧀 Share with the rest of the community which dairy product is your all-time favorite. </t>
    </r>
    <r>
      <rPr>
        <sz val="11"/>
        <color rgb="FFA02B93"/>
        <rFont val="Aptos Narrow"/>
      </rPr>
      <t xml:space="preserve"> Try to choose dairy products that are not ultra-processed.</t>
    </r>
  </si>
  <si>
    <t>¡Queremos recomendaciones! 🌟🧀 Comparte con el resto de la comunidad cuál es tu producto lácteo favorito de todos los tiempos.</t>
  </si>
  <si>
    <t>A3-DN3-A-Young</t>
  </si>
  <si>
    <t>DIY nice cream 🍦🍌</t>
  </si>
  <si>
    <t>Helado saludable DIY 🍦🍌</t>
  </si>
  <si>
    <t>Refreshing dessert! 🍦🍌 Try making a healthy homemade dairy-based ice cream (using yogurt or whipped cheese). Upload your creation! 📸😋 Have you ever tried to mixed frozen banana with milk? It is pretty delicious.</t>
  </si>
  <si>
    <t>¡Postre refrescante! 🍦🍌 Atrévete a preparar un helado casero saludable utilizando una base de lácteo (yogur o queso batido). ¡Sube tu creación! 📸😋</t>
  </si>
  <si>
    <t>A4-DN3-A-Young</t>
  </si>
  <si>
    <t>Plant drink facts 🥛🌱</t>
  </si>
  <si>
    <t>Realidad de las bebidas vegetales 🥛🌱</t>
  </si>
  <si>
    <t>Don't be fooled! 🥛🌱 Plant-based drinks are not dairy, and some contain a high amount of added sugars. Do you know how to check your label? 🧐🔍</t>
  </si>
  <si>
    <t>¡No te dejes engañar! 🥛🌱 Las bebidas vegetales no son lácteos y algunas tienen mucho azúcar añadido. ¿Sabes revisar la etiqueta de la tuya? 🧐🔍</t>
  </si>
  <si>
    <t>M1-DN3-A-Young</t>
  </si>
  <si>
    <t>Smoothie shot 🥤🍓</t>
  </si>
  <si>
    <t>Chupito de smoothie 🥤🍓</t>
  </si>
  <si>
    <t>Liquid energy! 🥤🍓 Make a fruit and yogurt smoothie and share the photo with the rest of the community to inspire us. 📸✨</t>
  </si>
  <si>
    <t>¡Energía líquida! 🥤🍓 Prepara un smoothie de frutas y yogur y comparte la foto con el resto de la comunidad para inspirarnos. 📸✨</t>
  </si>
  <si>
    <t>M2-DN3-A-Young</t>
  </si>
  <si>
    <t>Dairy swap 🔄🧀</t>
  </si>
  <si>
    <t>El cambiazo lácteo 🔄🧀</t>
  </si>
  <si>
    <t>Upgrade your snack! 🔄🧀 Replace a less healthy option with a quality dairy product (like a piece of cheese or yogurt). Upload your swap! 📸✅</t>
  </si>
  <si>
    <t>¡Mejora tu snack! 🔄🧀 Sustituye una opción poco saludable por un lácteo de calidad (como un trozo de queso o un yogur). ¡Sube tu cambio! 📸✅</t>
  </si>
  <si>
    <t>M3-DN3-A-Young</t>
  </si>
  <si>
    <t>Coffee &amp; milk: the dynamic duo ☕🥛</t>
  </si>
  <si>
    <t>Café con leche: el dúo dinámico ☕🥛</t>
  </si>
  <si>
    <t>Did you know coffee and milk boost each other? ☕🥛 The antioxidant compounds in coffee and the vitamins in milk enhance nutrient absorption from both foods.</t>
  </si>
  <si>
    <t>¿Sabías que el café y la leche se potencian? ☕🥛 Los antioxidantes del café y las vitaminas de la leche mejoran la absorción de nutrientes de ambos.</t>
  </si>
  <si>
    <t>M4-DN3-A-Young</t>
  </si>
  <si>
    <t>Whey origin 🥛❓</t>
  </si>
  <si>
    <t>El origen de las WHEY PROTEIN 🥛❓</t>
  </si>
  <si>
    <t>Milk Muscles? 🏋️‍♂️🥛 Most protein supplements (Whey) you see at the gym extract their power directly from milk whey. It's pure nutrition! 🥛❓</t>
  </si>
  <si>
    <t>¿Músculos de leche? 🏋️‍♂️🥛 La mayoría de suplementos de proteína (Whey) que ves en el gimnasio extraen su poder directamente del suero de la leche. ¡Es nutrición pura! 🥛❓</t>
  </si>
  <si>
    <t>DN4-A</t>
  </si>
  <si>
    <t>PC1-DN4-A-Young</t>
  </si>
  <si>
    <t>Eco-protein shift 🌍🍗</t>
  </si>
  <si>
    <t>Cambio eco-proteico 🌍🍗</t>
  </si>
  <si>
    <r>
      <rPr>
        <sz val="11"/>
        <color rgb="FF000000"/>
        <rFont val="Aptos Narrow"/>
      </rPr>
      <t xml:space="preserve">Replace one serving of meat with a serving of legumes today to enjoy your protein intake in a more sustainable way. 🌍 </t>
    </r>
    <r>
      <rPr>
        <sz val="11"/>
        <color rgb="FFA02B93"/>
        <rFont val="Aptos Narrow"/>
      </rPr>
      <t>Try to combine different types of legumes to obtain a complete spectrum of amino acids, allowing your body to better utilize the proteins they contain.</t>
    </r>
  </si>
  <si>
    <t>Sustituye una ración de carne por una de legumbres hoy mismo. Disfruta de tu aporte de proteínas de una forma más sostenible. 🌍</t>
  </si>
  <si>
    <t>PC2-DN4-A-Young</t>
  </si>
  <si>
    <t>Protein scanner 🔍🌱</t>
  </si>
  <si>
    <t>Escáner de proteínas 🔍🌱</t>
  </si>
  <si>
    <t>Not all plant proteins are the same. Learn how to identify the most complete sources in this protein scanner challenge. 🧐🌱</t>
  </si>
  <si>
    <t>¿Sabías que no todas las proteínas vegetales son iguales? Aprende a identificar las fuentes más completas en este reto. 🧐🌱</t>
  </si>
  <si>
    <t>Question Options: [Q1 (Legumes/Chickpeas): Source of protein, Not a source of protein; Q2 (Eggs): Source of protein, Not a source of protein; Q3 (White Rice): Source of protein, Not a source of protein; Q4 (Salmon/Fish): Source of protein, Not a source of protein; Q5 (Cucumber): Source of protein, Not a source of protein]</t>
  </si>
  <si>
    <t>Question Options: [Q1 (Legumbres/Garbanzos 🫘): Fuente de proteína, No es una fuente de proteína; Q2 (Huevos 🥚): Fuente de proteína, No es una fuente de proteína; Q3 (Arroz blanco 🍚): Fuente de proteína, No es una fuente de proteína; Q4 (Salmón/Pescado 🐟): Fuente de proteína, No es una fuente de proteína; Q5 (Pepino 🥒): Fuente de proteína, No es una fuente de proteína]</t>
  </si>
  <si>
    <t>C1-DN4-A-Young</t>
  </si>
  <si>
    <t>Meatless swap 🔄🥩</t>
  </si>
  <si>
    <t>El cambiazo sin carne 🔄🥩</t>
  </si>
  <si>
    <t>Swap one serving of animal protein for a plant-based option and tell us which one you chose. 🔄🥩</t>
  </si>
  <si>
    <t>Sustituye una ración de proteína animal por una vegetal para disfrutar de tus proteínas de forma distinta. ¡Cuéntanos qué has elegido! 🔄🥩</t>
  </si>
  <si>
    <t>C2-DN4-A-Young</t>
  </si>
  <si>
    <t>Amino combo 🔄🌾</t>
  </si>
  <si>
    <t>Combo de aminoácidos 🔄🌾</t>
  </si>
  <si>
    <t>Did you know that lentils and rice complement each other perfectly to provide all essential amino acids? 🔄🌾</t>
  </si>
  <si>
    <t>¿Sabías que las lentejas y el arroz se complementan para ofrecerte todos los aminoácidos esenciales? ¡Es el combo perfecto! 🔄🌾</t>
  </si>
  <si>
    <t>P1-DN4-A-Young</t>
  </si>
  <si>
    <t>Plant power pick 🌟🌿</t>
  </si>
  <si>
    <t>Mi elección vegetal 🌟🌿</t>
  </si>
  <si>
    <t>Share your favorite plant-based protein source with the rest of the community. Inspire others with your choice! 🌟🌿</t>
  </si>
  <si>
    <t>Comparte con el resto de la comunidad cuál es tu fuente de proteína vegetal favorita. ¡Inspira a los demás! 🌟🌿</t>
  </si>
  <si>
    <t>P2-DN4-A-Young</t>
  </si>
  <si>
    <t>Newbie plant pro 🌱🔝</t>
  </si>
  <si>
    <t>Novato pro en vegetales 🌱🔝</t>
  </si>
  <si>
    <t>Try a new plant-based protein source today and share your experience with the community. 🌱✨</t>
  </si>
  <si>
    <t>¡Atrévete con algo nuevo! Prueba una fuente de proteína vegetal que nunca hayas comido y comparte tu experiencia con la comunidad. 🌱✨</t>
  </si>
  <si>
    <t>A1-DN4-A-Young</t>
  </si>
  <si>
    <t>Alt-meat taste test 🍔🧪</t>
  </si>
  <si>
    <t>Test de sabor: carne vegetal 🍔🧪</t>
  </si>
  <si>
    <t>Have you tried foods like textured soy, seitan, or bulgur? Tell us your verdict on these meat alternatives! 🧪🍔</t>
  </si>
  <si>
    <t>¿Has probado alimentos como la soja texturizada, el seitán o el bulgur? 🧪🍔 ¡Cuéntanos cuál es tu veredicto!</t>
  </si>
  <si>
    <t>A2-DN4-A-Young</t>
  </si>
  <si>
    <t>Chef mode: plant edition 👨‍🍳🥦</t>
  </si>
  <si>
    <t>Modo chef: edición vegetal 👨‍🍳🥦</t>
  </si>
  <si>
    <t>Get into chef mode! Include a recipe with a plant-based protein source in your Nutrida app menu. 👨‍🍳📖</t>
  </si>
  <si>
    <t>¡Saca el chef que llevas dentro! Incluye una receta con una fuente de proteína vegetal en tu menú de la app Nutrida. 👨‍🍳📖</t>
  </si>
  <si>
    <t>A3-DN4-A-Young</t>
  </si>
  <si>
    <t>Protein face-off ⚔️💪</t>
  </si>
  <si>
    <t>El duelo de las proteínas ⚔️💪</t>
  </si>
  <si>
    <t>Which of these foods contains more protein? Test your knowledge by comparing animal-based and plant-based options. ⚔️💪</t>
  </si>
  <si>
    <t>¿Cuál de estos alimentos crees que tiene más proteína? Pon a prueba tus conocimientos comparando alimentos animales y vegetales. ⚔️💪</t>
  </si>
  <si>
    <t>Question Options: [Q1 (Animal vs Plant): 100g Chicken Breast, 100g Cooked Lentils; Q2 (Dairy vs Legumes): 100g Greek Yogurt, 100g Boiled Chickpeas; Q3 (Fish vs Nuts): 100g Salmon Fillet, 100g Walnuts; Q4 (Egg vs Soy): 1 Large Egg, 100g Firm Tofu; Q5 (Beef vs Seitan): 100g Lean Beef, 100g Seitan (Wheat Gluten)]</t>
  </si>
  <si>
    <t>Question Options: [Q1 (Animal vs Vegetal 🍗🌿): 100g de pechuga de pollo, 100g de lentejas cocidas; Q2 (Lácteos vs Legumbres 🥛): 100g de yogur griego, 100g de garbanzos cocidos; Q3 (Pescado vs Frutos secos 🐟🥜): 100g de lomo de salmón, 100g de nueces; Q4 (Huevo vs Soja 🥚🌱): 1 huevo grande, 100g de tofu firme; Q5 (Ternera vs Seitán 🥩🌾): 100g de ternera magra, 100g de seitán (gluten de trigo)]</t>
  </si>
  <si>
    <t>A4-DN4-A-Young</t>
  </si>
  <si>
    <t>Pulse pic 📸</t>
  </si>
  <si>
    <t>La foto de las legumbres 📸</t>
  </si>
  <si>
    <t>Show off your dish! Upload a photo of your favorite legume-based recipe for the community to see. 📸</t>
  </si>
  <si>
    <t>¡Presume de plato! Sube una foto de tu receta favorita hecha a base de legumbres. Queremos ver ese colorido. 📸</t>
  </si>
  <si>
    <t>M1-DN4-A-Young</t>
  </si>
  <si>
    <t>Fiber flex 🌾💪</t>
  </si>
  <si>
    <t>Flexibilidad con fibra 🌾💪</t>
  </si>
  <si>
    <t>Legumes are an excellent food choice due to their high fiber content and quality protein. How do you feel after eating them? 🌾💪</t>
  </si>
  <si>
    <t>Las legumbres son un alimento excelente gracias a su alto contenido en fibra y proteína de gran calidad. ¿Cómo te sientes después de comerlas? 🌾💪</t>
  </si>
  <si>
    <t>M2-DN4-A-Young</t>
  </si>
  <si>
    <t>Weekly green streak 🗓️🍃</t>
  </si>
  <si>
    <t>Racha verde semanal 🗓️🍃</t>
  </si>
  <si>
    <t>How many servings of plant-based protein have you consumed this week? Share each one with the community to complete your streak. 🗓️🍃</t>
  </si>
  <si>
    <t>¿Cuántas raciones de proteína vegetal has consumido esta semana? Comparte cada una de ellas con la comunidad para completar tu racha. 🗓️🍃</t>
  </si>
  <si>
    <t>M3-DN4-A-Young</t>
  </si>
  <si>
    <t>Farm to fork: legumes 🚜</t>
  </si>
  <si>
    <t>De la granja al tenedor: legumbres 🚜</t>
  </si>
  <si>
    <t>Do you know how legumes are grown? Watch this video to discover the origin and impact of this superfood. 🚜🎥</t>
  </si>
  <si>
    <t>¿Sabes realmente cómo se cultivan las legumbres? Mira este vídeo y descubre el origen de este superalimento. 🚜🎥</t>
  </si>
  <si>
    <t> https://www.youtube.com/watch?v=acAZu77Bclw</t>
  </si>
  <si>
    <t>M4-DN4-A-Young</t>
  </si>
  <si>
    <t>Before &amp; after 🔄✨</t>
  </si>
  <si>
    <t>Antes y después 🔄✨</t>
  </si>
  <si>
    <t>Time to reflect: tell us if the amount of plant-based foods you consume has changed after participating in this project. 🔄✨</t>
  </si>
  <si>
    <t>Momento de reflexión: cuéntanos si la cantidad de alimentos vegetales que consumes ha cambiado tras participar en este proyecto. 🔄✨</t>
  </si>
  <si>
    <t>DN5-A</t>
  </si>
  <si>
    <t>PC1-DN5-A-Young</t>
  </si>
  <si>
    <t>Gold standard fat 🥇</t>
  </si>
  <si>
    <t>El estándar de oro de las grasas 🥇</t>
  </si>
  <si>
    <t>Extra virgin olive oil (EVOO) is the best fat for cooking. Its content of polyphenols, vitamin E, and antioxidants is far superior to that of sunflower, rapeseed, or palm oil. Did you know this? 🥇</t>
  </si>
  <si>
    <t>El aceite de oliva virgen extra (AOVE) es la mejor grasa para cocinar. Su contenido en polifenoles, vitamina E y antioxidantes es muy superior al de girasol, colza o palma. ¿Conocías este dato? 🥇</t>
  </si>
  <si>
    <t>Der Goldstandard der Fette</t>
  </si>
  <si>
    <t>Natives Olivenöl extra ist das beste Fett zum Kochen. Sein Gehalt an Polyphenolen, Vitamin E und Antioxidantien ist deutlich höher als der von Sonnenblumen-, Raps- oder Palmöl. Kanntest du diese Information?</t>
  </si>
  <si>
    <t>PC2-DN5-A-Young</t>
  </si>
  <si>
    <t>EVOO vs. regular oil 🧐</t>
  </si>
  <si>
    <t>AOVE vs. aceite convencional 🧐</t>
  </si>
  <si>
    <t>The difference is key: EVOO is obtained only by mechanical means, has more flavor, and lower acidity; regular olive oil is a blend of refined oils with lower quality and fewer nutrients. 🧐</t>
  </si>
  <si>
    <t>La diferencia es clave: el AOVE se obtiene solo por medios mecánicos, tiene más sabor y menos acidez; el aceite de oliva común es una mezcla de aceites refinados con menos calidad y nutrientes. 🧐</t>
  </si>
  <si>
    <t>Natives Olivenöl extra vs. herkömmliches Öl</t>
  </si>
  <si>
    <t>Der Unterschied ist entscheidend: Natives Olivenöl extra wird ausschließlich durch mechanische Verfahren gewonnen, hat mehr Geschmack und weniger Säure; gewöhnliches Olivenöl ist eine Mischung aus raffinierten Ölen mit geringerer Qualität und weniger Nährstoffen.</t>
  </si>
  <si>
    <t>C1-DN5-A-Young</t>
  </si>
  <si>
    <t>Oil reveal 📸</t>
  </si>
  <si>
    <t>Revela tu aceite 📸</t>
  </si>
  <si>
    <t>We want to see your pantry! Upload a photo of the oil you usually use for cooking in your daily life. 📸</t>
  </si>
  <si>
    <t>¡Queremos ver tu despensa! Sube una foto del aceite que utilizas habitualmente para cocinar en tu día a día. 📸🧴</t>
  </si>
  <si>
    <t>Entlarve dein Öl</t>
  </si>
  <si>
    <t>Wir möchten deine Vorratskammer sehen! Lade ein Foto des Öls hoch, das du im Alltag zum Kochen verwendest.</t>
  </si>
  <si>
    <t>C2-DN5-A-Young</t>
  </si>
  <si>
    <t>The choice factor ❓</t>
  </si>
  <si>
    <t>El factor de elección ❓</t>
  </si>
  <si>
    <t>Reflect and answer to the community: Why do you usually choose that specific oil for cooking? Is it for flavor, health, or price? ❓</t>
  </si>
  <si>
    <t>Reflexiona y responde a la comunidad: ¿Por qué sueles elegir ese aceite específico para cocinar? ¿Es por sabor, salud o precio? 🧐❓</t>
  </si>
  <si>
    <t>Der Entscheidungsfaktor</t>
  </si>
  <si>
    <t>Denke nach und antworte der Community: Warum wählst du normalerweise dieses spezielle Öl zum Kochen? Wegen des Geschmacks, der Gesundheit oder des Preises?</t>
  </si>
  <si>
    <t>P1-DN5-A-Young</t>
  </si>
  <si>
    <t>Omega-9 &amp; 6 source 🔋</t>
  </si>
  <si>
    <t>Fuente de omega-9 y omega-6 🔋</t>
  </si>
  <si>
    <t>Extra virgin olive oil is not just fat; it is an exceptional source of omega-9 and omega-6 fatty acids to protect your heart. 🔋</t>
  </si>
  <si>
    <t>El aceite de oliva virgen extra no es solo grasa; es una fuente excepcional de ácidos grasos omega-9 y omega-6 para proteger tu corazón. 🧪🔋</t>
  </si>
  <si>
    <t>Quelle von Omega-9 und Omega-6</t>
  </si>
  <si>
    <t>Natives Olivenöl extra ist nicht nur Fett; es ist eine hervorragende Quelle für Omega-9- und Omega-6-Fettsäuren zum Schutz deines Herzens.</t>
  </si>
  <si>
    <t>P2-DN5-A-Young</t>
  </si>
  <si>
    <t>Oil upgrade 🔄</t>
  </si>
  <si>
    <t>Mejora tu aceite 🔄</t>
  </si>
  <si>
    <t>If you usually use an oil other than olive oil, swap it for EVOO during this week. Share a photo of the change with us! 🔄</t>
  </si>
  <si>
    <t>Si utilizas habitualmente un aceite que no sea de oliva, cámbialo por AOVE durante esta semana. ¡Comparte la foto del cambio con nosotros! 🔄🧴</t>
  </si>
  <si>
    <t>Verbessere dein Öl</t>
  </si>
  <si>
    <t>Wenn du normalerweise ein anderes Öl als Olivenöl verwendest, ersetze es in dieser Woche durch natives Olivenöl extra. Teile ein Foto der Veränderung mit uns.</t>
  </si>
  <si>
    <t>A1-DN5-A-Young</t>
  </si>
  <si>
    <t>Nutrida EVOO chef 👨‍🍳</t>
  </si>
  <si>
    <t>Chef AOVE Nutrida 👨‍🍳</t>
  </si>
  <si>
    <t>To the kitchen! Choose a recipe from the Nutrida app and prepare it using extra virgin olive oil as the main fat. 👨‍🍳</t>
  </si>
  <si>
    <t>¡A los fogones! Elige una receta de la app Nutrida y prepárala utilizando aceite de oliva virgen extra como grasa principal. 👨‍🍳</t>
  </si>
  <si>
    <t>Chef Natives Olivenöl extra Nutrida</t>
  </si>
  <si>
    <t>An den Herd! Wähle ein Rezept aus der Nutrida-App und bereite es mit nativem Olivenöl extra als Hauptfett zu.</t>
  </si>
  <si>
    <t>A2-DN5-A-Young</t>
  </si>
  <si>
    <t>Quality ranking 🏆</t>
  </si>
  <si>
    <t>Ranking de calidad 🏆</t>
  </si>
  <si>
    <t>Put your knowledge to the test: rank these types of oil from highest to lowest quality according to their extraction process and nutrients. 🏆</t>
  </si>
  <si>
    <t>Pon a prueba tus conocimientos: ordena estos tipos de aceite de mayor a menor calidad según su proceso de extracción y nutrientes. 🏆📉</t>
  </si>
  <si>
    <t>Qualitätsranking</t>
  </si>
  <si>
    <t>Teste dein Wissen: Ordne diese Ölsorten nach ihrem Extraktionsverfahren und Nährstoffgehalt von höchster zu niedrigster Qualität.</t>
  </si>
  <si>
    <t>Question Options: [Q1 (Top Quality): Extra virgin olive oil, Virgin olive oil, Olive oil, Pomace oil; Q2 (Second Best): Virgin olive oil, Extra virgin olive oil, Pomace oil, Olive oil; Q3 (Refined Blend): Olive oil, Extra virgin olive oil, Virgin olive oil, Pomace oil; Q4 (Lowest Quality): Pomace oil, Olive oil, Virgin olive oil, Extra virgin olive oil; Q5 (Correct Order - Best to Worst): Extra virgin &gt; Virgin &gt; Olive oil &gt; Pomace oil, Pomace oil &gt; Olive oil &gt; Virgin &gt; Extra virgin]</t>
  </si>
  <si>
    <r>
      <t>Question Options:</t>
    </r>
    <r>
      <rPr>
        <sz val="11"/>
        <color theme="1"/>
        <rFont val="Aptos Narrow"/>
        <family val="2"/>
        <scheme val="minor"/>
      </rPr>
      <t xml:space="preserve"> [Q1 (Máxima calidad): Aceite de oliva virgen extra, Aceite de oliva virgen, Aceite de oliva, Aceite de orujo; Q2 (Segunda mejor): Aceite de oliva virgen, Aceite de oliva virgen extra, Aceite de orujo, Aceite de oliva; Q3 (Mezcla refinada): Aceite de oliva, Aceite de oliva virgen extra, Aceite de oliva virgen, Aceite de orujo; Q4 (Menor calidad): Aceite de orujo, Aceite de oliva, Aceite de oliva virgen, Aceite de oliva virgen extra; Q5 (Orden correcto - Mejor a peor): Virgen extra &gt; Virgen &gt; Aceite de oliva &gt; Aceite de orujo, Aceite de orujo &gt; Aceite de oliva &gt; Virgen &gt; Virgen extra]</t>
    </r>
  </si>
  <si>
    <t>A3-DN5-A-Young</t>
  </si>
  <si>
    <t>Raw power facts 🥗</t>
  </si>
  <si>
    <t>El poder del consumo en crudo 🥗</t>
  </si>
  <si>
    <t>Did you know that EVOO maintains its beneficial properties better when consumed raw than when subjected to high temperatures? 🥗</t>
  </si>
  <si>
    <t>¿Sabías que el AOVE mantiene mejor sus propiedades beneficiosas cuando se consume en crudo que cuando se somete a altas temperaturas? 🥗✨</t>
  </si>
  <si>
    <t>Die Kraft des Rohverzehrs</t>
  </si>
  <si>
    <t>Wusstest du, dass natives Olivenöl extra seine vorteilhaften Eigenschaften besser behält, wenn es roh verzehrt wird, als wenn es hohen Temperaturen ausgesetzt wird?</t>
  </si>
  <si>
    <t>A4-DN5-A-Young</t>
  </si>
  <si>
    <t>Dressing spotlight 🧴</t>
  </si>
  <si>
    <t>El protagonista del aliño 🧴</t>
  </si>
  <si>
    <t>A good dressing makes all the difference. Share the recipe for your favorite salad dressing and upload a photo of the result. 📸</t>
  </si>
  <si>
    <t>Un buen aliño marca la diferencia. Comparte la receta de tu aliño favorito para ensaladas y sube una foto del resultado. 📸🥗</t>
  </si>
  <si>
    <t>Der Star des Dressings</t>
  </si>
  <si>
    <t>Ein gutes Dressing macht den Unterschied. Teile das Rezept deines Lieblingsdressings für Salate und lade ein Foto des Ergebnisses hoch.</t>
  </si>
  <si>
    <t>M1-DN5-A-Young</t>
  </si>
  <si>
    <t>Oil re-use rule 🔥</t>
  </si>
  <si>
    <t>La regla de reutilización 🔥</t>
  </si>
  <si>
    <t>Oil is not infinite. Do you really know how many times cooking oil can be reused before it becomes harmful? Find out here. 🔥</t>
  </si>
  <si>
    <t>El aceite no es infinito. ¿Sabes realmente cuántas veces se puede reutilizar el aceite de cocina antes de que sea perjudicial? Descúbrelo aquí. 🔄🔥</t>
  </si>
  <si>
    <t>Die Regel der Wiederverwendung</t>
  </si>
  <si>
    <t>Öl ist nicht unendlich haltbar. Weißt du wirklich, wie oft man Speiseöl wiederverwenden kann, bevor es schädlich wird? Finde es hier heraus.</t>
  </si>
  <si>
    <t>M2-DN5-A-Young</t>
  </si>
  <si>
    <t>EVOO daily goal 🎯</t>
  </si>
  <si>
    <t>Objetivo diario de AOVE 🎯</t>
  </si>
  <si>
    <t>Show what you have learned: What is the recommended daily amount of extra virgin olive oil in a healthy diet? Answer and earn points! 🎯</t>
  </si>
  <si>
    <t>Demuestra lo aprendido: ¿Cuál es la cantidad diaria recomendada de aceite de oliva virgen extra en una dieta saludable? ¡Responde y suma puntos! 🎯</t>
  </si>
  <si>
    <t>Tägliches Ziel für natives Olivenöl extra</t>
  </si>
  <si>
    <t>Zeige, was du gelernt hast: Wie hoch ist die empfohlene tägliche Menge an nativem Olivenöl extra in einer gesunden Ernährung? Antworte und sammle Punkte.</t>
  </si>
  <si>
    <t>M3-DN5-A-Young</t>
  </si>
  <si>
    <t>My cooking fat 🍳</t>
  </si>
  <si>
    <t>Mi grasa para cocinar 🍳</t>
  </si>
  <si>
    <t>Upload an image showing the amount and type of fat you usually add to the pan when you are going to cook. 🍳</t>
  </si>
  <si>
    <t>Sube una imagen donde se vea la cantidad y el tipo de grasa que sueles añadir a la sartén cuando vas a cocinar. 📸🍳</t>
  </si>
  <si>
    <t>Mein Fett zum Kochen</t>
  </si>
  <si>
    <t>Lade ein Bild hoch, auf dem die Menge und die Art des Fetts zu sehen sind, die du normalerweise in die Pfanne gibst, wenn du kochst.</t>
  </si>
  <si>
    <t>M4-DN5-A-Young</t>
  </si>
  <si>
    <t>Top cooking oil 🌟</t>
  </si>
  <si>
    <t>Tu aceite estrella 🌟</t>
  </si>
  <si>
    <t>Finally, share with the community which fat or oil has been most present in your dishes over the past few months. 🌟</t>
  </si>
  <si>
    <t>Para terminar, comparte con la comunidad qué grasa o aceite ha sido el más presente en tus platos durante los últimos meses. 🌟🍳</t>
  </si>
  <si>
    <t>Dein Star-Öl</t>
  </si>
  <si>
    <t>Zum Abschluss teile mit der Community, welches Fett oder Öl in den letzten Monaten am häufigsten in deinen Gerichten verwendet wurde.</t>
  </si>
  <si>
    <t>DN5-B</t>
  </si>
  <si>
    <t>PC1-DN5-B-Young</t>
  </si>
  <si>
    <t>Nut powerhouse 🥜</t>
  </si>
  <si>
    <t>Potencia nutricional 🥜</t>
  </si>
  <si>
    <t>Do you know why nuts are so beneficial? They provide healthy fats, protein, fiber, and minerals that protect your heart and improve satiety. 🥜</t>
  </si>
  <si>
    <t>¿Sabes por qué los frutos secos son tan beneficiosos? Aportan grasas saludables, proteínas, fibra y minerales que protegen tu corazón y mejoran la saciedad. 🥜</t>
  </si>
  <si>
    <t>Nährstoffpower</t>
  </si>
  <si>
    <t>Weißt du, warum Nüsse so vorteilhaft sind? Sie liefern gesunde Fette, Proteine, Ballaststoffe und Mineralstoffe, die dein Herz schützen und das Sättigungsgefühl verbessern.</t>
  </si>
  <si>
    <t>PC2-DN5-B-Young</t>
  </si>
  <si>
    <t>True or false 🧐</t>
  </si>
  <si>
    <t>Verdadero o falso 🧐</t>
  </si>
  <si>
    <t>Test your knowledge: answer the following true or false question about the properties of nuts. 🧐</t>
  </si>
  <si>
    <t>Pon a prueba tus conocimientos: responde a la siguiente pregunta de verdadero o falso sobre las propiedades de los frutos secos. 🧐</t>
  </si>
  <si>
    <t>Wahr oder falsch</t>
  </si>
  <si>
    <t>Teste dein Wissen: Beantworte die folgende Wahr-oder-Falsch-Frage zu den Eigenschaften von Nüssen.</t>
  </si>
  <si>
    <t>Question Options: [Q1 (Recommended daily amount is a small handful / ~30g): True, False; Q2 (Nuts are a good source of healthy unsaturated fats): True, False; Q3 (Eating nuts daily can help reduce the risk of heart disease): True, False; Q4 (Nuts contain zero calories and can be eaten in unlimited amounts): True, False; Q5 (Nuts provide essential minerals like magnesium and potassium): True, False]</t>
  </si>
  <si>
    <t>Question Options: [Q1 (La cantidad diaria recomendada es un puñado pequeño / ~30g): Verdadero, Falso; Q2 (Los frutos secos son una buena fuente de grasas insaturadas saludables): Verdadero, Falso; Q3 (Comer frutos secos a diario puede ayudar a reducir el riesgo de enfermedades cardíacas): Verdadero, Falso; Q4 (Los frutos secos contienen cero calorías y pueden comerse en cantidades ilimitadas): Verdadero, Falso; Q5 (Los frutos secos aportan minerales esenciales como el magnesio y el potasio): Verdadero, Falso]</t>
  </si>
  <si>
    <t>C1-DN5-B-Young</t>
  </si>
  <si>
    <t>Fav nut share 🌟</t>
  </si>
  <si>
    <t>Comparte tu favorito 🌟</t>
  </si>
  <si>
    <t>We want to know your tastes! Share your favorite nut with the rest of the community. 🌟</t>
  </si>
  <si>
    <t>¡Queremos conocer tus gustos! Comparte con el resto de la comunidad cuál es tu fruto seco favorito. 🌟</t>
  </si>
  <si>
    <t>Teile deinen Favoriten</t>
  </si>
  <si>
    <t>Wir möchten deinen Geschmack kennenlernen! Teile mit der Community, welche Nuss dein Favorit ist.</t>
  </si>
  <si>
    <t>C2-DN5-B-Young</t>
  </si>
  <si>
    <t>Daily handful 🖐️</t>
  </si>
  <si>
    <t>Un puñado al día 🖐️</t>
  </si>
  <si>
    <t>The recommended amount is a handful per day (about 20–30 grams), preferably raw or roasted without added salt. 🖐️</t>
  </si>
  <si>
    <t>La cantidad recomendada es un puñado al día (unos 20-30 gramos), preferiblemente crudos o tostados sin sal. ¡No te pases de la raya! 🖐️</t>
  </si>
  <si>
    <t>Eine Handvoll pro Tag</t>
  </si>
  <si>
    <t>Die empfohlene Menge ist eine Handvoll pro Tag (etwa 20–30 Gramm), vorzugsweise roh oder geröstet ohne Salz. Übertreibe es nicht.</t>
  </si>
  <si>
    <t>P1-DN5-B-Young</t>
  </si>
  <si>
    <t>Nut shopping list 🛒</t>
  </si>
  <si>
    <t>Lista de la compra: frutos secos 🛒</t>
  </si>
  <si>
    <t>Add your preferred nuts to your shopping list in the Nutrida app. Remember, they should be raw or roasted without added salt. 🛒</t>
  </si>
  <si>
    <t>Añade tus frutos secos preferidos a la lista de la compra en la app Nutrida. Recuerda que deben ser naturales o tostados, sin sal añadida. 🛒</t>
  </si>
  <si>
    <t>Einkaufsliste: Nüsse</t>
  </si>
  <si>
    <t>Füge deine bevorzugten Nüsse zur Einkaufsliste in der Nutrida-App hinzu. Denke daran, dass sie naturbelassen oder geröstet und ohne zusätzliches Salz sein sollten.</t>
  </si>
  <si>
    <t>P2-DN5-B-Young</t>
  </si>
  <si>
    <t>Heart hero nuts ❤️</t>
  </si>
  <si>
    <t>Héroes del corazón ❤️</t>
  </si>
  <si>
    <t>Nuts can help improve your cardiovascular health. Consuming them regularly helps take care of your arteries. ❤️</t>
  </si>
  <si>
    <t>Los frutos secos son grandes aliados para mejorar tu salud cardiovascular. Consumirlos de forma habitual ayuda a cuidar tus arterias. ❤️</t>
  </si>
  <si>
    <t>Helden für das Herz</t>
  </si>
  <si>
    <t>Nüsse sind große Verbündete für deine Herz-Kreislauf-Gesundheit. Ihr regelmäßiger Verzehr hilft, deine Arterien zu schützen.</t>
  </si>
  <si>
    <t>A1-DN5-B-Young</t>
  </si>
  <si>
    <t>Nutty recipe fix 👨‍🍳</t>
  </si>
  <si>
    <t>Receta con un toque crujiente 👨‍🍳</t>
  </si>
  <si>
    <r>
      <rPr>
        <sz val="11"/>
        <color rgb="FF000000"/>
        <rFont val="Aptos Narrow"/>
      </rPr>
      <t>Get into chef mode! Include a recipe with nuts in your weekly menu: salads, yogurt, or even chicken with toasted almonds. 👨‍🍳</t>
    </r>
    <r>
      <rPr>
        <sz val="11"/>
        <color rgb="FFA02B93"/>
        <rFont val="Aptos Narrow"/>
      </rPr>
      <t xml:space="preserve">You can even make a sauce from them — for example, a peanut sauce with rice noodles and chicken is very good. </t>
    </r>
  </si>
  <si>
    <t>¡Saca el chef que llevas dentro! Incluye en tu menú semanal una receta que lleve frutos secos: ensaladas, yogur o incluso un pollo con almendras. 👨‍🍳</t>
  </si>
  <si>
    <t>Rezept mit knuspriger Note</t>
  </si>
  <si>
    <t>Hol den Koch in dir heraus! Nimm in deinen Wochenplan ein Rezept mit Nüssen auf: Salate, Joghurt oder sogar Hähnchen mit Mandeln.</t>
  </si>
  <si>
    <t>A2-DN5-B-Young</t>
  </si>
  <si>
    <t>Tree vs. nut match 🌳</t>
  </si>
  <si>
    <t>El árbol y su fruto 🌳</t>
  </si>
  <si>
    <t>A fun challenge: try to match each type of tree with the nut it produces. Would you know how to identify them all? 🌳</t>
  </si>
  <si>
    <t>Un reto divertido: intenta emparejar cada tipo de árbol con el fruto seco que produce. ¿Sabrías identificarlos todos? 🌳</t>
  </si>
  <si>
    <t>Der Baum und seine Frucht</t>
  </si>
  <si>
    <t>Eine unterhaltsame Herausforderung: Versuche, jede Baumart mit der Nuss zu verbinden, die sie hervorbringt. Kannst du sie alle erkennen?</t>
  </si>
  <si>
    <t>Question Options: [Q1 (Oak tree): Walnut, Acorn, Almond, Pistachio; Q2 (Walnut tree): Walnut, Hazelnut, Pine nut, Acorn; Q3 (Almond tree): Pecan, Almond, Cashew, Chestnut; Q4 (Hazel tree): Hazelnut, Walnut, Pistachio, Macadamia; Q5 (Pine tree): Pine nut, Acorn, Almond, Peanut]</t>
  </si>
  <si>
    <r>
      <t>Question Options:</t>
    </r>
    <r>
      <rPr>
        <sz val="11"/>
        <color theme="1"/>
        <rFont val="Aptos Narrow"/>
        <family val="2"/>
        <scheme val="minor"/>
      </rPr>
      <t xml:space="preserve"> [Q1 (Roble): Nuez, Bellota, Almendra, Pistacho; Q2 (Nogal): Nuez, Avellana, Piñón, Bellota; Q3 (Almendro): Pecana, Almendra, Anacardo, Castaña; Q4 (Avellano): Avellana, Nuez, Pistacho, Macadamia; Q5 (Pino): Piñón, Bellota, Almendra, Cacahuete]</t>
    </r>
  </si>
  <si>
    <t>A3-DN5-B-Young</t>
  </si>
  <si>
    <t>Healthy nut swap 🔄</t>
  </si>
  <si>
    <t>El cambiazo saludable 🔄</t>
  </si>
  <si>
    <t>Replace a less healthy snack with a handful of raw nuts. Share a photo of your choice with the community. 🔄</t>
  </si>
  <si>
    <t>Sustituye un snack poco saludable por un puñado de frutos secos naturales. Sube una foto de tu elección y compártela con la comunidad. 🔄</t>
  </si>
  <si>
    <t>Der gesunde Austausch</t>
  </si>
  <si>
    <t>Ersetze einen ungesunden Snack durch eine Handvoll naturbelassener Nüsse. Lade ein Foto deiner Wahl hoch und teile es mit der Community.</t>
  </si>
  <si>
    <t>A4-DN5-B-Young</t>
  </si>
  <si>
    <t>Nut variety challenge 🥜</t>
  </si>
  <si>
    <t>Reto de variedad 🥜</t>
  </si>
  <si>
    <t>Expand your horizons! Try 3 different types of nuts this week and share a photo of each one with us. 🥜</t>
  </si>
  <si>
    <t>¡Abre tu abanico! Intenta probar 3 tipos diferentes de frutos secos esta semana y comparte una foto de cada uno con nosotros. 🥜</t>
  </si>
  <si>
    <t>Vielfalts-Challenge</t>
  </si>
  <si>
    <t>Erweitere deine Auswahl! Versuche diese Woche drei verschiedene Nusssorten zu probieren und teile jeweils ein Foto mit uns.</t>
  </si>
  <si>
    <t>M1-DN5-B-Young</t>
  </si>
  <si>
    <t>Daily handful reminder 📢</t>
  </si>
  <si>
    <t>Recordatorio del puñado diario 📢</t>
  </si>
  <si>
    <t>Eating nuts daily is very healthy, but remember the ideal portion is what fits in the palm of your hand (20–30 g). 📢</t>
  </si>
  <si>
    <t>Comer frutos secos a diario es muy sano, pero recuerda que la medida ideal es la que cabe en el hueco de tu mano (20-30 g). 📢</t>
  </si>
  <si>
    <t>Erinnerung an die tägliche Handvoll</t>
  </si>
  <si>
    <t>Täglich Nüsse zu essen ist sehr gesund, aber denke daran, dass die ideale Menge in die Mulde deiner Hand passt (20–30 g).</t>
  </si>
  <si>
    <t>M2-DN5-B-Young</t>
  </si>
  <si>
    <t>Pocket snack hack 🎒</t>
  </si>
  <si>
    <t>Snack de emergencia 🎒</t>
  </si>
  <si>
    <t>Nuts are the perfect emergency snack. Always carry a handful with you to avoid less healthy options when you're hungry. 🎒</t>
  </si>
  <si>
    <t>Los frutos secos son el snack de emergencia perfecto. Lleva siempre un puñado contigo para evitar opciones menos sanas cuando tengas hambre. 🎒</t>
  </si>
  <si>
    <t>Notfall-Snack</t>
  </si>
  <si>
    <t>Nüsse sind der perfekte Notfall-Snack. Trage immer eine Handvoll bei dir, um weniger gesunde Optionen zu vermeiden, wenn dich der Hunger überkommt.</t>
  </si>
  <si>
    <t>M3-DN5-B-Young</t>
  </si>
  <si>
    <t>Fiber true or false 🧐</t>
  </si>
  <si>
    <t>Fibra en los frutos secos 🧐</t>
  </si>
  <si>
    <t>Show what you have learned. True or false: are nuts considered foods rich in fiber? 🧐</t>
  </si>
  <si>
    <t>Demuestra lo que has aprendido. Verdadero o falso: ¿son los frutos secos alimentos ricos en fibra? 🧐</t>
  </si>
  <si>
    <t>Ballaststoffe in Nüssen</t>
  </si>
  <si>
    <t>Zeige, was du gelernt hast. Wahr oder falsch: Sind Nüsse ballaststoffreiche Lebensmittel?</t>
  </si>
  <si>
    <t>Question Options: [Q1 (Nuts are rich in fiber): True, False; Q2 (Which part of the nut contains most fiber?): The skin or shell, The oily center; Q3 (Nuts compared to processed snacks): Higher in fiber, Lower in fiber; Q4 (True or False: Fiber in nuts helps with satiety/fullness): True, False; Q5 (True or False: Roasting nuts significantly increases their fiber content): True, False]</t>
  </si>
  <si>
    <r>
      <t>Question Options:</t>
    </r>
    <r>
      <rPr>
        <sz val="11"/>
        <color theme="1"/>
        <rFont val="Aptos Narrow"/>
        <family val="2"/>
        <scheme val="minor"/>
      </rPr>
      <t xml:space="preserve"> [Q1 (Los frutos secos son ricos en fibra): Verdadero, Falso; Q2 (¿Qué parte del fruto seco contiene más fibra?): La piel o cáscara, El centro aceitoso; Q3 (Los frutos secos en comparación con los snacks procesados): Más ricos en fibra, Más bajos en fibra; Q4 (Verdadero o Falso: La fibra de los frutos secos ayuda con la saciedad/plenitud): Verdadero, Falso; Q5 (Verdadero o Falso: Tostar los frutos secos aumenta significativamente su contenido de fibra): Verdadero, Falso]</t>
    </r>
  </si>
  <si>
    <t>M4-DN5-B-Young</t>
  </si>
  <si>
    <t>Nut habit tracker 📝</t>
  </si>
  <si>
    <t>Rastreador de hábitos 📝</t>
  </si>
  <si>
    <t>Reflect on your routine: at what time of day is it easiest for you to eat them, and which habit would you like to maintain long term? 📝</t>
  </si>
  <si>
    <t>Reflexiona sobre tu rutina: ¿en qué momento del día te resulta más fácil comerlos y qué hábito te gustaría mantener a largo plazo? 📝</t>
  </si>
  <si>
    <t>Gewohnheits-Tracker</t>
  </si>
  <si>
    <t>Denke über deine Routine nach: Zu welchem Zeitpunkt des Tages fällt es dir am leichtesten, sie zu essen, und welche Gewohnheit möchtest du langfristig beibehalten?</t>
  </si>
  <si>
    <t>DN6-A</t>
  </si>
  <si>
    <t>PC1-DN6-A-Young</t>
  </si>
  <si>
    <t>Weekly fish goal 🐟</t>
  </si>
  <si>
    <t>Objetivo semanal de pescado 🐟</t>
  </si>
  <si>
    <t>Do you know the recommended weekly fish consumption for maintaining optimal health? 🐟</t>
  </si>
  <si>
    <t>¿Sabes cuántas raciones de pescado se recomienda consumir a la semana para mantener una salud óptima? 🐟</t>
  </si>
  <si>
    <t>Wöchentliches Fischziel</t>
  </si>
  <si>
    <t>Weißt du, wie viele Portionen Fisch pro Woche empfohlen werden, um eine optimale Gesundheit zu erhalten?</t>
  </si>
  <si>
    <t>PC2-DN6-A-Young</t>
  </si>
  <si>
    <t>Label reader: fish edition 🔍</t>
  </si>
  <si>
    <t>Lector de etiquetas: edición pescado 🔍</t>
  </si>
  <si>
    <t>By looking at the fish label, you can find out key information such as whether it was farmed or caught in the wild. 🔍</t>
  </si>
  <si>
    <t>Al mirar la etiqueta del pescado, puedes descubrir datos clave como si fue criado en piscifactoría o capturado en mar abierto. 🔍</t>
  </si>
  <si>
    <t>Etikettenleser: Fisch-Edition</t>
  </si>
  <si>
    <t>Beim Blick auf das Fisch-Etikett kannst du wichtige Informationen entdecken, zum Beispiel ob der Fisch aus Aquakultur stammt oder im offenen Meer gefangen wurde.</t>
  </si>
  <si>
    <t>C1-DN6-A-Young</t>
  </si>
  <si>
    <t>Fresh vs. ultra-processed 🚫</t>
  </si>
  <si>
    <t>Fresco vs. ultraprocesado 🚫</t>
  </si>
  <si>
    <t>Many fish substitutes, like surimi or imitation baby eels, are highly processed. Prioritize fresh fish for higher-quality protein and omega-3. 🚫</t>
  </si>
  <si>
    <t>Muchos sustitutos, como el surimi o las gulas, son ultraprocesados. Prioriza el pescado fresco para obtener proteínas de mayor calidad y omega-3. 🚫</t>
  </si>
  <si>
    <t>Frisch vs. hochverarbeitet</t>
  </si>
  <si>
    <t>Viele Ersatzprodukte wie Surimi oder Gulas sind hochverarbeitet. Bevorzuge frischen Fisch, um hochwertigere Proteine und Omega-3 zu erhalten.</t>
  </si>
  <si>
    <t>Reto de la semana:</t>
  </si>
  <si>
    <t>¿Te atreves a cambiar la típica barbacoa de carne por una barbacoa de pescado?
Reúne a tus amigos, enciende la parrilla y prueba con pescados como sardinas, atún o dorada. Además de ser delicioso, el pescado es rico en proteínas de alta calidad y grasas saludables.</t>
  </si>
  <si>
    <t>Herausforderung der Woche:</t>
  </si>
  <si>
    <r>
      <rPr>
        <sz val="11"/>
        <color rgb="FF000000"/>
        <rFont val="Aptos Narrow"/>
        <scheme val="minor"/>
      </rPr>
      <t xml:space="preserve">Traust du dich, die typische Fleisch-Grillparty gegen </t>
    </r>
    <r>
      <rPr>
        <b/>
        <sz val="11"/>
        <color rgb="FF000000"/>
        <rFont val="Aptos Narrow"/>
        <scheme val="minor"/>
      </rPr>
      <t>eine Fisch-Grillparty</t>
    </r>
    <r>
      <rPr>
        <sz val="11"/>
        <color rgb="FF000000"/>
        <rFont val="Aptos Narrow"/>
        <scheme val="minor"/>
      </rPr>
      <t xml:space="preserve"> einzutauschen?</t>
    </r>
  </si>
  <si>
    <t>C2-DN6-A-Young</t>
  </si>
  <si>
    <t>Omega-3 brain boost 🧠</t>
  </si>
  <si>
    <t>Omega-3 para tu cerebro 🧠</t>
  </si>
  <si>
    <r>
      <rPr>
        <sz val="11"/>
        <color rgb="FF000000"/>
        <rFont val="Aptos Narrow"/>
      </rPr>
      <t>Fish is the best source of omega-3 fatty acids, which are essential for proper brain function. 🧠</t>
    </r>
    <r>
      <rPr>
        <sz val="11"/>
        <color rgb="FFA02B93"/>
        <rFont val="Aptos Narrow"/>
      </rPr>
      <t xml:space="preserve">If you want to get enough omega-3 fatty acids from fish, it’s better to choose the fattier ones, such as salmon or sardines. </t>
    </r>
  </si>
  <si>
    <t>El pescado es la mejor fuente de ácidos grasos omega-3, los cuales son esenciales para el correcto funcionamiento de tu cerebro. 🧠</t>
  </si>
  <si>
    <t>Omega-3 für dein Gehirn</t>
  </si>
  <si>
    <r>
      <rPr>
        <sz val="11"/>
        <color rgb="FF000000"/>
        <rFont val="Aptos Narrow"/>
        <scheme val="minor"/>
      </rPr>
      <t xml:space="preserve">Versammle deine Freunde, zünde den Grill an und probiere Fische wie </t>
    </r>
    <r>
      <rPr>
        <b/>
        <sz val="11"/>
        <color rgb="FF000000"/>
        <rFont val="Aptos Narrow"/>
        <scheme val="minor"/>
      </rPr>
      <t>Sardinen, Thunfisch oder Dorade</t>
    </r>
    <r>
      <rPr>
        <sz val="11"/>
        <color rgb="FF000000"/>
        <rFont val="Aptos Narrow"/>
        <scheme val="minor"/>
      </rPr>
      <t xml:space="preserve">. Fisch ist nicht nur lecker, sondern auch reich an </t>
    </r>
    <r>
      <rPr>
        <b/>
        <sz val="11"/>
        <color rgb="FF000000"/>
        <rFont val="Aptos Narrow"/>
        <scheme val="minor"/>
      </rPr>
      <t>hochwertigem Eiweiß und gesunden Fetten</t>
    </r>
    <r>
      <rPr>
        <sz val="11"/>
        <color rgb="FF000000"/>
        <rFont val="Aptos Narrow"/>
        <scheme val="minor"/>
      </rPr>
      <t>.</t>
    </r>
  </si>
  <si>
    <t>El pescado: una de las pocas fuentes naturales de vitamina D</t>
  </si>
  <si>
    <r>
      <t xml:space="preserve">La vitamina D del pescado ayuda al cuerpo a </t>
    </r>
    <r>
      <rPr>
        <b/>
        <sz val="11"/>
        <color theme="1"/>
        <rFont val="Aptos Narrow"/>
        <family val="2"/>
        <scheme val="minor"/>
      </rPr>
      <t>absorber calcio</t>
    </r>
    <r>
      <rPr>
        <sz val="11"/>
        <color theme="1"/>
        <rFont val="Aptos Narrow"/>
        <family val="2"/>
        <scheme val="minor"/>
      </rPr>
      <t xml:space="preserve">, lo que fortalece </t>
    </r>
    <r>
      <rPr>
        <b/>
        <sz val="11"/>
        <color theme="1"/>
        <rFont val="Aptos Narrow"/>
        <family val="2"/>
        <scheme val="minor"/>
      </rPr>
      <t>huesos, dientes y el sistema inmunológico</t>
    </r>
    <r>
      <rPr>
        <sz val="11"/>
        <color theme="1"/>
        <rFont val="Aptos Narrow"/>
        <family val="2"/>
        <scheme val="minor"/>
      </rPr>
      <t>. Por eso, en lugares con poco sol, el pescado ha sido históricamente un alimento muy importante para evitar problemas óseos como el raquitismo.</t>
    </r>
  </si>
  <si>
    <t>Der Fisch: eine der wenigen natürlichen Quellen für Vitamin D</t>
  </si>
  <si>
    <r>
      <t xml:space="preserve">Vitamin D aus Fisch hilft dem Körper, </t>
    </r>
    <r>
      <rPr>
        <b/>
        <sz val="11"/>
        <color theme="1"/>
        <rFont val="Aptos Narrow"/>
        <family val="2"/>
        <scheme val="minor"/>
      </rPr>
      <t>Kalzium aufzunehmen</t>
    </r>
    <r>
      <rPr>
        <sz val="11"/>
        <color theme="1"/>
        <rFont val="Aptos Narrow"/>
        <family val="2"/>
        <scheme val="minor"/>
      </rPr>
      <t xml:space="preserve">, was </t>
    </r>
    <r>
      <rPr>
        <b/>
        <sz val="11"/>
        <color theme="1"/>
        <rFont val="Aptos Narrow"/>
        <family val="2"/>
        <scheme val="minor"/>
      </rPr>
      <t>Knochen, Zähne und das Immunsystem stärkt</t>
    </r>
    <r>
      <rPr>
        <sz val="11"/>
        <color theme="1"/>
        <rFont val="Aptos Narrow"/>
        <family val="2"/>
        <scheme val="minor"/>
      </rPr>
      <t xml:space="preserve">. Deshalb war Fisch in Regionen mit wenig Sonne historisch gesehen ein </t>
    </r>
    <r>
      <rPr>
        <b/>
        <sz val="11"/>
        <color theme="1"/>
        <rFont val="Aptos Narrow"/>
        <family val="2"/>
        <scheme val="minor"/>
      </rPr>
      <t>sehr wichtiges Lebensmittel</t>
    </r>
    <r>
      <rPr>
        <sz val="11"/>
        <color theme="1"/>
        <rFont val="Aptos Narrow"/>
        <family val="2"/>
        <scheme val="minor"/>
      </rPr>
      <t xml:space="preserve">, um </t>
    </r>
    <r>
      <rPr>
        <b/>
        <sz val="11"/>
        <color theme="1"/>
        <rFont val="Aptos Narrow"/>
        <family val="2"/>
        <scheme val="minor"/>
      </rPr>
      <t>Knochenprobleme wie Rachitis</t>
    </r>
    <r>
      <rPr>
        <sz val="11"/>
        <color theme="1"/>
        <rFont val="Aptos Narrow"/>
        <family val="2"/>
        <scheme val="minor"/>
      </rPr>
      <t xml:space="preserve"> zu vermeiden.</t>
    </r>
  </si>
  <si>
    <t>P1-DN6-A-Young</t>
  </si>
  <si>
    <t>Seafood menu planner 🗓️</t>
  </si>
  <si>
    <t>Planificador de menú marino 🗓️</t>
  </si>
  <si>
    <t>Plan your weekly menu including at least two servings of fish and try a new type of seafood. You can use the Nutrida app to do this. 🗓️</t>
  </si>
  <si>
    <t>Planifica tu menú semanal incluyendo al menos dos raciones de pescado y prueba un tipo nuevo. Puedes hacerlo usando la app Nutrida. 🗓️</t>
  </si>
  <si>
    <t>Planer für ein Meeresmenü</t>
  </si>
  <si>
    <t>Plane dein Wochenmenü mit mindestens zwei Fischportionen und probiere eine neue Sorte aus. Du kannst dafür die Nutrida-App nutzen.</t>
  </si>
  <si>
    <t>P2-DN6-A-Young</t>
  </si>
  <si>
    <t>Fish market list 🛒</t>
  </si>
  <si>
    <t>Lista de la compra: pescadería 🛒</t>
  </si>
  <si>
    <t>Make this week’s shopping list, including the servings of fish you will need for the upcoming days. 🛒</t>
  </si>
  <si>
    <t>Haz la lista de la compra de esta semana incluyendo las raciones de pescado que vas a necesitar para los próximos días. 🛒</t>
  </si>
  <si>
    <t>Einkaufsliste: Fischgeschäft</t>
  </si>
  <si>
    <t>Erstelle die Einkaufsliste für diese Woche und plane die Fischportionen ein, die du in den nächsten Tagen benötigst.</t>
  </si>
  <si>
    <t>A1-DN6-A-Young</t>
  </si>
  <si>
    <t>Catch of the day (Photo) 📸</t>
  </si>
  <si>
    <t>La captura del día (Foto) 📸</t>
  </si>
  <si>
    <t>We want to see your dishes! Share a photo with the community each time you eat fish this week. 📸</t>
  </si>
  <si>
    <t>¡Queremos ver tus platos! Comparte una foto con el resto de la comunidad cada vez que comas pescado durante esta semana. 📸</t>
  </si>
  <si>
    <t>Der Fang des Tages (Foto)</t>
  </si>
  <si>
    <t>Wir möchten deine Gerichte sehen! Teile jedes Mal ein Foto mit der Community, wenn du diese Woche Fisch isst.</t>
  </si>
  <si>
    <t>A2-DN6-A-Young</t>
  </si>
  <si>
    <t>Oily vs. white fish mix 🌓</t>
  </si>
  <si>
    <t>Mix de pescado azul y blanco 🌓</t>
  </si>
  <si>
    <t>Alternating between oily and white fish provides different benefits: oily fish gives more omega-3, while white fish is lower in fat but high in protein. 🌓</t>
  </si>
  <si>
    <t>Alternar entre pescado azul y blanco te aporta distintos beneficios: el azul da más omega-3 y el blanco es más ligero en grasas pero rico en proteínas. 🌓</t>
  </si>
  <si>
    <t>Mix aus fettem und magerem Fisch</t>
  </si>
  <si>
    <t>Der Wechsel zwischen fettem und magerem Fisch bringt unterschiedliche Vorteile: fetter Fisch liefert mehr Omega-3, magerer Fisch ist fettärmer, aber reich an Proteinen.</t>
  </si>
  <si>
    <t>A3-DN6-A-Young</t>
  </si>
  <si>
    <t>Fish fusion recipe 👨🏼‍🍳</t>
  </si>
  <si>
    <t>Receta de fusión marina 👨‍🍳</t>
  </si>
  <si>
    <t>Innovate in the kitchen: include fish in a dish where you don’t usually use it, such as pasta with tuna or a fish scramble. 👨🏼‍🍳</t>
  </si>
  <si>
    <t>Innova en la cocina: incluye pescado en un plato donde no suelas usarlo, como una pasta con atún o un revuelto de bacalao. 👨‍🍳</t>
  </si>
  <si>
    <t>Rezept mit Meeres-Fusion</t>
  </si>
  <si>
    <t>Sei kreativ in der Küche: Verwende Fisch in einem Gericht, in dem du ihn normalerweise nicht nutzt, zum Beispiel Pasta mit Thunfisch oder Rührei mit Kabeljau.</t>
  </si>
  <si>
    <t>A4-DN6-A-Young</t>
  </si>
  <si>
    <t>New fish discovery 🆕</t>
  </si>
  <si>
    <t>Nuevo descubrimiento marino 🆕</t>
  </si>
  <si>
    <t>On your next shopping trip, choose a fresh, frozen, or high-quality canned fish that you’ve never tried before and upload a photo. 🆕</t>
  </si>
  <si>
    <t>En tu próxima compra, elige un pescado fresco, congelado o en conserva de calidad que nunca hayas probado y sube la foto a la app. 🆕</t>
  </si>
  <si>
    <t>Neue Meeresentdeckung</t>
  </si>
  <si>
    <t>Wähle bei deinem nächsten Einkauf einen frischen, gefrorenen oder hochwertigen Fisch aus der Dose, den du noch nie probiert hast, und lade ein Foto in der App hoch.</t>
  </si>
  <si>
    <t>M1-DN6-A-Young</t>
  </si>
  <si>
    <t>The fish sort challenge 📉</t>
  </si>
  <si>
    <t>El reto de clasificar el pescado 📉</t>
  </si>
  <si>
    <t>Put your knowledge to the test: select which of these fish are considered oily fish and which are white fish. 📉</t>
  </si>
  <si>
    <t>Pon a prueba tus conocimientos: selecciona cuáles de estos pescados se consideran azules y cuáles son blancos. 📉</t>
  </si>
  <si>
    <t>Die Fisch-Klassifizierungs-Challenge</t>
  </si>
  <si>
    <t>Teste dein Wissen: Wähle aus, welche dieser Fische zu den fetten und welche zu den mageren Fischen gehören.</t>
  </si>
  <si>
    <t>Question Options: [Q1 (Salmon): Oily Fish, White Fish; Q2 (Cod): Oily Fish, White Fish; Q3 (Sardines): Oily Fish, White Fish; Q4 (Hake): Oily Fish, White Fish; Q5 (Mackerel): Oily Fish, White Fish]</t>
  </si>
  <si>
    <t>Question Options: [Q1 (Salmón): Pescado azul, Pescado blanco; Q2 (Bacalao): Pescado azul, Pescado blanco; Q3 (Sardinas): Pescado azul, Pescado blanco; Q4 (Merluza): Pescado azul, Pescado blanco; Q5 (Caballa): Pescado azul, Pescado blanco]</t>
  </si>
  <si>
    <t>M2-DN6-A-Young</t>
  </si>
  <si>
    <t>Dining out: fish choice 🍽️</t>
  </si>
  <si>
    <t>Comer fuera: elección de pescado 🍽️</t>
  </si>
  <si>
    <t>The next time you eat out, choose a dish that includes fish. Share the photo with the community! 🍽️</t>
  </si>
  <si>
    <t>La próxima vez que comas fuera de casa, elige un plato que contenga pescado. ¡Comparte la foto con la comunidad! 🍽️</t>
  </si>
  <si>
    <t>Außer Haus essen: Fischwahl</t>
  </si>
  <si>
    <t>Wenn du das nächste Mal auswärts isst, wähle ein Gericht mit Fisch. Teile ein Foto mit der Community.</t>
  </si>
  <si>
    <t>M3-DN6-A-Young</t>
  </si>
  <si>
    <t>Eco-friendly catch 🌍</t>
  </si>
  <si>
    <t>Pesca eco-responsable 🌍</t>
  </si>
  <si>
    <t>Prioritize seasonal fish with sustainable certifications (like MSC or ASC) to care for both your health and the environment. 🌍</t>
  </si>
  <si>
    <t>Prioriza el pescado de temporada con certificaciones sostenibles (como MSC o ASC) para cuidar tanto tu salud como el medio ambiente. 🌍</t>
  </si>
  <si>
    <t>Umweltbewusster Fischfang</t>
  </si>
  <si>
    <t>Bevorzuge saisonalen Fisch mit nachhaltigen Zertifizierungen (wie MSC oder ASC), um sowohl deine Gesundheit als auch die Umwelt zu schützen.</t>
  </si>
  <si>
    <t>M4-DN6-A-Young</t>
  </si>
  <si>
    <t>Dual fish week 🔄</t>
  </si>
  <si>
    <t>Semana de pescado dual 🔄</t>
  </si>
  <si>
    <t>During this week, try at least two different types of fish (one oily and one white) and record each one in the app. 🔄</t>
  </si>
  <si>
    <t>Durante esta semana, intenta probar al menos 2 tipos diferentes de pescado (uno azul y otro blanco) y regístralo en la app. 🔄</t>
  </si>
  <si>
    <t>Duale Fischwoche</t>
  </si>
  <si>
    <t>Versuche in dieser Woche mindestens zwei verschiedene Fischarten zu probieren (eine fettreiche und eine magere) und registriere sie in der App.</t>
  </si>
  <si>
    <t>DN7-A</t>
  </si>
  <si>
    <t>PC1-DN7-A-Young</t>
  </si>
  <si>
    <t>Hydration status video 🎥</t>
  </si>
  <si>
    <t>Estado de hidratación 🎥</t>
  </si>
  <si>
    <t>Knowing if you are properly hydrated is essential. Watch this video to find out your current hydration status. 🎥</t>
  </si>
  <si>
    <t>Saber si estás bien hidratado es esencial. Mira este vídeo para descubrir cuál es tu estado de hidratación actual. 🎥</t>
  </si>
  <si>
    <t xml:space="preserve"> https://www.youtube.com/watch?v=9iMGFqMmUFs</t>
  </si>
  <si>
    <t>DRINKING_DIARY</t>
  </si>
  <si>
    <t>PC2-DN7-A-Young</t>
  </si>
  <si>
    <t>The hydration test 💧</t>
  </si>
  <si>
    <t>El test de hidratación 💧</t>
  </si>
  <si>
    <t>Share a photo showing your hydration status using the technique you learned. 💧</t>
  </si>
  <si>
    <t>Comparte una foto mostrando tu estado de hidratación utilizando la técnica que acabas de aprender. 💧</t>
  </si>
  <si>
    <t>C1-DN7-A-Young</t>
  </si>
  <si>
    <t>Urine color check 🔍</t>
  </si>
  <si>
    <t>Control del color de la orina 🔍</t>
  </si>
  <si>
    <t>As mentioned, staying hydrated is essential. Another way to check your hydration status is by observing your urine—the darker it is, the more dehydrated you are. 🔍</t>
  </si>
  <si>
    <t>Mantenerse hidratado es vital. Otra forma de comprobarlo es observando tu orina: cuanto más oscura esté, más deshidratado te encuentras. 🔍</t>
  </si>
  <si>
    <t>Kontrolle der Urinfarbe</t>
  </si>
  <si>
    <t>Ausreichend hydratisiert zu bleiben ist lebenswichtig. Eine weitere Möglichkeit, dies zu überprüfen, ist die Beobachtung deines Urins: Je dunkler er ist, desto stärker bist du dehydriert.</t>
  </si>
  <si>
    <t>C2-DN7-A-Young</t>
  </si>
  <si>
    <t>Bottle check: My daily gallon 🧴</t>
  </si>
  <si>
    <t>Mi botella diaria 🧴</t>
  </si>
  <si>
    <t>Share a photo of the water bottle you usually use during the day. If you don’t have a favorite bottle yet, this is your sign to get one! 🧴</t>
  </si>
  <si>
    <t>Sube una foto de la botella de agua que sueles usar durante el día. Si aún no tienes una favorita, ¡esta es la señal para hacerte con una! 🧴</t>
  </si>
  <si>
    <t>Meine tägliche Flasche</t>
  </si>
  <si>
    <t>Lade ein Foto der Wasserflasche hoch, die du normalerweise tagsüber benutzt. Wenn du noch keine Lieblingsflasche hast, ist das dein Zeichen, dir eine zuzulegen.</t>
  </si>
  <si>
    <t>P1-DN7-A-Young</t>
  </si>
  <si>
    <t>Glow up: Water benefits ✨</t>
  </si>
  <si>
    <t>Beneficios: Efecto "Glow Up" ✨</t>
  </si>
  <si>
    <t>Proper hydration improves skin elasticity, helps eliminate toxins, and supports an efficient metabolism. ✨</t>
  </si>
  <si>
    <t>Una hidratación adecuada mejora la elasticidad de la piel, ayuda a eliminar toxinas y favorece un metabolismo eficiente. ✨</t>
  </si>
  <si>
    <t>Vorteile: „Glow-up“-Effekt</t>
  </si>
  <si>
    <t>Eine angemessene Hydrierung verbessert die Elastizität der Haut, hilft beim Abbau von Toxinen und unterstützt einen effizienten Stoffwechsel.</t>
  </si>
  <si>
    <t>P2-DN7-A-Young</t>
  </si>
  <si>
    <t>Daily target 🎯</t>
  </si>
  <si>
    <t>Objetivo diario 🎯</t>
  </si>
  <si>
    <t>How much water is it recommended to drink per day approximately? 🎯</t>
  </si>
  <si>
    <t>¿Cuánta agua se recomienda beber al día aproximadamente para mantener el equilibrio? 🎯</t>
  </si>
  <si>
    <t>Tagesziel</t>
  </si>
  <si>
    <t>Wie viel Wasser wird ungefähr pro Tag empfohlen, um das Gleichgewicht zu halten?</t>
  </si>
  <si>
    <t>A1-DN7-A-Young</t>
  </si>
  <si>
    <t>Infusion hack 🍋</t>
  </si>
  <si>
    <t>Truco: Infusión de sabor 🍋</t>
  </si>
  <si>
    <t>For those who still struggle to drink water, try adding lemon or cucumber to your bottle for a different flavor. Share a photo with the rest of the community. 🍋 You can also drink zero drinks, but do not drink more than 0.5l per day.</t>
  </si>
  <si>
    <t>Si te cuesta beber agua sola, prueba a añadir limón o pepino a tu botella para darle un toque diferente. Comparte la foto con la comunidad. 🍋</t>
  </si>
  <si>
    <t>Tipp: Geschmacksinfusion</t>
  </si>
  <si>
    <t>Wenn es dir schwerfällt, pures Wasser zu trinken, versuche, Zitrone oder Gurke in deine Flasche zu geben, um ihm eine andere Note zu verleihen. Teile ein Foto mit der Community.</t>
  </si>
  <si>
    <t>A3-DN7-A-Young</t>
  </si>
  <si>
    <t>H2O reminder 🔔</t>
  </si>
  <si>
    <t>Recordatorio de H2O 🔔</t>
  </si>
  <si>
    <t>To stay hydrated, drink small glasses of water every 1–2 hours instead of large amounts all at once. This is your reminder to do it. 🔔</t>
  </si>
  <si>
    <t>Para hidratarte mejor, bebe pequeños vasos de agua cada 1-2 horas en lugar de mucha cantidad de golpe. ¡Aquí tienes tu recordatorio! 🔔</t>
  </si>
  <si>
    <t>H2O-Erinnerung</t>
  </si>
  <si>
    <t>Um dich besser zu hydratisieren, trinke alle 1–2 Stunden kleine Gläser Wasser, anstatt auf einmal große Mengen. Hier ist deine Erinnerung.</t>
  </si>
  <si>
    <t>A4-DN7-A-Young</t>
  </si>
  <si>
    <t>The 8-glass goal 🥛</t>
  </si>
  <si>
    <t>El reto de los 8 vasos 🥛</t>
  </si>
  <si>
    <t>Drink at least 8 glasses of water during the day and log your intake by sharing a photo with the community. 🥛</t>
  </si>
  <si>
    <t>Bebe al menos 8 vasos de agua durante el día y registra tu progreso compartiendo una foto con la comunidad. 🥛</t>
  </si>
  <si>
    <t>Die 8-Gläser-Challenge</t>
  </si>
  <si>
    <t>Trinke im Laufe des Tages mindestens 8 Gläser Wasser und dokumentiere deinen Fortschritt, indem du ein Foto mit der Community teilst.</t>
  </si>
  <si>
    <t>yes</t>
  </si>
  <si>
    <t>M1-DN7-A-Young</t>
  </si>
  <si>
    <t>Water brand battle 🧊</t>
  </si>
  <si>
    <t>Batalla de marcas de agua 🧊</t>
  </si>
  <si>
    <t>Share with the community your favorite water brand. 🧊</t>
  </si>
  <si>
    <t>¿Cuál es tu marca de agua preferida? Comparte con los demás cuál sueles comprar habitualmente. 🧊</t>
  </si>
  <si>
    <t>Wassermarken-Duell</t>
  </si>
  <si>
    <t>Welche Wassermarke ist deine bevorzugte? Teile mit den anderen, welche du normalerweise kaufst.</t>
  </si>
  <si>
    <t>M2-DN7-A-Young</t>
  </si>
  <si>
    <t>Herbal tea ally 🍵</t>
  </si>
  <si>
    <t>Infusiones: Tu gran aliado 🍵</t>
  </si>
  <si>
    <t>If you get bored of drinking water, herbal teas are your best ally—remember you can use them to improve your daily hydration. 🍵</t>
  </si>
  <si>
    <t>Si te aburre beber solo agua, las infusiones son tu mejor aliado. Recuerda que puedes usarlas para mejorar tu hidratación diaria. 🍵</t>
  </si>
  <si>
    <t>Infusionen: Dein großer Verbündeter</t>
  </si>
  <si>
    <t>Wenn dir reines Wasser zu langweilig ist, sind Aufgüsse dein bester Verbündeter. Denke daran, dass du sie zur Verbesserung deiner täglichen Hydrierung nutzen kannst.</t>
  </si>
  <si>
    <t>M3-DN7-A-Young</t>
  </si>
  <si>
    <t>2L daily streak 🗓️</t>
  </si>
  <si>
    <t>Racha diaria de 2L 🗓️</t>
  </si>
  <si>
    <t>During this week, mark this challenge as completed every day you drink 2 or more liters of water. 🗓️</t>
  </si>
  <si>
    <t>Durante esta semana, marca este reto como completado cada día que consigas beber 2 o más litros de agua. 🗓️</t>
  </si>
  <si>
    <t>Tägliche 2L-Serie</t>
  </si>
  <si>
    <t>Markiere diese Herausforderung in dieser Woche an jedem Tag als abgeschlossen, an dem du es schaffst, 2 oder mehr Liter Wasser zu trinken.</t>
  </si>
  <si>
    <t>M4-DN7-A-Young</t>
  </si>
  <si>
    <t>Ride or die bottle 🍼</t>
  </si>
  <si>
    <t>Mi botella inseparable 🍼</t>
  </si>
  <si>
    <t>Share with the community which bottle has accompanied you the longest during these months. 🍼</t>
  </si>
  <si>
    <t>Cuéntanos qué botella te ha acompañado durante más tiempo a lo largo de estos meses de progreso. 🍼</t>
  </si>
  <si>
    <t>Meine unzertrennliche Flasche</t>
  </si>
  <si>
    <t>Erzähle uns, welche Flasche dich während dieser Monate des Fortschritts am längsten begleitet hat.</t>
  </si>
  <si>
    <t>DN7-B</t>
  </si>
  <si>
    <t>PC1-DN7-B-Young</t>
  </si>
  <si>
    <t>The sugar crash 📉</t>
  </si>
  <si>
    <t>El bajón del azúcar 📉</t>
  </si>
  <si>
    <t>Sugary drinks can give a quick energy spike followed by tiredness and hunger shortly afterward. 📉</t>
  </si>
  <si>
    <t>Las bebidas azucaradas pueden dar un pico rápido de energía seguido de cansancio y hambre poco después. ¿Lo has sentido alguna vez? 📉</t>
  </si>
  <si>
    <t>Das Zuckertief</t>
  </si>
  <si>
    <t>Zuckerhaltige Getränke können einen schnellen Energieschub geben, gefolgt von Müdigkeit und Hunger kurz danach. Hast du das schon einmal gespürt?</t>
  </si>
  <si>
    <t>PC2-DN7-B-Young</t>
  </si>
  <si>
    <t>Hidden sugar hunt 🔍</t>
  </si>
  <si>
    <t>Caza del azúcar oculto 🔍</t>
  </si>
  <si>
    <t>Many soft drinks, energy drinks, or packaged juices contain hidden sugar. Select whether these drinks contain a high amount of sugar or not. 🔍</t>
  </si>
  <si>
    <t>Muchos refrescos, bebidas energéticas o zumos envasados contienen azúcar oculto. Selecciona si estas bebidas contienen mucho azúcar o no. 🔍</t>
  </si>
  <si>
    <t>Jagd nach verstecktem Zucker</t>
  </si>
  <si>
    <t>Viele Limonaden, Energydrinks oder abgepackte Säfte enthalten versteckten Zucker. Wähle aus, ob diese Getränke viel Zucker enthalten oder nicht.</t>
  </si>
  <si>
    <t>Question Options: [Q1 (Regular Cola): High Sugar, Not High Sugar; Q2 (Energy Drink): High Sugar, Not High Sugar; Q3 (Packaged Orange Juice): High Sugar, Not High Sugar; Q4 (Sugar-Free Iced Tea): High Sugar, Not High Sugar; Q5 (Sparkling Water with Natural Lemon Aroma): High Sugar, Not High Sugar]</t>
  </si>
  <si>
    <t>Question Options: [Q1 (Cola normal): Mucho azúcar, Poco azúcar; Q2 (Bebida energética): Mucho azúcar, Poco azúcar; Q3 (Zumo de naranja envasado): Mucho azúcar, Poco azúcar; Q4 (Té frío sin azúcar): Mucho azúcar, Poco azúcar; Q5 (Agua con gas y aroma natural de limón): Mucho azúcar, Poco azúcar]</t>
  </si>
  <si>
    <t>C1-DN7-B-Young</t>
  </si>
  <si>
    <t>Soda vs. water 🥤</t>
  </si>
  <si>
    <t>Refresco vs. Agua 🥤</t>
  </si>
  <si>
    <t>A 330 ml soft drink can contain more than 8 teaspoons of sugar, while a glass of water or herbal tea contains none. 🥤</t>
  </si>
  <si>
    <t>Un refresco de 330 ml puede contener más de 8 cucharaditas de azúcar, mientras que un vaso de agua o una infusión no contienen nada. 🥤</t>
  </si>
  <si>
    <t>Limonade vs. Wasser</t>
  </si>
  <si>
    <t>Eine 330-ml-Limonade kann mehr als 8 Teelöffel Zucker enthalten, während ein Glas Wasser oder ein Aufguss keinen Zucker enthält.</t>
  </si>
  <si>
    <t>C2-DN7-B-Young</t>
  </si>
  <si>
    <t>Label check 🏷️</t>
  </si>
  <si>
    <t>Lectura de etiquetas 🏷️</t>
  </si>
  <si>
    <t>Check the label of a drink you frequently consume and note the amount of sugar it contains. 🏷️</t>
  </si>
  <si>
    <t>Revisa la etiqueta de una bebida que consumas con frecuencia y anota la cantidad de azúcar que contiene. 🏷️</t>
  </si>
  <si>
    <t>Etiketten lesen</t>
  </si>
  <si>
    <t>Überprüfe das Etikett eines Getränks, das du häufig konsumierst, und notiere die enthaltene Zuckermenge.</t>
  </si>
  <si>
    <t>P1-DN7-B-Young</t>
  </si>
  <si>
    <t>Sugar tracker 📝</t>
  </si>
  <si>
    <t>Rastreador de azúcar 📝</t>
  </si>
  <si>
    <t>During the week, record all the beverages you consume (other than water) and note which ones contain added sugar. 📝</t>
  </si>
  <si>
    <t>Durante la semana, registra todas las bebidas que consumas (que no sean agua) y señala cuáles contienen azúcares añadidos. 📝</t>
  </si>
  <si>
    <t>Zucker-Tracker</t>
  </si>
  <si>
    <t>Erfasse während der Woche alle Getränke, die du konsumierst (außer Wasser), und markiere, welche zugesetzten Zucker enthalten.</t>
  </si>
  <si>
    <t>P2-DN7-B-Young</t>
  </si>
  <si>
    <t>Sugar-free swap 🔄</t>
  </si>
  <si>
    <t>El cambiazo sin azúcar 🔄</t>
  </si>
  <si>
    <t>Choosing sugar-free alternatives, such as water, herbal teas, or unsweetened plant-based drinks, helps you realistically reduce sugary beverages. 🔄</t>
  </si>
  <si>
    <t>Elegir alternativas sin azúcar, como agua, infusiones o bebidas vegetales sin endulzar, ayuda a reducir los refrescos de forma realista. 🔄</t>
  </si>
  <si>
    <t>Der Wechsel ohne Zucker</t>
  </si>
  <si>
    <t>Die Wahl zuckerfreier Alternativen wie Wasser, Aufgüsse oder ungesüßte pflanzliche Getränke hilft, den Konsum von Limonaden realistisch zu reduzieren.</t>
  </si>
  <si>
    <t>A1-DN7-B-Young</t>
  </si>
  <si>
    <t>The zero-sugar list 🗒️</t>
  </si>
  <si>
    <t>Mi lista "Zero Sugar" 🗒️</t>
  </si>
  <si>
    <t>Make a list of three sugar-free drinks you would like to have during the week instead of sugary sodas or juices. 🗒️</t>
  </si>
  <si>
    <t>Haz una lista de tres bebidas sin azúcar que te gustaría tomar durante la semana en lugar de refrescos o zumos azucarados. 🗒️</t>
  </si>
  <si>
    <t>Meine „Zero Sugar“-Liste</t>
  </si>
  <si>
    <t>Erstelle eine Liste mit drei zuckerfreien Getränken, die du diese Woche statt zuckerhaltiger Limonaden oder Säfte trinken möchtest.</t>
  </si>
  <si>
    <t>A2-DN7-B-Young</t>
  </si>
  <si>
    <t>The first step ✅</t>
  </si>
  <si>
    <t>El primer paso ✅</t>
  </si>
  <si>
    <t>Replacing one sugary drink per day with water or an unsweetened infusion is a simple and effective first step. Track it each time you do it this week. ✅</t>
  </si>
  <si>
    <t>Sustituir una bebida azucarada al día por agua o una infusión es un primer paso sencillo y eficaz. Regístralo cada vez que lo hagas esta semana. ✅</t>
  </si>
  <si>
    <t>Der erste Schritt</t>
  </si>
  <si>
    <t>Ein zuckerhaltiges Getränk pro Tag durch Wasser oder einen Aufguss zu ersetzen, ist ein einfacher und wirksamer erster Schritt. Halte es jedes Mal fest, wenn du es diese Woche umsetzt.</t>
  </si>
  <si>
    <t>A3-DN7-B-Young</t>
  </si>
  <si>
    <t>Gradual progress 📈</t>
  </si>
  <si>
    <t>Progreso gradual 📈</t>
  </si>
  <si>
    <t>Gradually reducing sugary drinks is more effective than eliminating them all at once, as it helps avoid feelings of deprivation. 📈</t>
  </si>
  <si>
    <t>Reducir las bebidas azucaradas de forma gradual es más efectivo que eliminarlas de golpe, ya que evita la sensación de privación. 📈</t>
  </si>
  <si>
    <t>Schrittweiser Fortschritt</t>
  </si>
  <si>
    <t>Den Konsum zuckerhaltiger Getränke schrittweise zu reduzieren, ist effektiver, als sie abrupt wegzulassen, da so das Gefühl des Verzichts vermieden wird.</t>
  </si>
  <si>
    <t>A4-DN7-B-Young</t>
  </si>
  <si>
    <t>Gut health alert 🦠</t>
  </si>
  <si>
    <t>Alerta: Salud intestinal 🦠</t>
  </si>
  <si>
    <t>Frequent consumption of soft drinks and sugary beverages can disrupt the gut microbiota. 🦠</t>
  </si>
  <si>
    <t>El consumo frecuente de refrescos y bebidas azucaradas puede alterar tu microbiota intestinal. ¡Cuida tu salud desde dentro! 🦠</t>
  </si>
  <si>
    <t>Alarm: Darmgesundheit</t>
  </si>
  <si>
    <t>Der häufige Konsum von Limonaden und zuckerhaltigen Getränken kann deine Darmmikrobiota verändern. Kümmere dich um deine Gesundheit von innen heraus.</t>
  </si>
  <si>
    <t>M1-DN7-B-Young</t>
  </si>
  <si>
    <t>On-the-go habit 🎒</t>
  </si>
  <si>
    <t>Hábito para llevar 🎒</t>
  </si>
  <si>
    <t>Always carrying water or unsweetened infusions makes it easier to maintain the habit outside the home. Share a photo of your bottle each time you bring it with you. 🎒</t>
  </si>
  <si>
    <t>Llevar siempre agua o infusiones encima facilita mantener el hábito fuera de casa. Sube una foto de tu botella cada vez que la lleves contigo. 🎒</t>
  </si>
  <si>
    <t>Gewohnheit für unterwegs</t>
  </si>
  <si>
    <t>Immer Wasser oder Aufgüsse dabei zu haben, erleichtert es, die Gewohnheit auch außer Haus beizubehalten. Lade jedes Mal ein Foto deiner Flasche hoch, wenn du sie mitnimmst.</t>
  </si>
  <si>
    <t>M2-DN7-B-Young</t>
  </si>
  <si>
    <t>Soda-free socials 👥</t>
  </si>
  <si>
    <t>Sociales sin refrescos 👥</t>
  </si>
  <si>
    <t>Maintaining this habit reduces sugar spikes, helps control weight, and improves energy levels steadily. 🔥</t>
  </si>
  <si>
    <t>Mantener este hábito reduce los picos de azúcar, ayuda a controlar el peso y mejora tus niveles de energía de forma constante. 🔥</t>
  </si>
  <si>
    <t>Gesellig ohne Limonade</t>
  </si>
  <si>
    <t>Dieses Verhalten reduziert Zuckerspitzen, hilft bei der Gewichtskontrolle und verbessert konstant dein Energieniveau.</t>
  </si>
  <si>
    <t>M3-DN7-B-Young</t>
  </si>
  <si>
    <t>No-sugar streak 🔥</t>
  </si>
  <si>
    <t>Racha sin azúcar 🔥</t>
  </si>
  <si>
    <t>Are you able to go out for a drink without consuming soft drinks? Share an image of your healthy choice with the community. 👥</t>
  </si>
  <si>
    <t>¿Eres capaz de salir a tomar algo sin consumir refrescos azucarados? Comparte una imagen de tu elección saludable con la comunidad. 👥</t>
  </si>
  <si>
    <t>Zuckerfreie Serie</t>
  </si>
  <si>
    <t>Bist du in der Lage, etwas trinken zu gehen, ohne zuckerhaltige Limonaden zu konsumieren? Teile ein Bild deiner gesunden Wahl mit der Community.</t>
  </si>
  <si>
    <t>M4-DN7-B-Young</t>
  </si>
  <si>
    <t>Seasonality check 🗓️</t>
  </si>
  <si>
    <t>Control de temporada 🗓️</t>
  </si>
  <si>
    <t>Mark each day you meet the goal of not consuming sugary drinks during the entire day. 🗓️</t>
  </si>
  <si>
    <t>Marca cada día que cumplas el objetivo de no consumir ninguna bebida azucarada durante toda la jornada. 🗓️</t>
  </si>
  <si>
    <t>Saisonale Kontrolle</t>
  </si>
  <si>
    <t>Markiere jeden Tag, an dem du das Ziel erreichst, während des gesamten Tages kein zuckerhaltiges Getränk zu konsumieren.</t>
  </si>
  <si>
    <t>Un postre hidratante</t>
  </si>
  <si>
    <t>Una buena forma de aumentar tu consumu de agua es hacerlo en forma de gelatina. Te animamos a que hagas una gelatina con tus furtas favoritas. También puedes ponerles flores y hacer una auténtica obrade arte</t>
  </si>
  <si>
    <t>Eine gute Möglichkeit</t>
  </si>
  <si>
    <t>deinen Wasserkonsum zu erhöhen, ist, ihn in Form von Gelatine zu sich zu nehmen. Wir empfehlen dir, eine Gelatine mit deinen Lieblingsfrüchten zuzubereiten. Du kannst auch Blumen hinzufügen und ein echtes Kunstwerk daraus machen.</t>
  </si>
  <si>
    <t>DN8-A</t>
  </si>
  <si>
    <t>PC1-DN8-A-Young</t>
  </si>
  <si>
    <t>Fridge scan 🔍</t>
  </si>
  <si>
    <t>Escáner de nevera 🔍</t>
  </si>
  <si>
    <t>More flavor, fewer trips: Seasonal foods usually have better taste and texture because they are harvested at their peak ripeness. 🔍</t>
  </si>
  <si>
    <t>Más sabor, menos trayectos: Los alimentos de temporada suelen tener mejor sabor y textura porque se cosechan en su punto óptimo de maduración. 🔍</t>
  </si>
  <si>
    <t>PC2-DN8-A-Young</t>
  </si>
  <si>
    <t>Local hero log 📝</t>
  </si>
  <si>
    <t>Registro de héroe local 📝</t>
  </si>
  <si>
    <t>Take a photo of your fridge and point out which products are seasonal. 📝</t>
  </si>
  <si>
    <t>Haz una foto de tu nevera y señala qué productos de los que tienes son de temporada. 📝</t>
  </si>
  <si>
    <t>C1-DN8-A-Young</t>
  </si>
  <si>
    <t>Price point battle ⚖️</t>
  </si>
  <si>
    <t>Batalla de precios ⚖️</t>
  </si>
  <si>
    <t>Record your local and seasonal food consumption during these days. 📝</t>
  </si>
  <si>
    <t>Registra tu consumo de alimentos locales y de temporada durante esta semana. 📝 Cada vez que subas un nuevo alimento de temporada sumarás puntos 📸</t>
  </si>
  <si>
    <t>Preisduell</t>
  </si>
  <si>
    <t>Vergleiche den Preis eines saisonalen Lebensmittels mit einem, das nicht saisonal ist. Teile ein Foto des Preisunterschieds mit der Community.</t>
  </si>
  <si>
    <t>C2-DN8-A-Young</t>
  </si>
  <si>
    <t>Local love: Shop small 🛒</t>
  </si>
  <si>
    <t>Amor local: Compra pequeño 🛒</t>
  </si>
  <si>
    <t>Look at the price of a seasonal food and compare it with one that is out of season. Share the photo with the community. ⚖️</t>
  </si>
  <si>
    <t>Compara el precio de un alimento de temporada con uno que no lo sea. Comparte la foto de la diferencia con la comunidad. ⚖️</t>
  </si>
  <si>
    <t>Lokale Liebe: Klein einkaufen</t>
  </si>
  <si>
    <t>Unterstütze lokale Anbieter! Teile ein Foto deines Lieblingsladens mit der Community.</t>
  </si>
  <si>
    <t>P1-DN8-A-Young</t>
  </si>
  <si>
    <t>Seasonal menu flex 🗓️</t>
  </si>
  <si>
    <t>Menú de temporada flexible 🗓️</t>
  </si>
  <si>
    <t>Support local! Share a photo of your favorite local store with the rest of the community. 🛒</t>
  </si>
  <si>
    <t>¡Apoya lo cercano! Comparte una foto de tu tienda local favorita con el resto de la comunidad. 🛒</t>
  </si>
  <si>
    <t>Flexibles Saisonmenü</t>
  </si>
  <si>
    <t>Plane dein Wochenmenü in der Nutrida-App und integriere zwei Rezepte mit saisonalen Produkten.</t>
  </si>
  <si>
    <t>P2-DN8-A-Young</t>
  </si>
  <si>
    <t>Season’s best snap 📸</t>
  </si>
  <si>
    <t>La foto de lo mejor del mes 📸</t>
  </si>
  <si>
    <t>When planning your weekly menu in Nutrida, include two recipes using seasonal products. 🗓️</t>
  </si>
  <si>
    <t>Al planificar tu menú semanal en Nutrida, incluye dos recetas que utilicen productos de temporada. 🗓️</t>
  </si>
  <si>
    <t>Foto des Besten des Monats</t>
  </si>
  <si>
    <t>Sende ein Foto deiner zubereiteten saisonalen Rezepte für diese Woche.</t>
  </si>
  <si>
    <t>A1-DN8-A-Young</t>
  </si>
  <si>
    <t>The season matcher 🍂</t>
  </si>
  <si>
    <t>El emparejador estacional 🍂</t>
  </si>
  <si>
    <t>Send a photo of your seasonal recipes prepared for this week. 📸</t>
  </si>
  <si>
    <t>Envía una foto de tus recetas de temporada preparadas para esta semana. 📸</t>
  </si>
  <si>
    <t>Saisonaler Zuordner</t>
  </si>
  <si>
    <t>Teste dein Wissen: Versuche, jedes Lebensmittel seiner passenden Saison zuzuordnen.</t>
  </si>
  <si>
    <t>A2-DN8-A-Young</t>
  </si>
  <si>
    <t>Sustainable supporter 🌍</t>
  </si>
  <si>
    <t>Defensor de lo sostenible 🌍</t>
  </si>
  <si>
    <t>Put your knowledge to the test: try to match each food with its corresponding season. 🍂</t>
  </si>
  <si>
    <t>Pon a prueba tus conocimientos: intenta emparejar cada alimento con su estación correspondiente. 🍂</t>
  </si>
  <si>
    <t>Verfechter der Nachhaltigkeit</t>
  </si>
  <si>
    <t>Lokale Produkte zu kaufen unterstützt die Wirtschaft deiner Region und stärkt nachhaltigere Ernährungssysteme.</t>
  </si>
  <si>
    <t>Question Options: [Q1 (Spring - March to May): Asparagus and Strawberries, Pumpkin and Grapes, Watermelon and Corn; Q2 (Summer - June to August): Watermelon and Peaches, Broccoli and Oranges, Pears and Brussels Sprouts; Q3 (Autumn - September to November): Pumpkin and Chestnuts, Cherries and Asparagus, Apricots and Peas; Q4 (Winter - December to February): Oranges and Cauliflower, Tomatoes and Plums, Raspberries and Zucchini; Q5 (Correct Match): Spring-Asparagus / Summer-Melon / Autumn-Mushrooms / Winter-Chard, Winter-Watermelon / Summer-Pumpkin / Spring-Grapes]</t>
  </si>
  <si>
    <t>Question Options: [Q1 (Primavera - Marzo a Mayo): Espárragos y fresas, Calabaza y uvas, Sandía y maíz; Q2 (Verano - Junio a Agosto): Sandía y melocotones, Brócoli y naranjas, Peras y coles de Bruselas; Q3 (Otoño - Septiembre a Noviembre): Calabaza y castañas, Cerezas y espárragos, Albaricoques y guisantes; Q4 (Invierno - Diciembre a Febrero): Naranjas y coliflor, Tomates y ciruelas, Frambuesas y calabacín; Q5 (Emparejamiento correcto): Primavera-Espárragos / Verano-Melón / Otoño-Setas / Invierno-Acelgas, Invierno-Sandía / Verano-Calabaza / Primavera-Uvas]</t>
  </si>
  <si>
    <t>A3-DN8-A-Young</t>
  </si>
  <si>
    <t>Market tour 🏪</t>
  </si>
  <si>
    <t>Tour por el mercado 🏪</t>
  </si>
  <si>
    <t>Buying local products supports your local economy and strengthens more sustainable food systems. 🌍</t>
  </si>
  <si>
    <t>Comprar productos locales apoya la economía de tu zona y fortalece sistemas alimentarios más sostenibles. 🌍</t>
  </si>
  <si>
    <t>Markttour</t>
  </si>
  <si>
    <t>Besuche einen Markt oder ein lokales Geschäft und teile ein Foto der Obst- und Gemüseabteilung mit der Community.</t>
  </si>
  <si>
    <t>A4-DN8-A-Young</t>
  </si>
  <si>
    <t>Dine local 🍽️</t>
  </si>
  <si>
    <t>Cena local 🍽️</t>
  </si>
  <si>
    <t>Visit a local market or store and share a photo of its fruit and vegetable section with the community. 🏪</t>
  </si>
  <si>
    <t>Visita un mercado o tienda local y comparte una foto de la sección de frutas y verduras con la comunidad. 🏪</t>
  </si>
  <si>
    <t>Lokales Abendessen</t>
  </si>
  <si>
    <t>Wenn du diesen Monat auswärts isst, wähle ein Gericht mit lokalen und saisonalen Zutaten. Teile ein Foto!</t>
  </si>
  <si>
    <t>M1-DN8-A-Young</t>
  </si>
  <si>
    <t>Local roots recipe 🥘</t>
  </si>
  <si>
    <t>Receta con raíces locales 🥘</t>
  </si>
  <si>
    <t>If you eat out during the next month, ask for a seasonal and local dish. Share the photo with the rest of the community! 🍽️</t>
  </si>
  <si>
    <t>Si sales a comer fuera este mes, pide un plato con ingredientes locales y de temporada. ¡Comparte la foto! 🍽️</t>
  </si>
  <si>
    <t>Rezept mit lokalen Wurzeln</t>
  </si>
  <si>
    <t>Teile mit der Community ein typisches hausgemachtes Rezept aus deiner Region.</t>
  </si>
  <si>
    <t>M2-DN8-A-Young</t>
  </si>
  <si>
    <t>Eco-km tracker 🚗</t>
  </si>
  <si>
    <t>Rastreador de Eco-Km 🚗</t>
  </si>
  <si>
    <t>Share a homemade recipe typical of your local area or region with the community. 🥘</t>
  </si>
  <si>
    <t>Comparte con la comunidad una receta casera típica de tu zona o región. 🥘</t>
  </si>
  <si>
    <t>Eco-Km-Tracker</t>
  </si>
  <si>
    <t>Früchte, die weniger als 100 km entfernt produziert wurden, anstelle von importierten Früchten zu wählen, spart CO₂, was etwa 500–600 km Autofahrt entspricht.</t>
  </si>
  <si>
    <t>M3-DN8-A-Young</t>
  </si>
  <si>
    <t>Current season peak 🍎</t>
  </si>
  <si>
    <t>Pico de la temporada actual 🍎</t>
  </si>
  <si>
    <t>Choosing fruit produced within 100 km of your home instead of imported fruit can save CO2 equivalent to driving 500–600 fewer kilometers by car. 🚗</t>
  </si>
  <si>
    <t>Elegir fruta producida a menos de 100 km en lugar de importada ahorra el CO₂ equivalente a conducir 500-600 km menos en coche. 🚗</t>
  </si>
  <si>
    <t>Höhepunkt der aktuellen Saison</t>
  </si>
  <si>
    <t>Welche Frucht hat derzeit in deiner Region Saison? Teile ein Bild mit der Community.</t>
  </si>
  <si>
    <t>M4-DN8-A-Young</t>
  </si>
  <si>
    <t>Eco-diet gains ✨</t>
  </si>
  <si>
    <t>Beneficios de la eco-dieta ✨</t>
  </si>
  <si>
    <t>Which fruit is currently at its peak in your local area? Share an image with the community. 🍎</t>
  </si>
  <si>
    <t>¿Qué fruta está ahora mismo en su mejor momento en tu zona? Comparte una imagen con la comunidad. 🍎</t>
  </si>
  <si>
    <t>Vorteile der Öko-Ernährung</t>
  </si>
  <si>
    <t>DN9-A</t>
  </si>
  <si>
    <t>PC1-DN9-A-Young</t>
  </si>
  <si>
    <t>Water footprint quiz 💧</t>
  </si>
  <si>
    <t>Quiz de la huella hídrica 💧</t>
  </si>
  <si>
    <t>Eating less processed foods not only improves your health but also reduces the energy and water required to produce ultra-processed foods. 💧</t>
  </si>
  <si>
    <t>Comer menos alimentos procesados no solo mejora tu salud, sino que reduce la energía y el agua necesarias para producirlos. 💧</t>
  </si>
  <si>
    <t>Weniger verarbeitete Lebensmittel zu essen verbessert nicht nur deine Gesundheit, sondern reduziert auch den Energie- und Wasserverbrauch für deren Produktion.</t>
  </si>
  <si>
    <t>PC2-DN9-A-Young</t>
  </si>
  <si>
    <t>Fresh vs. ultra 🍎</t>
  </si>
  <si>
    <t>Approximately how much water is needed to produce 1 kg of these foods? Match each food with the correct amount. 💧</t>
  </si>
  <si>
    <t>¿Sabes cuánta agua se necesita para producir 1 kg de estos alimentos? Empareja cada alimento con la cantidad correcta. 💧</t>
  </si>
  <si>
    <t>Wasser-Fußabdruck-Quiz</t>
  </si>
  <si>
    <t>Weißt du, wie viel Wasser für die Herstellung von 1 kg dieser Lebensmittel benötigt wird? Ordne jedes Lebensmittel der richtigen Menge zu.</t>
  </si>
  <si>
    <t>Question Options: [Q1 (Beef): ~15,000 Liters, ~5,000 Liters, ~1,000 Liters; Q2 (Cheese): ~3,000 Liters, ~5,000 Liters, ~15,000 Liters; Q3 (Bread): ~1,600 Liters, ~500 Liters, ~100 Liters; Q4 (Potato): ~290 Liters, ~900 Liters, ~2,000 Liters; Q5 (Tomato): ~210 Liters, ~50 Liters, ~800 Liters]</t>
  </si>
  <si>
    <r>
      <t>Question Options:</t>
    </r>
    <r>
      <rPr>
        <sz val="11"/>
        <color theme="1"/>
        <rFont val="Aptos Narrow"/>
        <family val="2"/>
        <scheme val="minor"/>
      </rPr>
      <t xml:space="preserve"> [Q1 (Ternera): ~15.000 Litros, ~5.000 Litros, ~1.000 Litros; Q2 (Queso): ~3.000 Litros, ~5.000 Litros, ~15.000 Litros; Q3 (Pan): ~1.600 Litros, ~500 Litros, ~100 Litros; Q4 (Patata): ~290 Litros, ~900 Litros, ~2.000 Litros; Q5 (Tomate): ~210 Litros, ~50 Litros, ~800 Litros]</t>
    </r>
  </si>
  <si>
    <t>C1-DN9-A-Young</t>
  </si>
  <si>
    <t>Fridge check-up 🔍</t>
  </si>
  <si>
    <t>Fresco vs. Ultraprocesado 🍎</t>
  </si>
  <si>
    <t>Choosing fresh products instead of ultra-processed foods helps reduce the environmental impact of your diet. 🍎</t>
  </si>
  <si>
    <t>Elegir productos frescos en lugar de ultraprocesados ayuda a reducir el impacto ambiental de tu dieta de forma significativa. 🍎</t>
  </si>
  <si>
    <t>Frisch vs. stark verarbeitet</t>
  </si>
  <si>
    <t>Frische Produkte anstelle von stark verarbeiteten Lebensmitteln zu wählen, hilft, die Umweltbelastung deiner Ernährung erheblich zu verringern.</t>
  </si>
  <si>
    <t>C2-DN9-A-Young</t>
  </si>
  <si>
    <t>Spice rack benefits ✨</t>
  </si>
  <si>
    <t>Chequeo de nevera 🔍</t>
  </si>
  <si>
    <t>Share a photo of your fridge. How many fresh products do you have? 🔍</t>
  </si>
  <si>
    <t>Haz una foto de tu nevera. ¿Cuántos productos frescos tienes ahora mismo? Cuéntalos y compártelo. 🔍</t>
  </si>
  <si>
    <t>Kühlschrank-Check</t>
  </si>
  <si>
    <t>Mache ein Foto deines Kühlschranks. Wie viele frische Produkte hast du gerade? Zähle sie und teile das Bild.</t>
  </si>
  <si>
    <t>P1-DN9-A-Young</t>
  </si>
  <si>
    <t>The spice upgrade 🌿</t>
  </si>
  <si>
    <t>Beneficios del especiero ✨</t>
  </si>
  <si>
    <t>Many spices, such as turmeric, cumin, or cinnamon, provide antioxidants and anti-inflammatory compounds, adding benefits to your diet. ✨</t>
  </si>
  <si>
    <t>Muchas especias, como la cúrcuma, el comino o la canela, aportan antioxidantes y compuestos antiinflamatorios a tu dieta. ✨</t>
  </si>
  <si>
    <t>Vorteile des Gewürzregals</t>
  </si>
  <si>
    <t>Viele Gewürze, wie Kurkuma, Kreuzkümmel oder Zimt, liefern Antioxidantien und entzündungshemmende Verbindungen für deine Ernährung.</t>
  </si>
  <si>
    <t>P2-DN9-A-Young</t>
  </si>
  <si>
    <t>Golden history: Turmeric 🟡</t>
  </si>
  <si>
    <t>La mejora con especias 🌿</t>
  </si>
  <si>
    <t>This week, choose a recipe you usually make and add at least one new spice you’ve never used before. 🌿</t>
  </si>
  <si>
    <t>Esta semana, elige una receta que hagas habitualmente y añade al menos una especia nueva que nunca hayas usado. 🌿</t>
  </si>
  <si>
    <t>Verbesserung mit Gewürzen</t>
  </si>
  <si>
    <t>Wähle diese Woche ein Rezept, das du regelmäßig kochst, und füge mindestens ein neues Gewürz hinzu, das du noch nie verwendet hast.</t>
  </si>
  <si>
    <t>A1-DN9-A-Young</t>
  </si>
  <si>
    <t>Ancient preserver: Cumin 🏺</t>
  </si>
  <si>
    <t>Historia dorada: Cúrcuma 🟡</t>
  </si>
  <si>
    <t>Did you know that turmeric has been used in Asia for over 4,000 years as a coloring and medicinal ingredient? Try it today to give your dish an exotic touch. 🟡</t>
  </si>
  <si>
    <t>¿Sabías que la cúrcuma se usa en Asia desde hace más de 4.000 años como colorante e ingrediente medicinal? Úsala hoy para dar un toque exótico. 🟡</t>
  </si>
  <si>
    <t>Goldene Geschichte: Kurkuma</t>
  </si>
  <si>
    <t>Wusstest du, dass Kurkuma in Asien seit über 4.000 Jahren als Farbstoff und medizinische Zutat verwendet wird? Nutze es heute, um einen exotischen Touch zu geben.</t>
  </si>
  <si>
    <t>A2-DN9-A-Young</t>
  </si>
  <si>
    <t>Conservante antiguo: Comino 🏺</t>
  </si>
  <si>
    <t>Put your knowledge to the test: answer the following true or false question about spices. 🧐</t>
  </si>
  <si>
    <t>Pon a prueba lo que sabes: responde a la siguiente pregunta de verdadero o falso sobre las especias. 🧐</t>
  </si>
  <si>
    <t>Altes Konservierungsmittel: Kreuzkümmel</t>
  </si>
  <si>
    <t>Teste dein Wissen: Beantworte die folgende Wahr-oder-Falsch-Frage zu Gewürzen.</t>
  </si>
  <si>
    <t>Question Options: [Q1 (True or False: Cumin was used in ancient times for food preservation due to its antimicrobial properties): True, False; Q2 (True or False: Ancient Egyptians used cumin as one of the ingredients for mummification): True, False; Q3 (True or False: Cumin was so valuable in ancient Greece that it was kept in a private box on the dining table): True, False; Q4 (True or False: Cumin loses all its flavor and preservative qualities when dried): True, False; Q5 (True or False: Cumin is native to the Americas and was unknown to ancient Europeans): True, False]</t>
  </si>
  <si>
    <r>
      <t>Question Options:</t>
    </r>
    <r>
      <rPr>
        <sz val="11"/>
        <color theme="1"/>
        <rFont val="Aptos Narrow"/>
        <family val="2"/>
        <scheme val="minor"/>
      </rPr>
      <t xml:space="preserve"> [Q1 (Verdadero o Falso: El comino se utilizaba en la antigüedad para conservar alimentos debido a sus propiedades antimicrobianas): Verdadero, Falso; Q2 (Verdadero o Falso: Los antiguos egipcios utilizaban el comino como uno de los ingredientes para la momificación): Verdadero, Falso; Q3 (Verdadero o Falso: El comino era tan valioso en la antigua Grecia que se guardaba en una caja privada en la mesa del comedor): Verdadero, Falso; Q4 (Verdadero o Falso: El comino pierde todo su sabor y sus cualidades conservantes al secarse): Verdadero, Falso; Q5 (Verdadero o Falso: El comino es originario de América y era desconocido para los antiguos europeos): Verdadero, Falso]</t>
    </r>
  </si>
  <si>
    <t>A3-DN9-A-Young</t>
  </si>
  <si>
    <t>Aroma boost hack 👃</t>
  </si>
  <si>
    <t>Find a recipe in Nutrida that uses spices you haven’t tried before and share it with the community. 👃</t>
  </si>
  <si>
    <t>Busca una receta en Nutrida que utilice especias que no hayas probado antes y compártela con la comunidad. 👃</t>
  </si>
  <si>
    <t>Suche ein Rezept in der Nutrida-App, das Gewürze verwendet, die du noch nie probiert hast, und teile es mit der Community.</t>
  </si>
  <si>
    <t>A4-DN9-A-Young</t>
  </si>
  <si>
    <t>The sustainable plate 🍽️</t>
  </si>
  <si>
    <t>Truco: Potenciador de aroma 👃</t>
  </si>
  <si>
    <t>Lightly toasting spices before adding them enhances their flavor and aroma. Give it a try! 👃</t>
  </si>
  <si>
    <t>Un pequeño truco: tostar ligeramente las especias antes de añadirlas al plato realza muchísimo su sabor y aroma. 👃</t>
  </si>
  <si>
    <t>Trick: Aromaverstärker</t>
  </si>
  <si>
    <t>Ein kleiner Trick: Gewürze leicht anrösten, bevor du sie ins Gericht gibst, verstärkt ihren Geschmack und ihr Aroma erheblich.</t>
  </si>
  <si>
    <t>M1-DN9-A-Young</t>
  </si>
  <si>
    <t>Process-free week 🚫</t>
  </si>
  <si>
    <t>El plato sostenible 🍽️</t>
  </si>
  <si>
    <t>Prepare a visually appealing “sustainable plate”: color and variety also encourage healthy habits. Share a photo with the community. 🍽️</t>
  </si>
  <si>
    <t>Prepara un "plato sostenible" que sea visualmente atractivo: el color y la variedad también fomentan hábitos saludables. Comparte la foto. 🍽️</t>
  </si>
  <si>
    <t>Das nachhaltige Gericht</t>
  </si>
  <si>
    <t>Bereite ein „nachhaltiges Gericht“ zu, das optisch ansprechend ist: Farbe und Vielfalt fördern ebenfalls gesunde Gewohnheiten. Teile ein Foto.</t>
  </si>
  <si>
    <t>M2-DN9-A-Young</t>
  </si>
  <si>
    <t>Whole spice flex 🌰</t>
  </si>
  <si>
    <t>Semana sin procesados 🚫</t>
  </si>
  <si>
    <t>Replace an ultra-processed food in your usual menu with a fresh or plant-based alternative this week. 🚫</t>
  </si>
  <si>
    <t>Sustituye un alimento ultraprocesado de tu menú habitual por una alternativa fresca o de origen vegetal durante esta semana. 🚫</t>
  </si>
  <si>
    <t>Woche ohne verarbeitete Lebensmittel</t>
  </si>
  <si>
    <t>Ersetze ein stark verarbeitetes Lebensmittel in deinem üblichen Menü diese Woche durch eine frische oder pflanzliche Alternative.</t>
  </si>
  <si>
    <t>M3-DN9-A-Young</t>
  </si>
  <si>
    <t>Global flavors, local goods 🌍</t>
  </si>
  <si>
    <t>El poder de la especia entera 🌰</t>
  </si>
  <si>
    <t>Ground spices lose flavor faster than whole ones; buying them whole and grinding them at home is more intense and fresh. 🌰</t>
  </si>
  <si>
    <t>Las especias molidas pierden el sabor más rápido; comprarlas enteras y molerlas en casa ofrece un aroma más intenso y fresco. 🌰</t>
  </si>
  <si>
    <t>Die Kraft der ganzen Gewürze</t>
  </si>
  <si>
    <t>Gemahlene Gewürze verlieren schneller ihr Aroma; ganze Gewürze zu kaufen und zuhause zu mahlen, sorgt für intensiveren und frischeren Geschmack.</t>
  </si>
  <si>
    <t>M4-DN9-A-Young</t>
  </si>
  <si>
    <t>Waste awareness ♻️</t>
  </si>
  <si>
    <t>Sabores globales, productos locales 🌍</t>
  </si>
  <si>
    <t>Adapt an international recipe using local products from your area. Share an image with the community. 🌍</t>
  </si>
  <si>
    <t>Adapta una receta internacional utilizando productos locales de tu zona. Comparte la imagen con la comunidad. 🌍</t>
  </si>
  <si>
    <t>Globale Geschmäcker, lokale Produkte</t>
  </si>
  <si>
    <t>Passe ein internationales Rezept an, indem du lokale Produkte aus deiner Region verwendest. Teile das Bild mit der Community.</t>
  </si>
  <si>
    <t>DN10-A</t>
  </si>
  <si>
    <t>PC1-DN10-A-Young</t>
  </si>
  <si>
    <t>Plastic-Free Mission 🚫🥤</t>
  </si>
  <si>
    <t>Conciencia sobre el desperdicio ♻️</t>
  </si>
  <si>
    <t>Over 1 billion tons of food are wasted every year worldwide, representing around 19% of all food available for consumption. 🌍</t>
  </si>
  <si>
    <t>Cada año se desperdician más de 1.000 millones de toneladas de alimentos en el mundo, lo que representa cerca del 19% de toda la comida disponible para el consumo. 🌍</t>
  </si>
  <si>
    <t>Bewusstsein für Verschwendung</t>
  </si>
  <si>
    <t>Jedes Jahr werden weltweit über 1.000 Millionen Tonnen Lebensmittel verschwendet, was etwa 19 % aller zum Verzehr verfügbaren Lebensmittel ausmacht.</t>
  </si>
  <si>
    <t>PC2-DN10-A-Young</t>
  </si>
  <si>
    <t>Packaging Call-out 📦</t>
  </si>
  <si>
    <t>The use of plastic packaging in food and drinks contributes to resource consumption and pollution; choosing products with less packaging or reusable containers helps reduce plastic. 📦</t>
  </si>
  <si>
    <t>El uso de envases de plástico en alimentos y bebidas contribuye al consumo de recursos y a la contaminación; elegir productos con menos envase ayuda a reducir el plástico. 📦</t>
  </si>
  <si>
    <t>Verpackung melden</t>
  </si>
  <si>
    <t>Die Verwendung von Plastikverpackungen bei Lebensmitteln und Getränken trägt zum Ressourcenverbrauch und zur Verschmutzung bei; Produkte mit weniger Verpackung zu wählen, hilft, Plastik zu reduzieren.</t>
  </si>
  <si>
    <t>C1-DN10-A-Young</t>
  </si>
  <si>
    <t>The Broth Hack 🥣</t>
  </si>
  <si>
    <t>Denuncia el embalaje 📦</t>
  </si>
  <si>
    <t>Next time you go to the supermarket, find a product with an excessive amount of plastic and share a photo with the rest of the community. 📸</t>
  </si>
  <si>
    <t>La próxima vez que vayas al supermercado, busca un producto con una cantidad excesiva de plástico y comparte la foto con el resto de la comunidad. 📸</t>
  </si>
  <si>
    <t>Beim nächsten Einkauf im Supermarkt suche nach einem Produkt mit übermäßiger Plastikverpackung und teile ein Foto mit der Community.</t>
  </si>
  <si>
    <t>C2-DN10-A-Young</t>
  </si>
  <si>
    <t>Save the Fruit Smoothie 🍹</t>
  </si>
  <si>
    <t>El truco del caldo 🥣</t>
  </si>
  <si>
    <t>Save vegetable peels, stems, and food scraps to make broths, soups, or purées. This way, you reduce waste and make the most of all the nutrients. 🥣</t>
  </si>
  <si>
    <t>Guarda las pieles, tallos y restos de verduras para hacer caldos, sopas o purés. De esta forma, reduces el desperdicio y aprovechas todos los nutrientes. 🥣</t>
  </si>
  <si>
    <t>Die Brühen-Tricks</t>
  </si>
  <si>
    <t>Bewahre Schalen, Stiele und Gemüsereste auf, um Brühen, Suppen oder Pürees zuzubereiten. So reduzierst du Abfall und nutzt alle Nährstoffe.</t>
  </si>
  <si>
    <t>P1-DN10-A-Young</t>
  </si>
  <si>
    <t>Peel Power: Zest it Up 🍋</t>
  </si>
  <si>
    <t>Batido "Salva la fruta" 🍹</t>
  </si>
  <si>
    <t>Make a smoothie using ripe or nearly spoiled fruit instead of throwing it away. 🍹</t>
  </si>
  <si>
    <t>Prepara un batido utilizando fruta muy madura o que esté a punto de estropearse en lugar de tirarla a la basura. 🍹</t>
  </si>
  <si>
    <t>Smoothie „Rette das Obst“</t>
  </si>
  <si>
    <t>Bereite einen Smoothie aus sehr reifem oder kurz vor dem Verderben stehenden Obst zu, anstatt es wegzuwerfen.</t>
  </si>
  <si>
    <t>P2-DN10-A-Young</t>
  </si>
  <si>
    <t>Bread Rebirth 🥖</t>
  </si>
  <si>
    <t>Poder cítrico: ¡Ralla la piel! 🍋</t>
  </si>
  <si>
    <t>Citrus peels can flavor teas, be baked into chips, or even add taste to desserts. You can freeze them for when you need them. 🍋</t>
  </si>
  <si>
    <t>Las pieles de los cítricos pueden aromatizar tés, hornearse como chips o dar sabor a postres. Puedes congelarlas para cuando las necesites. 🍋</t>
  </si>
  <si>
    <t>Zitruspower: Schale abreiben!</t>
  </si>
  <si>
    <t>Zitrusschalen können Tees aromatisieren, zu Chips gebacken werden oder Desserts Geschmack verleihen. Du kannst sie einfrieren, bis du sie benötigst.</t>
  </si>
  <si>
    <t>A1-DN10-A-Young</t>
  </si>
  <si>
    <t>Flavor Ice Cubes 🧊</t>
  </si>
  <si>
    <t>El renacer del pan 🥖</t>
  </si>
  <si>
    <t>Turn stale or old bread into crumbs, toast, or croutons and use them in salads or soups. Share your recipe with the rest of the community. 🥖</t>
  </si>
  <si>
    <t>Convierte el pan duro o viejo en pan rallado, tostadas o picatostes y úsalos en ensaladas o sopas. Comparte tu receta con la comunidad. 🥖</t>
  </si>
  <si>
    <t>Das Brotwiederleben</t>
  </si>
  <si>
    <t>Verwandle altes oder hartes Brot in Paniermehl, Toast oder Croutons und verwende es in Salaten oder Suppen. Teile dein Rezept mit der Community.</t>
  </si>
  <si>
    <t>A2-DN10-A-Young</t>
  </si>
  <si>
    <t>Zero Waste Star ⭐</t>
  </si>
  <si>
    <t>Cubitos de sabor 🧊</t>
  </si>
  <si>
    <t>Freeze leftover herbs, citrus peels, or broths in ice cube trays and use them later for drinks. 🧊</t>
  </si>
  <si>
    <t>Congela restos de hierbas, pieles de cítricos o caldos en cubiteras de hielo y úsalos más tarde para tus bebidas. 🧊</t>
  </si>
  <si>
    <t>Geschmackswürfel</t>
  </si>
  <si>
    <t>Reste von Kräutern, Zitrusschalen oder Brühen in Eiswürfelformen einfrieren und später für Getränke verwenden.</t>
  </si>
  <si>
    <t>A3-DN10-A-Young</t>
  </si>
  <si>
    <t>Crispy Peel Snacks 🥔</t>
  </si>
  <si>
    <t>Estrella del Desperdicio Cero ⭐</t>
  </si>
  <si>
    <t>Share your favorite leftover-based (food reuse) recipe with the rest of the community. ⭐</t>
  </si>
  <si>
    <t>Comparte con el resto de la comunidad tu receta favorita basada en el aprovechamiento de sobras (reutilización de alimentos). ⭐</t>
  </si>
  <si>
    <t>Zero-Waste-Star</t>
  </si>
  <si>
    <t>Teile mit der Community dein Lieblingsrezept, das auf der Resteverwertung basiert.</t>
  </si>
  <si>
    <t>A4-DN10-A-Young</t>
  </si>
  <si>
    <t>Eco-Scent Hack 🌸</t>
  </si>
  <si>
    <t>Snacks de piel crujiente 🥔</t>
  </si>
  <si>
    <t>Bake potato or carrot peels with a little oil and spices to make crispy chips. 🥔</t>
  </si>
  <si>
    <t>Hornea pieles de patata o zanahoria con un poco de aceite y especias para crear unos chips crujientes. 🥔</t>
  </si>
  <si>
    <t>Knusprige Snackschalen</t>
  </si>
  <si>
    <t>Backe Kartoffel- oder Karottenschalen mit etwas Öl und Gewürzen zu knusprigen Chips.</t>
  </si>
  <si>
    <t>M1-DN10-A-Young</t>
  </si>
  <si>
    <t>Aromatic Oil DIY 🧴</t>
  </si>
  <si>
    <t>Truco de eco-aroma 🌸</t>
  </si>
  <si>
    <t>Citrus peels + herbs + cinnamon → small sachets to scent wardrobes or backpacks. Eco-friendly cooking and home tips. 🌸</t>
  </si>
  <si>
    <t>Pieles de cítricos + hierbas + canela → saquitos para aromatizar armarios o mochilas. Trucos ecológicos para el hogar y la cocina. 🌸</t>
  </si>
  <si>
    <t>Eco-Aroma-Trick</t>
  </si>
  <si>
    <t>Zitrusschalen + Kräuter + Zimt → Säckchen zum Aromatisieren von Schränken oder Taschen. Ökologische Tricks für Haushalt und Küche.</t>
  </si>
  <si>
    <t>M2-DN10-A-Young</t>
  </si>
  <si>
    <t>Anti-Waste Cream 🍦</t>
  </si>
  <si>
    <t>Aceite aromático casero 🧴</t>
  </si>
  <si>
    <t>Place leftover herbs or citrus peels in oil to create an aromatic dressing and make use of what you would normally throw away. ¡Share it! 🧴</t>
  </si>
  <si>
    <t>Pon restos de hierbas o pieles de cítricos en aceite para crear un aliño aromático y aprovechar lo que normalmente tirarías. ¡Compártelo! 🧴</t>
  </si>
  <si>
    <t>Selbstgemachtes Aromatisches Öl</t>
  </si>
  <si>
    <t>Lege Kräuterreste oder Zitrusschalen in Öl, um ein aromatisches Dressing zu erstellen und das zu nutzen, was sonst weggeworfen würde. Teile es!</t>
  </si>
  <si>
    <t>M3-DN10-A-Young</t>
  </si>
  <si>
    <t>Batch Cooking Flex 🍱</t>
  </si>
  <si>
    <t>Crema anti-desperdicio 🍦</t>
  </si>
  <si>
    <t>If you practice batch cooking, share an image of your meal prep containers with the community. 🍱</t>
  </si>
  <si>
    <t>Si practicas el "batch cooking", comparte una imagen de tus recipientes de preparación de comidas con la comunidad. 🍱</t>
  </si>
  <si>
    <t>Anti-Verschwendungs-Creme</t>
  </si>
  <si>
    <t>Wenn du „Batch Cooking“ praktizierst, teile ein Bild deiner vorbereiteten Mahlzeitenbehälter mit der Community.</t>
  </si>
  <si>
    <t>M4-DN10-A-Young</t>
  </si>
  <si>
    <t>Fiber Facts 🌾</t>
  </si>
  <si>
    <t>Flexibilidad: Batch Cooking 🍱</t>
  </si>
  <si>
    <t>Replace a refined product with its high-fiber version (such as whole wheat pasta or brown rice) and notice the difference in your satiety. 🔄</t>
  </si>
  <si>
    <t>Sustituye un producto refinado por su versión rica en fibra (como pasta integral o arroz integral) y nota la diferencia en tu saciedad. 🔄</t>
  </si>
  <si>
    <t>Flexibilität: Batch Cooking</t>
  </si>
  <si>
    <t>Ersetze ein raffiniertes Produkt durch die ballaststoffreiche Variante (z. B. Vollkornpasta oder Vollkornreis) und achte auf den Unterschied beim Sättigungsgefühl.</t>
  </si>
  <si>
    <t>DN11-A</t>
  </si>
  <si>
    <t>PC1-DN11-A-Young</t>
  </si>
  <si>
    <t>High-Fiber Swap 🔄</t>
  </si>
  <si>
    <t>Datos sobre la fibra 🌾</t>
  </si>
  <si>
    <t>Fiber helps maintain a healthy digestive system, improves satiety, and can help prevent cardiovascular diseases. 🔄</t>
  </si>
  <si>
    <t>La fibra ayuda a mantener un sistema digestivo saludable, mejora la saciedad y puede ayudar a prevenir enfermedades cardiovasculares. 🔄</t>
  </si>
  <si>
    <t>Fakten über Ballaststoffe</t>
  </si>
  <si>
    <t>Ballaststoffe helfen, ein gesundes Verdauungssystem zu erhalten, verbessern das Sättigungsgefühl und können zur Vorbeugung von Herz-Kreislauf-Erkrankungen beitragen.</t>
  </si>
  <si>
    <t>PC2-DN11-A-Young</t>
  </si>
  <si>
    <t>Fiber Gap Check 🔍</t>
  </si>
  <si>
    <t>Chequeo de falta de fibra 🔍</t>
  </si>
  <si>
    <t>Replace a usual snack with a high-fiber one (fruit, nuts, veggie sticks). Share a photo with the community. 🔍</t>
  </si>
  <si>
    <t>Sustituye un snack habitual por uno rico en fibra (fruta, frutos secos, palitos de verdura). Comparte la foto con la comunidad. 🔍</t>
  </si>
  <si>
    <t>Ballaststoffmangel-Check</t>
  </si>
  <si>
    <t>Ersetze einen gewöhnlichen Snack durch einen ballaststoffreichen Snack (Obst, Nüsse, Gemüsesticks). Teile ein Foto mit der Community.</t>
  </si>
  <si>
    <t>C1-DN11-A-Young</t>
  </si>
  <si>
    <t>Legume Streak 🥗</t>
  </si>
  <si>
    <t>Racha de legumbres 🥗</t>
  </si>
  <si>
    <t>The recommended fiber intake is approximately 25 g per day, but most young people consume much less. 🥗</t>
  </si>
  <si>
    <t>La ingesta de fibra recomendada es de unos 25 g al día, pero la mayoría de los jóvenes consumen mucho menos. 🥗</t>
  </si>
  <si>
    <t>Hülsenfrüchte-Serie</t>
  </si>
  <si>
    <t>Die empfohlene Ballaststoffzufuhr liegt bei etwa 25 g pro Tag, aber die meisten jungen Menschen konsumieren deutlich weniger.</t>
  </si>
  <si>
    <t>C2-DN11-A-Young</t>
  </si>
  <si>
    <t>Whole Grain Switch 🌾</t>
  </si>
  <si>
    <t>Cambio al grano integral 🌾</t>
  </si>
  <si>
    <t>Include an extra legume dish this week. Remember, you can get inspiration from the Nutrida app. Share a photo each time you eat legumes. 🥗</t>
  </si>
  <si>
    <t>Incluye un plato de legumbres extra esta semana. Recuerda que puedes inspirarte en la app Nutrida. Comparte una foto cada vez que las comas. 🥗</t>
  </si>
  <si>
    <t>Wechsel zum Vollkorn</t>
  </si>
  <si>
    <t>Baue diese Woche eine zusätzliche Portion Hülsenfrüchte in deinen Speiseplan ein. Du kannst dich dabei von der Nutrida-App inspirieren lassen. Teile jedes Mal ein Foto, wenn du sie isst.</t>
  </si>
  <si>
    <t>P1-DN11-A-Young</t>
  </si>
  <si>
    <t>The 25g Goal 🎯</t>
  </si>
  <si>
    <t>El objetivo de los 25g 🎯</t>
  </si>
  <si>
    <t>Replace a refined product in your usual meal (rice, pasta, or bread) with its whole grain version. Share a photo with the community. 🌾</t>
  </si>
  <si>
    <t>Sustituye un producto refinado de tu comida habitual (arroz, pasta o pan) por su versión integral. Comparte la foto con la comunidad. 🌾</t>
  </si>
  <si>
    <t>Das 25-g-Ziel</t>
  </si>
  <si>
    <t>Ersetze ein raffiniertes Produkt deiner üblichen Mahlzeit (Reis, Pasta oder Brot) durch die Vollkornvariante. Teile ein Foto mit der Community.</t>
  </si>
  <si>
    <t>P2-DN11-A-Young</t>
  </si>
  <si>
    <t>True or False 🧐</t>
  </si>
  <si>
    <t>True or False? 🎯</t>
  </si>
  <si>
    <t xml:space="preserve"> ¿Verdadero o falso? 🎯</t>
  </si>
  <si>
    <t>Wahr oder falsch?</t>
  </si>
  <si>
    <t>Question Options: [Q1 (True or False: Eating 3 pieces of fruit guarantees reaching 25g of fiber): True, False; Q2 (True or False: A medium apple with skin has more fiber than a glass of apple juice): True, False; Q3 (True or False: To reach the fiber goal, you should also include legumes and whole grains): True, False; Q4 (True or False: Peeling all your fruit significantly reduces the total fiber you consume): True, False; Q5 (True or False: Most adults currently meet the recommended 25-30g of fiber daily): True, False]</t>
  </si>
  <si>
    <r>
      <t>Question Options:</t>
    </r>
    <r>
      <rPr>
        <sz val="11"/>
        <color theme="1"/>
        <rFont val="Aptos Narrow"/>
        <family val="2"/>
        <scheme val="minor"/>
      </rPr>
      <t xml:space="preserve"> [Q1 (Verdadero o Falso: Comer 3 piezas de fruta garantiza alcanzar los 25 g de fibra): Verdadero, Falso; Q2 (Verdadero o Falso: Una manzana mediana con piel tiene más fibra que un vaso de zumo de manzana): Verdadero, Falso; Q3 (Verdadero o Falso: Para alcanzar el objetivo de fibra, también se deben incluir legumbres y granos integrales): Verdadero, Falso; Q4 (Verdadero o Falso: Pelar toda la fruta reduce significativamente la fibra total que consumes): Verdadero, Falso; Q5 (Verdadero o Falso: La mayoría de los adultos cumplen actualmente con la recomendación de 25-30 g de fibra diarios): Verdadero, Falso]</t>
    </r>
  </si>
  <si>
    <t>A1-DN11-A-Young</t>
  </si>
  <si>
    <t>Fiber Ranker 📉</t>
  </si>
  <si>
    <t>El ranking de la fibra 📉</t>
  </si>
  <si>
    <t>Make sure at least half of your plate contains fiber-rich plant foods. Share your plate each time you meet this condition during the week. 🧐</t>
  </si>
  <si>
    <t>Asegúrate de que al menos la mitad de tu plato contenga alimentos vegetales ricos en fibra. Comparte tu plato cada vez que lo cumplas esta semana. 🧐</t>
  </si>
  <si>
    <t>Das Ballaststoff-Ranking</t>
  </si>
  <si>
    <t>Achte darauf, dass mindestens die Hälfte deines Tellers aus pflanzlichen, ballaststoffreichen Lebensmitteln besteht. Teile deinen Teller jedes Mal, wenn du es diese Woche umsetzt.</t>
  </si>
  <si>
    <t>A2-DN11-A-Young</t>
  </si>
  <si>
    <t>Chia Power-Up ✨</t>
  </si>
  <si>
    <t>Potencia con chía ✨</t>
  </si>
  <si>
    <t>Put your knowledge to the test: order these foods according to the amount of fiber you think they contain. 📉</t>
  </si>
  <si>
    <t>Pon a prueba tus conocimientos: ordena estos alimentos según la cantidad de fibra que crees que contienen. 📉</t>
  </si>
  <si>
    <t>Power mit Chia</t>
  </si>
  <si>
    <t>Teste dein Wissen: Ordne diese Lebensmittel nach der Menge an Ballaststoffen, die sie deiner Meinung nach enthalten.</t>
  </si>
  <si>
    <t>Question Options: [Q1 (Highest Fiber Content): 100g Chickpeas, 100g Nori Seaweed, 100g Almonds, 100g Watermelon; Q2 (Second Highest): 100g Almonds, 100g Chickpeas, 100g Nori Seaweed, 100g Watermelon; Q3 (High Fiber/Low Water): 100g Nori Seaweed, 100g Almonds, 100g Chickpeas, 100g Watermelon; Q4 (Lowest Fiber Content): 100g Watermelon, 100g Chickpeas, 100g Almonds, 100g Nori Seaweed; Q5 (Correct Ranking - Most to Least): Nori Seaweed &gt; Almonds &gt; Chickpeas &gt; Watermelon, Watermelon &gt; Chickpeas &gt; Almonds &gt; Nori Seaweed]</t>
  </si>
  <si>
    <r>
      <t>Question Options:</t>
    </r>
    <r>
      <rPr>
        <sz val="11"/>
        <color theme="1"/>
        <rFont val="Aptos Narrow"/>
        <family val="2"/>
        <scheme val="minor"/>
      </rPr>
      <t xml:space="preserve"> [Q1 (Mayor contenido de fibra): 100 g de garbanzos, 100 g de alga nori, 100 g de almendras, 100 g de sandía; Q2 (Segundo más alto): 100 g de almendras, 100 g de garbanzos, 100 g de alga nori, 100 g de sandía; Q3 (Alta fibra / Poca agua): 100 g de alga nori, 100 g de almendras, 100 g de garbanzos, 100 g de sandía; Q4 (Menor contenido de fibra): 100 g de sandía, 100 g de garbanzos, 100 g de almendras, 100 g de alga nori; Q5 (Ranking correcto - De más a menos): Alga Nori &gt; Almendras &gt; Garbanzos &gt; Sandía, Sandía &gt; Garbanzos &gt; Almendras &gt; Alga Nori]</t>
    </r>
  </si>
  <si>
    <t>A3-DN11-A-Young</t>
  </si>
  <si>
    <t>Seed Squad 🌱</t>
  </si>
  <si>
    <t>El escuadrón de las semillas 🌱</t>
  </si>
  <si>
    <t>One tablespoon of chia seeds contains 5 g of fiber, perfect for adding to smoothies, yogurt, or oats. ✨</t>
  </si>
  <si>
    <t>Una cucharada de semillas de chía contiene 5 g de fibra, ideal para añadir a batidos, yogur o avena. ✨</t>
  </si>
  <si>
    <t>Das Samen-Team</t>
  </si>
  <si>
    <t>Ein Esslöffel Chiasamen enthält 5 g Ballaststoffe und eignet sich ideal zum Hinzufügen zu Smoothies, Joghurt oder Haferflocken.</t>
  </si>
  <si>
    <t>A4-DN11-A-Young</t>
  </si>
  <si>
    <t>High-Fiber Faves ⭐</t>
  </si>
  <si>
    <t>Favoritos altos en fibra ⭐</t>
  </si>
  <si>
    <t xml:space="preserve">Adding seeds to your recipes is a great way to increase your daily fiber intake. Share a photo of your dish if you decide to try it. 🌱 </t>
  </si>
  <si>
    <t>Añadir semillas a tus recetas es una forma genial de aumentar tu fibra diaria. Comparte una foto de tu plato si decides probarlo. 🌱</t>
  </si>
  <si>
    <t>Ballaststoffreiche Favoriten</t>
  </si>
  <si>
    <t>Samen zu deinen Rezepten hinzuzufügen ist eine großartige Möglichkeit, deine tägliche Ballaststoffzufuhr zu erhöhen. Teile ein Foto deines Gerichts, wenn du es ausprobierst.</t>
  </si>
  <si>
    <t>M1-DN11-A-Young</t>
  </si>
  <si>
    <t>Seaweed Discovery 🌊</t>
  </si>
  <si>
    <t>Descubrimiento: Algas 🌊</t>
  </si>
  <si>
    <t>Share with the community your favorite high-fiber snack: hummus, fruit, nuts, etc. ⭐</t>
  </si>
  <si>
    <t>Comparte con la comunidad tu snack rico en fibra favorito: hummus, fruta, frutos secos, etc. ⭐</t>
  </si>
  <si>
    <t>Entdeckung: Algen</t>
  </si>
  <si>
    <t>Teile mit der Community deinen liebsten ballaststoffreichen Snack: Hummus, Obst, Nüsse usw.</t>
  </si>
  <si>
    <t>M2-DN11-A-Young</t>
  </si>
  <si>
    <t>Fiber Fusion Smoothie 🍹</t>
  </si>
  <si>
    <t>Batido de fusión de fibra 🍹</t>
  </si>
  <si>
    <r>
      <rPr>
        <sz val="11"/>
        <color rgb="FF000000"/>
        <rFont val="Aptos Narrow"/>
      </rPr>
      <t xml:space="preserve">Seaweeds are a great source of fiber; remember you can use them to cook a wide variety of dishes. 🌊 </t>
    </r>
    <r>
      <rPr>
        <sz val="11"/>
        <color rgb="FFA02B93"/>
        <rFont val="Aptos Narrow"/>
      </rPr>
      <t>Or just have a sushi.</t>
    </r>
  </si>
  <si>
    <t>Las algas son una gran fuente de fibra; recuerda que puedes usarlas para cocinar una gran variedad de platos. 🌊</t>
  </si>
  <si>
    <t>Ballaststoff-Fusions-Smoothie</t>
  </si>
  <si>
    <t>Algen sind eine hervorragende Ballaststoffquelle; denke daran, dass du sie für eine große Vielfalt an Gerichten verwenden kannst.</t>
  </si>
  <si>
    <t>M3-DN11-A-Young</t>
  </si>
  <si>
    <t>Nighttime Digest 🌙</t>
  </si>
  <si>
    <t>Digestión nocturna 🌙</t>
  </si>
  <si>
    <t>Create a smoothie with at least 3 fiber-rich ingredients you have never combined before and share it. 🍹</t>
  </si>
  <si>
    <t>Crea un batido con al menos 3 ingredientes ricos en fibra que nunca hayas combinado antes y compártelo. 🍹</t>
  </si>
  <si>
    <t>Nächtliche Verdauung</t>
  </si>
  <si>
    <t>Erstelle einen Smoothie mit mindestens drei ballaststoffreichen Zutaten, die du noch nie zuvor kombiniert hast, und teile ihn.</t>
  </si>
  <si>
    <t>M4-DN11-A-Young</t>
  </si>
  <si>
    <t>Label Literacy 101 🏷️</t>
  </si>
  <si>
    <t>Alfabetización de etiquetas 101 🏷️</t>
  </si>
  <si>
    <t>Eating an apple or pear with the skin before going to bed helps digestion while you sleep. 🌙</t>
  </si>
  <si>
    <t>Comer una manzana o pera con piel antes de ir a dormir ayuda a la digestión mientras duermes. 🌙</t>
  </si>
  <si>
    <t>Etikettenkunde 101</t>
  </si>
  <si>
    <t>Einen Apfel oder eine Birne mit Schale vor dem Schlafengehen zu essen, unterstützt die Verdauung während der Nacht.</t>
  </si>
  <si>
    <t>DN12-A</t>
  </si>
  <si>
    <t>PC1-DN12-A-Young</t>
  </si>
  <si>
    <t>E-Number Decoder 🔢</t>
  </si>
  <si>
    <t>Decodificador de números E 🔢</t>
  </si>
  <si>
    <t>The ingredient list shows what the product contains and in what order; the first ingredients are the ones present in the largest amounts. 📜</t>
  </si>
  <si>
    <t>La lista de ingredientes muestra qué contiene el producto y en qué orden; los primeros ingredientes son los que están presentes en mayor cantidad. 📜</t>
  </si>
  <si>
    <t>E-Nummern-Decoder</t>
  </si>
  <si>
    <t>Die Zutatenliste zeigt, was das Produkt enthält und in welcher Reihenfolge; die ersten Zutaten sind diejenigen, die in der größten Menge vorhanden sind.</t>
  </si>
  <si>
    <t>PC2-DN12-A-Young</t>
  </si>
  <si>
    <t>Citric Acid Truth 🍋</t>
  </si>
  <si>
    <t>The E numbers indicate food additives. Not all are harmful: some are natural, but reading them helps you know what you are consuming. 🔢</t>
  </si>
  <si>
    <t>Los números E indican aditivos alimentarios. No todos son dañinos: algunos son naturales, pero leerlos te ayuda a saber qué estás consumiendo realmente. 🔢</t>
  </si>
  <si>
    <t>E-Nummern geben Lebensmittelzusatzstoffe an. Nicht alle sind schädlich: Einige sind natürlich, aber das Lesen hilft dir zu wissen, was du wirklich konsumierst.</t>
  </si>
  <si>
    <t>C1-DN12-A-Young</t>
  </si>
  <si>
    <t>Minimalist Pantry 🧺</t>
  </si>
  <si>
    <t>La verdad del ácido cítrico 🍋</t>
  </si>
  <si>
    <t>E330 is simply citric acid, the same as found in a natural lemon. If you see it in juices or soft drinks, don’t worry—it just indicates it was used to add flavor or preserve naturally. 🍋</t>
  </si>
  <si>
    <t>El E330 es simplemente ácido cítrico, el mismo que hay en un limón. Si lo ves en zumos o refrescos, no te asustes: se usa para dar sabor o conservar de forma natural. 🍋</t>
  </si>
  <si>
    <t>Die Wahrheit über Zitronensäure</t>
  </si>
  <si>
    <t>E330 ist einfach Zitronensäure, dieselbe, die in einer Zitrone vorkommt. Wenn du sie in Säften oder Erfrischungsgetränken siehst, erschrick nicht: Sie wird verwendet, um auf natürliche Weise Geschmack zu verleihen oder zu konservieren.</t>
  </si>
  <si>
    <t>C2-DN12-A-Young</t>
  </si>
  <si>
    <t>Hidden Sugar Hunt 🕵️‍♂️</t>
  </si>
  <si>
    <t>Despensa minimalista 🧺</t>
  </si>
  <si>
    <t>Less is more! Share a photo with the community of a product in your pantry that has fewer than 5 ingredients. 🧺</t>
  </si>
  <si>
    <t>¡Menos es más! Comparte una foto con la comunidad de un producto de tu despensa que tenga menos de 5 ingredientes. 🧺</t>
  </si>
  <si>
    <t>Minimalistische Vorratskammer</t>
  </si>
  <si>
    <t>Weniger ist mehr! Teile ein Foto eines Produkts aus deiner Vorratskammer mit der Community, das weniger als 5 Zutaten hat.</t>
  </si>
  <si>
    <t>P1-DN12-A-Young</t>
  </si>
  <si>
    <t>Claim Checker 🧐</t>
  </si>
  <si>
    <t>Caza del azúcar oculto 🕵️‍♂️</t>
  </si>
  <si>
    <r>
      <rPr>
        <sz val="11"/>
        <color rgb="FF000000"/>
        <rFont val="Aptos Narrow"/>
      </rPr>
      <t>Ingredients such as corn syrup, maltose, or dextrose are added sugars, even if they don’t seem like it. Checking the list helps you avoid them. 🕵️‍♂️</t>
    </r>
    <r>
      <rPr>
        <sz val="11"/>
        <color rgb="FFA02B93"/>
        <rFont val="Aptos Narrow"/>
      </rPr>
      <t xml:space="preserve"> You might be surprised to know that you can also find them in meat products, such as ham.</t>
    </r>
  </si>
  <si>
    <t>Ingredientes como el jarabe de maíz, la maltosa o la dextrosa son azúcares añadidos, aunque no lo parezcan. Revisar la lista te ayuda a evitarlos. 🕵️‍♂️</t>
  </si>
  <si>
    <t>Zutaten wie Maissirup, Maltose oder Dextrose sind zugesetzte Zucker, auch wenn sie nicht danach aussehen. Das Überprüfen der Liste hilft dir, sie zu vermeiden.</t>
  </si>
  <si>
    <t>P2-DN12-A-Young</t>
  </si>
  <si>
    <t>Sweet Alias Quiz 🍭</t>
  </si>
  <si>
    <t>Verificador de reclamos 🧐</t>
  </si>
  <si>
    <t>Next time you’re at the supermarket, look for products with claims like “Low Fat” or “No Added Sugar” and verify if their ingredient list matches that promise. 🧐</t>
  </si>
  <si>
    <t>En tu próxima compra, busca productos con reclamos como "Bajo en grasa" o "Sin azúcares añadidos" y verifica si su lista de ingredientes coincide con esa promesa. 🧐</t>
  </si>
  <si>
    <t>Werbeversprechen-Check</t>
  </si>
  <si>
    <t>Suche bei deinem nächsten Einkauf nach Produkten mit Angaben wie "fettarm" oder "ohne Zuckerzusatz" und prüfe, ob die Zutatenliste dieses Versprechen hält.</t>
  </si>
  <si>
    <t>A1-DN12-A-Young</t>
  </si>
  <si>
    <t>Label Plot Twist 🔄</t>
  </si>
  <si>
    <t>Quiz de alias dulces 🍭</t>
  </si>
  <si>
    <t>Put your instinct to the test: which of these ingredients in the list indicates that the product has added sugar? 🍭</t>
  </si>
  <si>
    <t>Pon a prueba tu instinto: ¿cuál de estos ingredientes de la lista indica que el producto tiene azúcar añadido? 🍭</t>
  </si>
  <si>
    <t>Quiz der süßen Aliasnamen</t>
  </si>
  <si>
    <t>Teste deinen Instinkt: Welche dieser Zutaten auf der Liste deutet darauf hin, dass das Produkt zugesetzten Zucker enthält?</t>
  </si>
  <si>
    <t>Question Options: [Q1 (Corn syrup): Added Sugar, Not Added Sugar; Q2 (Apple): Added Sugar, Not Added Sugar; Q3 (Maltose): Added Sugar, Not Added Sugar; Q4 (Dextrose): Added Sugar, Not Added Sugar; Q5 (Natural Honey): Added Sugar, Not Added Sugar]</t>
  </si>
  <si>
    <t>Question Options: [Q1 (Jarabe de maíz): Azúcar añadido, No es azúcar añadido; Q2 (Manzana): Azúcar añadido, No es azúcar añadido; Q3 (Maltosa): Azúcar añadido, No es azúcar añadido; Q4 (Dextrosa): Azúcar añadido, No es azúcar añadido; Q5 (Miel natural): Azúcar añadido, No es azúcar añadido]</t>
  </si>
  <si>
    <t>A2-DN12-A-Young</t>
  </si>
  <si>
    <t>Sugar Showdown 🥊</t>
  </si>
  <si>
    <t>Giro de guion en la etiqueta 🔄</t>
  </si>
  <si>
    <t>Find a food that seemed healthy at first glance but whose label surprised you negatively (due to sugar, fats, or additives). Share the image! 🔄</t>
  </si>
  <si>
    <t>Encuentra un alimento que pareciera sano a primera vista pero cuya etiqueta te haya sorprendido negativamente (por azúcar, grasas o aditivos). ¡Comparte la imagen! 🔄</t>
  </si>
  <si>
    <t>Wendung im Etiketten-Skript</t>
  </si>
  <si>
    <t>Finde ein Lebensmittel, das auf den ersten Blick gesund erschien, dessen Etikett dich aber negativ überrascht hat (wegen Zucker, Fetten oder Zusatzstoffen). Teile das Bild!</t>
  </si>
  <si>
    <t>A3-DN12-A-Young</t>
  </si>
  <si>
    <t>The Health Ranking 🏆</t>
  </si>
  <si>
    <t>Duelo de azúcar 🥊</t>
  </si>
  <si>
    <t>If one cereal has 12 g of sugar per serving and another has 8 g, which one is healthier according to the label? 🥊</t>
  </si>
  <si>
    <t>Si unos cereales tienen 12 g de azúcar por ración y otros tienen 8 g, ¿cuál es más saludable según la etiqueta? 🥊</t>
  </si>
  <si>
    <t>Zucker-Duell</t>
  </si>
  <si>
    <t>Wenn eine Sorte Müsli 12 g Zucker pro Portion hat und eine andere 8 g, welche ist laut Etikett gesünder?</t>
  </si>
  <si>
    <t>A4-DN12-A-Young</t>
  </si>
  <si>
    <t>Fiber Power-Check 🌾</t>
  </si>
  <si>
    <t>El ranking saludable 🏆</t>
  </si>
  <si>
    <t>Choose 3 similar products, read their labels, and rank them from healthiest to least healthy based on the nutrition information. 🏆</t>
  </si>
  <si>
    <t>Elige 3 productos similares, lee sus etiquetas y ordénalos de más a menos saludable basándote en su información nutricional. 🏆</t>
  </si>
  <si>
    <t>Das Gesundheits-Ranking</t>
  </si>
  <si>
    <t>Wähle 3 ähnliche Produkte aus, lies deren Etiketten und ordne sie basierend auf den Nährwertinformationen von mehr bis weniger gesund.</t>
  </si>
  <si>
    <t>M1-DN12-A-Young</t>
  </si>
  <si>
    <t>Hidden Sugar Detective 🔍</t>
  </si>
  <si>
    <t>Control de potencia de fibra 🌾</t>
  </si>
  <si>
    <t>Checking fiber per serving helps you maintain your daily intake and improve satiety. 🌾</t>
  </si>
  <si>
    <t>Revisar la fibra por ración te ayuda a mantener tu ingesta diaria y a mejorar la sensación de saciedad después de comer. 🌾</t>
  </si>
  <si>
    <t>Ballaststoff-Power-Check</t>
  </si>
  <si>
    <t>Das Überprüfen der Ballaststoffe pro Portion hilft dir, deine tägliche Aufnahme beizubehalten und das Sättigungsgefühl nach dem Essen zu verbessern.</t>
  </si>
  <si>
    <t>M2-DN12-A-Young</t>
  </si>
  <si>
    <t>Total Pack Calories 🧮</t>
  </si>
  <si>
    <t>Detective del azúcar oculto 🔍</t>
  </si>
  <si>
    <t>Identify a product that seems healthy but contains hidden added sugars on the label and share your discovery. 🔍</t>
  </si>
  <si>
    <t>Identifica un producto que parezca saludable pero contenga azúcares añadidos ocultos en su etiqueta y comparte tu descubrimiento. 🔍</t>
  </si>
  <si>
    <t>Detektiv für versteckten Zucker</t>
  </si>
  <si>
    <t>Identifiziere ein Produkt, das gesund erscheint, aber versteckten zugesetzten Zucker auf seinem Etikett enthält, und teile deine Entdeckung.</t>
  </si>
  <si>
    <t>M3-DN12-A-Young</t>
  </si>
  <si>
    <t>Fiber Game 🎮</t>
  </si>
  <si>
    <t>Calorías totales del envase 🧮</t>
  </si>
  <si>
    <t>A pack of cookies shows 120 kcal per serving, but it has 4 servings. How many calories are there if you eat the whole pack? 🧮</t>
  </si>
  <si>
    <t>Un paquete de galletas marca 120 kcal por ración, pero contiene 4 raciones. ¿Cuántas calorías hay si te comes el paquete entero? 🧮</t>
  </si>
  <si>
    <t>Gesamtkalorien der Packung</t>
  </si>
  <si>
    <t>Eine Packung Kekse gibt 120 kcal pro Portion an, enthält aber 4 Portionen. Wie viele Kalorien sind es, wenn du die ganze Packung isst?</t>
  </si>
  <si>
    <t>Question Options: [a) 120 b) 240 c) 480 d) 360]</t>
  </si>
  <si>
    <t>M4-DN12-A-Young</t>
  </si>
  <si>
    <t>Did you know that...? 🤔</t>
  </si>
  <si>
    <t>El juego de la fibra 🎮</t>
  </si>
  <si>
    <t>Some products that do not seem healthy may contain hidden fiber, such as whole grain breads or cereal bars. 🎮</t>
  </si>
  <si>
    <t>Algunos productos que no parecen saludables pueden contener fibra oculta, como ciertos panes integrales o barritas de cereales. 🎮</t>
  </si>
  <si>
    <t>Das Ballaststoff-Spiel</t>
  </si>
  <si>
    <t>Einige Produkte, die nicht gesund erscheinen, können versteckte Ballaststoffe enthalten, wie bestimmte Vollkornbrote oder Müsliriegel.</t>
  </si>
  <si>
    <t>El impostor del pan integral</t>
  </si>
  <si>
    <t>Descripción</t>
  </si>
  <si>
    <t>Muchos panes que se publicitan como "integrales" o "multicereales" en su cara frontal tienen como primer ingrediente harina de trigo refinada. El marketing alimentario utiliza a menudo colorantes como el caramelo o salvado añadido para dar una apariencia de grano completo a productos que nutricionalmente no lo son.</t>
  </si>
  <si>
    <t>Der Vollkornbrot-Hochstapler</t>
  </si>
  <si>
    <t>Viele Brote, die auf der Vorderseite als "Vollkorn" oder "Mehrkorn" beworben werden, haben als erste Zutat raffiniertes Weizenmehl. Das Lebensmittelmarketing verwendet oft Farbstoffe wie Karamell oder zugesetzte Kleie, um den Anschein von vollem Korn bei Produkten zu erwecken, die dies ernährungsphysiologisch nicht sind.</t>
  </si>
  <si>
    <t>La paradoja de la saciedad líquida</t>
  </si>
  <si>
    <t>El cerebro humano no registra la saciedad de las calorías líquidas de la misma forma que las sólidas. Al omitir el proceso de masticación, se inhiben ciertas señales hormonales de plenitud, lo que facilita el consumo excesivo de energía a través de refrescos o zumos sin que el cuerpo perciba que ha comido.</t>
  </si>
  <si>
    <t>Das Paradoxon der flüssigen Sättigung</t>
  </si>
  <si>
    <t>Das menschliche Gehirn registriert die Sättigung durch flüssige Kalorien nicht auf die gleiche Weise wie bei fester Nahrung. Da der Kauvorgang entfällt, werden bestimmte hormonelle Sättigungssignale gehemmt, was den übermäßigen Konsum von Energie durch Erfrischungsgetränke oder Säfte erleichtert, ohne dass der Körper die Nahrungsaufnahme wahrnimmt.</t>
  </si>
  <si>
    <t>El efecto del orden de los factores</t>
  </si>
  <si>
    <t>El orden en que se ingieren los alimentos altera la respuesta metabólica. Consumir primero la fibra (verduras), seguida de la proteína y las grasas, y dejando los carbohidratos para el final, permite reducir significativamente el pico de glucosa en sangre tras la comida, mejorando el control de la insulina.</t>
  </si>
  <si>
    <t>Der Effekt der Reihenfolge der Faktoren</t>
  </si>
  <si>
    <t>Die Reihenfolge, in der Lebensmittel verzehrt werden, verändert die Stoffwechselreaktion. Der Verzehr von Ballaststoffen (Gemüse) zuerst, gefolgt von Eiweiß und Fetten, und die Kohlenhydrate zum Schluss, ermöglicht es, den Blutzuckerspitzenwert nach der Mahlzeit deutlich zu senken und die Insulinkontrolle zu verbessern.</t>
  </si>
  <si>
    <t>Wussten Sie schon...?</t>
  </si>
  <si>
    <t>Practice going to bed slightly earlier and test what  happens to your sleep if you go to bed 15-30 minutes earlier than planned</t>
  </si>
  <si>
    <r>
      <rPr>
        <sz val="12"/>
        <color rgb="FF000000"/>
        <rFont val="Aptos Narrow"/>
        <scheme val="minor"/>
      </rPr>
      <t xml:space="preserve">Reflect on your current sleep quality (e.g., feeling rested, night awakenings, difficulty falling asleep) and how it affects your daily life. </t>
    </r>
    <r>
      <rPr>
        <sz val="12"/>
        <color rgb="FFA02B93"/>
        <rFont val="Aptos Narrow"/>
        <scheme val="minor"/>
      </rPr>
      <t>If you own a smartwatch, you can use it to measure the quality of your sleep.</t>
    </r>
  </si>
  <si>
    <t>What to have in mind when creating tasks?</t>
  </si>
  <si>
    <t>NOT included into Design</t>
  </si>
  <si>
    <t>Action</t>
  </si>
  <si>
    <t>Maintenance</t>
  </si>
  <si>
    <t>Termination</t>
  </si>
  <si>
    <t>No intention to
change; no
awareness of the
problem</t>
  </si>
  <si>
    <t>Thinking about change; No action yet</t>
  </si>
  <si>
    <t>Firm intention and
preparation (e.g.,
registering at the gym,
making a plan)</t>
  </si>
  <si>
    <t>Initially active
implementation; behavior
is displayed regularly</t>
  </si>
  <si>
    <t>Behavior is maintained over a longer period of time; relapse prevention (regular follow-ups)</t>
  </si>
  <si>
    <t>Behavior is automated; no relapse risk</t>
  </si>
  <si>
    <t>PC1 (Sustenance)</t>
  </si>
  <si>
    <t>PC2* (Transition)</t>
  </si>
  <si>
    <t>C1 (Sustenance)</t>
  </si>
  <si>
    <t>C2* (Transition)</t>
  </si>
  <si>
    <t>P1 (Sustenance)</t>
  </si>
  <si>
    <t>P2* (Transition)</t>
  </si>
  <si>
    <t>A1*- A4* (Transition)</t>
  </si>
  <si>
    <t>M1 - M4 (Sustenance)</t>
  </si>
  <si>
    <t>PA</t>
  </si>
  <si>
    <t>Example</t>
  </si>
  <si>
    <t>"Sport? That is not for me"</t>
  </si>
  <si>
    <t>"I should move more"</t>
  </si>
  <si>
    <t>"I will start jogging next week"</t>
  </si>
  <si>
    <t>"I have been jogging for 2 weeks"</t>
  </si>
  <si>
    <t>"I have been jogging regularly for the last 6 months"</t>
  </si>
  <si>
    <t>Task Type(s)</t>
  </si>
  <si>
    <t>Survey Questions - Info Tips - Videos - Quizzes</t>
  </si>
  <si>
    <t>Survey Questions- Quizzes</t>
  </si>
  <si>
    <t>Info Tips - Videos - Quizzes</t>
  </si>
  <si>
    <t>-Instructions - Tutorials - Guidance Videos - Planning Tasks</t>
  </si>
  <si>
    <t>-Instructions​
- Tutorials​
- Guidance​
- Activity Logging Tasks</t>
  </si>
  <si>
    <t xml:space="preserve">Activity Logging Tasks </t>
  </si>
  <si>
    <t>Activity Logging Tasks</t>
  </si>
  <si>
    <t>Content Operationalization</t>
  </si>
  <si>
    <t>-Health information - Awareness raising - Risk clarification - Showing role models ("What do I get
from exercise?")</t>
  </si>
  <si>
    <t>-Reflective questions ​
-Pondering Benefits ​
-Commitment consideration</t>
  </si>
  <si>
    <t>-Emotional arguments - Pros and Cons - Success stories</t>
  </si>
  <si>
    <t>-Barrier identification​
-Solution Brainstorming​
-(First) Realistic Goal-Settings</t>
  </si>
  <si>
    <t>-Goal setting &amp; (action) planning support – Anticipate obstacles and
develop coping strategies  - Social support</t>
  </si>
  <si>
    <t>-Concrete action planning​: "When, where,how, with whom, how often?
-First actions​
-Support network assesment</t>
  </si>
  <si>
    <t>-Reward systems - Self-monitoring - Reinforcement through (progress) feedback - Social
support (e.g. group training) -  Relapse prevention</t>
  </si>
  <si>
    <t>-Routine establishment - Reward successes - Emphasize fun (add variability) - Normalize relapse and support re-engagement</t>
  </si>
  <si>
    <t>"I just eat what I enjoy"</t>
  </si>
  <si>
    <t>"I know I should eat healthier"</t>
  </si>
  <si>
    <t>"I bought a cookbook with healthy recipes and I'm planning to cook a healthy meal next week"</t>
  </si>
  <si>
    <t>"I've been eating healthy snacks every day for the past week"</t>
  </si>
  <si>
    <t>"I've consistently focused on a balanced diet for the last year "</t>
  </si>
  <si>
    <t>Survey Questions - Quizzes</t>
  </si>
  <si>
    <t>Instructions - Tutorials - Guidance Videos - Planning Tasks</t>
  </si>
  <si>
    <t>- Addressing common myths - Current eating habits - Basic Nutrition Knowledge</t>
  </si>
  <si>
    <t>- Reflective questions about desired outcomes - Assessing openness to change eating habits</t>
  </si>
  <si>
    <t xml:space="preserve"> - Pros and Cons of healthy eating - Emotional connections to food and eating  - Basic understanding of food labels </t>
  </si>
  <si>
    <t xml:space="preserve"> - Guidance on Meal Planning (with Nutrida) , Grocery Shopping - Minding Food Labels - Checking easy recipes - Planning first meals - Identifying obstacles for healthy eating </t>
  </si>
  <si>
    <t>- Concrete action planning:  Meal Planning with Nutrida, Exploring App - Introducing  (new) healthy food and recipes to try</t>
  </si>
  <si>
    <t>- Self-Monitoring Tasks (e.g., fiber, protein, fat, sodium, water intake) - Check progress in Nutrida (Referring to Stats) - Social support - Relapse Prevention</t>
  </si>
  <si>
    <t>-Routine establishment - Reward successes (e.g.,  Nutrida Performance Stats) - Add variability (food, new recipes) - Normalize relapse and support re-engagement</t>
  </si>
  <si>
    <t>Mental</t>
  </si>
  <si>
    <t>"I'm generally okay, even if I feel tired or disconnected sometimes"</t>
  </si>
  <si>
    <t>"I've been feeling run down and wondering if I should prioritize sleep"</t>
  </si>
  <si>
    <t>" I am planning to set a bedtime routine"</t>
  </si>
  <si>
    <t>"I am sleeping between 7-8 hours each night for the last two weeks"</t>
  </si>
  <si>
    <t>"I have set and followed a sleep routine for the last 6 months"</t>
  </si>
  <si>
    <t xml:space="preserve">Instructions - Tutorials - Guidance Videos and Audios- Planning Tasks </t>
  </si>
  <si>
    <t>-Instructions​
- Tutorials​ 
- Guidance​
- Activity Logging Tasks</t>
  </si>
  <si>
    <t>- Awareness raising  (connection between mental health and overall wellbeing) - Debunking stigmas - Highlight importance of self-care.</t>
  </si>
  <si>
    <t>-Reflective questions  ​(e.g. Current stressors, sleep hygiene, awareness)
-Commitment consideration (prioritizing Mental Health)</t>
  </si>
  <si>
    <t>-Information on stress management techniques - Initial assesment of stress triggers - Pros and Cons of coping startegies</t>
  </si>
  <si>
    <t>- Identifying triggers and common barriers of self-care - First approaches to mindfulness exercises (body scanning)</t>
  </si>
  <si>
    <t>- Planning self-care routines -Tutorials on relaxation techniques, meditation, body scanning, journalling - Support network assesment</t>
  </si>
  <si>
    <t>- Detailed planning and goal-setting - Identifying obstacles and backup plans - First action steps</t>
  </si>
  <si>
    <t>- Self-Monitoring Tasks - Social Support -Relapse Prevention</t>
  </si>
  <si>
    <t xml:space="preserve">SDT Dimension </t>
  </si>
  <si>
    <t>Mechanism</t>
  </si>
  <si>
    <t>Nudge</t>
  </si>
  <si>
    <t>Game Element</t>
  </si>
  <si>
    <t>Suggestions/Guidelines</t>
  </si>
  <si>
    <t xml:space="preserve">Autonomy </t>
  </si>
  <si>
    <t>Self - Monitoring</t>
  </si>
  <si>
    <t>Default</t>
  </si>
  <si>
    <t xml:space="preserve">Automated Activities </t>
  </si>
  <si>
    <t>Include more "automated" activities for which they can obtain "low effort" points ( i.e. receive points automatically without having to engage too much with platform)</t>
  </si>
  <si>
    <t> Most of these activities imply motioring of activities, water logging, steps ( Data that can be sent from Garmin to GameBus) which increases self-efficacy and autonomy feelings</t>
  </si>
  <si>
    <t>Statistics - Progress bars - Performance Graphs</t>
  </si>
  <si>
    <t>Progress must be trackable</t>
  </si>
  <si>
    <t>Daily Feed</t>
  </si>
  <si>
    <t>Motivation through progress towards (daily) goals (Consolvo et al. 2006,→ feed or reminders of what they have completed so far)</t>
  </si>
  <si>
    <t>Notifications</t>
  </si>
  <si>
    <t>They should be able to enable/disable this element</t>
  </si>
  <si>
    <t xml:space="preserve">They can select their preferred activities and „choose an activity path“ </t>
  </si>
  <si>
    <t>Flexibility</t>
  </si>
  <si>
    <t>Pool of varied activities parts. can choose from. They can select which they want to complete and try different ways/options to reach point goal.</t>
  </si>
  <si>
    <t xml:space="preserve">Feedback channel </t>
  </si>
  <si>
    <t>Participants can suggest activity/tasks ideas for next waves</t>
  </si>
  <si>
    <t>Competence</t>
  </si>
  <si>
    <t>Granular Feedback</t>
  </si>
  <si>
    <t>Provide points/bonuses for regularity/adherence (e.g., bonuses after several days of activity log)</t>
  </si>
  <si>
    <t>Cumulative Feedback</t>
  </si>
  <si>
    <t>Badges</t>
  </si>
  <si>
    <t xml:space="preserve">Badges have to be clearly displayed so that they can work as a reward. </t>
  </si>
  <si>
    <t>(Socially displayed)Titles can also be used as badges (e.g. "Nutrition Master")</t>
  </si>
  <si>
    <t>Badges more persuasive in higher TTM stages</t>
  </si>
  <si>
    <t xml:space="preserve">Streaks </t>
  </si>
  <si>
    <t>Count of engagement days as a way of tracking progress and increasing motivation (not to lose streak) - Can be framed as  "X days of healthy habit making"</t>
  </si>
  <si>
    <t>Non-linearity - Difficulty Progression</t>
  </si>
  <si>
    <t>Levels</t>
  </si>
  <si>
    <t>Start-off with REALLY EASY LEVELS and then slowly increase difficulty: Boosting-up feelings of competence and encouraging initial engagement</t>
  </si>
  <si>
    <t>Avoid predictability in difficulty progression (Epstein et al., 2021; Birk et al., 2016)</t>
  </si>
  <si>
    <t>Social Norms</t>
  </si>
  <si>
    <t>Leaderboards</t>
  </si>
  <si>
    <t>Users’ standing-performance in relation to peers/social context can motivate engagement</t>
  </si>
  <si>
    <t>Users get reminders of progress/goals as a nudge to engage - recommendations</t>
  </si>
  <si>
    <t>Should be phrased as progress made, not to lose progress (loss-aversion)</t>
  </si>
  <si>
    <t>Loss - Aversion</t>
  </si>
  <si>
    <t>Countdown</t>
  </si>
  <si>
    <t>Better tracking of level timelines and a nudge not to lose points/level</t>
  </si>
  <si>
    <t>We have some performance tracking/ monitoring for nutrition in Nutrida (We may have to refer to this more in our tasks). We have to include a way of tracking also PA and Wellness (e.g. Sleep) not only on the watch but maybe in the HW8 Watch App</t>
  </si>
  <si>
    <t>Relatedness</t>
  </si>
  <si>
    <t>Community</t>
  </si>
  <si>
    <t xml:space="preserve">Visible Status System </t>
  </si>
  <si>
    <t xml:space="preserve">Badges </t>
  </si>
  <si>
    <t xml:space="preserve">Need to be socially displayed  - Maybe in profile (as a title "Nutrition Master") or appear in Newsfeed </t>
  </si>
  <si>
    <t>Team Goals</t>
  </si>
  <si>
    <t>Trial site -based challenges (e.g. Reach X amount of steps along with fellow participants)</t>
  </si>
  <si>
    <t xml:space="preserve">Progress and performance displayed to peers/social context </t>
  </si>
  <si>
    <t>Community recognition systems</t>
  </si>
  <si>
    <t>Activities in real-life social spaces with real-life social groups (e.g. Bring your friend to your daily walk; Encourage your friend for a short active pause btw study sessions)</t>
  </si>
  <si>
    <t>Seasonal Waves Timeline</t>
  </si>
  <si>
    <t>Calendar week</t>
  </si>
  <si>
    <t>Monday</t>
  </si>
  <si>
    <t>Tuesday</t>
  </si>
  <si>
    <t>Wednesday</t>
  </si>
  <si>
    <t>Thursday</t>
  </si>
  <si>
    <t>Friday</t>
  </si>
  <si>
    <t>Saturday</t>
  </si>
  <si>
    <t>Sunday</t>
  </si>
  <si>
    <t>Spring</t>
  </si>
  <si>
    <t>Summer</t>
  </si>
  <si>
    <t>Autumn</t>
  </si>
  <si>
    <t>Winter</t>
  </si>
  <si>
    <t>29. Dec</t>
  </si>
  <si>
    <t>30. Dec</t>
  </si>
  <si>
    <t>31. Dec</t>
  </si>
  <si>
    <t>1. Mar</t>
  </si>
  <si>
    <t>2. Mar</t>
  </si>
  <si>
    <t>3. Mar</t>
  </si>
  <si>
    <t>4. Mar</t>
  </si>
  <si>
    <t>5. Mar</t>
  </si>
  <si>
    <t>6. Mar</t>
  </si>
  <si>
    <t>7. Mar</t>
  </si>
  <si>
    <t>8. Mar</t>
  </si>
  <si>
    <t>9. Mar</t>
  </si>
  <si>
    <t>10. Mar</t>
  </si>
  <si>
    <t>11. Mar</t>
  </si>
  <si>
    <t>12. Mar</t>
  </si>
  <si>
    <t>13. Mar</t>
  </si>
  <si>
    <t>14. Mar</t>
  </si>
  <si>
    <t>15. Mar</t>
  </si>
  <si>
    <t>16. Mar</t>
  </si>
  <si>
    <t>17. Mar</t>
  </si>
  <si>
    <t>18. Mar</t>
  </si>
  <si>
    <t>19. Mar</t>
  </si>
  <si>
    <t>20. Mar</t>
  </si>
  <si>
    <t>21. Mar</t>
  </si>
  <si>
    <t>22. Mar</t>
  </si>
  <si>
    <t>23. Mar</t>
  </si>
  <si>
    <t>24. Mar</t>
  </si>
  <si>
    <t>25. Mar</t>
  </si>
  <si>
    <t>26. Mar</t>
  </si>
  <si>
    <t>27. Mar</t>
  </si>
  <si>
    <t>28. Mar</t>
  </si>
  <si>
    <t>29. Mar</t>
  </si>
  <si>
    <t>30. Mar</t>
  </si>
  <si>
    <t>31. Mar</t>
  </si>
  <si>
    <t>1. May</t>
  </si>
  <si>
    <t>2. May</t>
  </si>
  <si>
    <t>3. May</t>
  </si>
  <si>
    <t>4. May</t>
  </si>
  <si>
    <t>5. May</t>
  </si>
  <si>
    <t>6. May</t>
  </si>
  <si>
    <t>7. May</t>
  </si>
  <si>
    <t>8. May</t>
  </si>
  <si>
    <t>9. May</t>
  </si>
  <si>
    <t>10. May</t>
  </si>
  <si>
    <t>11. May</t>
  </si>
  <si>
    <t>12. May</t>
  </si>
  <si>
    <t>13. May</t>
  </si>
  <si>
    <t>14. May</t>
  </si>
  <si>
    <t>15. May</t>
  </si>
  <si>
    <t>16. May</t>
  </si>
  <si>
    <t>17. May</t>
  </si>
  <si>
    <t>18. May</t>
  </si>
  <si>
    <t>19. May</t>
  </si>
  <si>
    <t>20. May</t>
  </si>
  <si>
    <t>21. May</t>
  </si>
  <si>
    <t>22. May</t>
  </si>
  <si>
    <t>23. May</t>
  </si>
  <si>
    <t>24. May</t>
  </si>
  <si>
    <t>25. May</t>
  </si>
  <si>
    <t>26. May</t>
  </si>
  <si>
    <t>27. May</t>
  </si>
  <si>
    <t>28. May</t>
  </si>
  <si>
    <t>29. May</t>
  </si>
  <si>
    <t>30. May</t>
  </si>
  <si>
    <t>31. May</t>
  </si>
  <si>
    <t>1. Oct</t>
  </si>
  <si>
    <t>2. Oct</t>
  </si>
  <si>
    <t>3. Oct</t>
  </si>
  <si>
    <t>4. Oct</t>
  </si>
  <si>
    <t>5. Oct</t>
  </si>
  <si>
    <t>6. Oct</t>
  </si>
  <si>
    <t>7. Oct</t>
  </si>
  <si>
    <t>8. Oct</t>
  </si>
  <si>
    <t>9. Oct</t>
  </si>
  <si>
    <t>10. Oct</t>
  </si>
  <si>
    <t>11. Oct</t>
  </si>
  <si>
    <t>12. Oct</t>
  </si>
  <si>
    <t>13. Oct</t>
  </si>
  <si>
    <t>14. Oct</t>
  </si>
  <si>
    <t>15. Oct</t>
  </si>
  <si>
    <t>16. Oct</t>
  </si>
  <si>
    <t>17. Oct</t>
  </si>
  <si>
    <t>18. Oct</t>
  </si>
  <si>
    <t>19. Oct</t>
  </si>
  <si>
    <t>20. Oct</t>
  </si>
  <si>
    <t>21. Oct</t>
  </si>
  <si>
    <t>22. Oct</t>
  </si>
  <si>
    <t>23. Oct</t>
  </si>
  <si>
    <t>24. Oct</t>
  </si>
  <si>
    <t>25. Oct</t>
  </si>
  <si>
    <t>26. Oct</t>
  </si>
  <si>
    <t>27. Oct</t>
  </si>
  <si>
    <t>28. Oct</t>
  </si>
  <si>
    <t>29. Oct</t>
  </si>
  <si>
    <t>30. Oct</t>
  </si>
  <si>
    <t>31. Oct</t>
  </si>
  <si>
    <t>1. Dec</t>
  </si>
  <si>
    <t>2. Dec</t>
  </si>
  <si>
    <t>3. Dec</t>
  </si>
  <si>
    <t>4. Dec</t>
  </si>
  <si>
    <t>5. Dec</t>
  </si>
  <si>
    <t>6. Dec</t>
  </si>
  <si>
    <t>7. Dec</t>
  </si>
  <si>
    <t>8. Dec</t>
  </si>
  <si>
    <t>9. Dec</t>
  </si>
  <si>
    <t>10. Dec</t>
  </si>
  <si>
    <t>11. Dec</t>
  </si>
  <si>
    <t>12. Dec</t>
  </si>
  <si>
    <t>13. Dec</t>
  </si>
  <si>
    <t>14. Dec</t>
  </si>
  <si>
    <t>15. Dec</t>
  </si>
  <si>
    <t>16. Dec</t>
  </si>
  <si>
    <t>17. Dec</t>
  </si>
  <si>
    <t>18. Dec</t>
  </si>
  <si>
    <t>19. Dec</t>
  </si>
  <si>
    <t>20. Dec</t>
  </si>
  <si>
    <t>21. Dec</t>
  </si>
  <si>
    <t>22. Dec</t>
  </si>
  <si>
    <t>23. Dec</t>
  </si>
  <si>
    <t>24. Dec</t>
  </si>
  <si>
    <t>25. Dec</t>
  </si>
  <si>
    <t>26. Dec</t>
  </si>
  <si>
    <t>27. Dec</t>
  </si>
  <si>
    <t>28. Dec</t>
  </si>
  <si>
    <t>#</t>
  </si>
  <si>
    <t>Definition</t>
  </si>
  <si>
    <t>Campaign</t>
  </si>
  <si>
    <t>Unit of game rules and configurations of the gamified digital intervention accesible through the Gamebus web-app. Each trial should have its own adapted campaign.</t>
  </si>
  <si>
    <t>(User) groups</t>
  </si>
  <si>
    <t>The group is the distinguishment of users based on certain characteristics (e.g., users enrolled in a campaign, users receiving specific treatments). A user can belong to multiple groups.</t>
  </si>
  <si>
    <t>(Campaign) wave</t>
  </si>
  <si>
    <t>The wave is the time period during which specific campaign configurations are active. For instance, a particular set of health tasks may be available to a specific user group during a campaign wave. There is a TTM-based "Main wave" and additional "Seasonal Waves"</t>
  </si>
  <si>
    <t>(Game) Mechanics</t>
  </si>
  <si>
    <t xml:space="preserve">Define how a game "works" - Rules that guide game and player's actions </t>
  </si>
  <si>
    <t>The Transtheoretical Model - Stages of Change (TTM - SOC) proposes that people transfer through different stages in their path to behavioral change. The stages are: Precontemplation, Contemplation, Preparation, Action, and Maintenance</t>
  </si>
  <si>
    <t>SDT</t>
  </si>
  <si>
    <t>Self-Determination Theory (SDT) proposes that a behavior is intrinsically motivated if it fulfills the (psychological) needs of autonomy, competence, and relatedness</t>
  </si>
  <si>
    <t>A dimension is a selected area of (healthy) lifestyle being targeted by the digital intervention. This intervention includes 3 dimensions: diet and nutrition (DN), physical activity (PA), and mindfulness (M).</t>
  </si>
  <si>
    <t>Specific (experimental)  variables and measurable indicators of the targeted dimensions (PA,DN, M) that are expected to be object of change due to the digital intervention</t>
  </si>
  <si>
    <t>Type of Activity (Activity Track)</t>
  </si>
  <si>
    <t xml:space="preserve">Represents an specific, observable behavior (i.e. activity) associated to a Behavioral Change Variable (Operationalization). There are different variations (i.e. tracks)  that users can choose to engage with according to their preferences. </t>
  </si>
  <si>
    <t>Tasks</t>
  </si>
  <si>
    <t>Activity suggestion that end users have to complete in order to obtain points. It is strongly associated to TTM Stages  and Behavioral Change Variables. There are two types: Transition and Sustenance</t>
  </si>
  <si>
    <t>Sustenance task</t>
  </si>
  <si>
    <t>Core task of (current) TTM Stage. Its purpose is checking that the user completes activities keeping them on that stage.</t>
  </si>
  <si>
    <t>Transition Task</t>
  </si>
  <si>
    <t xml:space="preserve">Stage Change Indicators. Tasks that indicate key steps towards next stage (modelled by processes considered in TTM  like decisional balance which mediate transition between stages) </t>
  </si>
  <si>
    <t>The level is the hierarchical position in the Gamebus achievements. Users may collect expected points to move to the next level.</t>
  </si>
  <si>
    <t>The point is the reward users can collect when a task is completed.</t>
  </si>
  <si>
    <t>Relapse</t>
  </si>
  <si>
    <t>In TTM relapse refers to a setback or a return to an earlier TTM stage. In the proposed design framework, "relapse" is modelled as a fallback to the previous game level when not completing the targeted sustenance tasks specific of the (current) level (this is to be done by balancing game points)</t>
  </si>
  <si>
    <t>The "relapse border" defines the moment in the game (after level 3) in which the relapse dynamic appears and it is possible to fallback to lower levels. This means that for the stages of precontemplation and contemplation there is no possibility for relapse (in the proposed Gamebus Design Framework). It appears only after the preparation stage level</t>
  </si>
  <si>
    <t>The leaderboard is a scoreboard showing the names and current scores of users in the different challenges</t>
  </si>
  <si>
    <t>Newsfeeds</t>
  </si>
  <si>
    <t>The newsfeed is a continuously updated stream of game activity (e.g., earned points, activities completed, social interactions)</t>
  </si>
  <si>
    <t>Progress bars</t>
  </si>
  <si>
    <t>A progress bar is a graphical user interface element that indicates how much of a task is complete, showing users the status of a process</t>
  </si>
  <si>
    <t>Loot boxes</t>
  </si>
  <si>
    <t>Loot boxes in Gamebus  are virtual, randomized items that users can earn as a reward</t>
  </si>
  <si>
    <t>Notification</t>
  </si>
  <si>
    <t>A notification is a message or alert that provides important information from a device, app, or other source. In Gamebus its primary intention is to work as nudges or engagement reminders.</t>
  </si>
  <si>
    <t>The nudge is or a subtle prompt to influence people toward targeted behavior without restricting their freedom.</t>
  </si>
  <si>
    <t>Dimensions</t>
  </si>
  <si>
    <t>TrialCountry</t>
  </si>
  <si>
    <t>TTMStage</t>
  </si>
  <si>
    <t>TaskType</t>
  </si>
  <si>
    <t>Waves</t>
  </si>
  <si>
    <t>Children</t>
  </si>
  <si>
    <t>Germany</t>
  </si>
  <si>
    <t>Luxembourg</t>
  </si>
  <si>
    <t>Spain</t>
  </si>
  <si>
    <t>Portugal</t>
  </si>
  <si>
    <t>The Netherlands</t>
  </si>
  <si>
    <t>Bulgaria</t>
  </si>
  <si>
    <t>Easter</t>
  </si>
  <si>
    <t>Denmark</t>
  </si>
  <si>
    <t>Christmas</t>
  </si>
  <si>
    <t>Italy</t>
  </si>
  <si>
    <t>Instruction: Tutorial (Video) and Activity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</si>
</sst>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theme="1"/>
      <name val="Aptos Narrow"/>
      <family val="2"/>
      <scheme val="minor"/>
    </font>
    <font>
      <sz val="12"/>
      <color theme="1"/>
      <name val="Aptos Narrow"/>
      <family val="2"/>
      <scheme val="minor"/>
    </font>
    <font>
      <b/>
      <sz val="11"/>
      <color theme="0"/>
      <name val="Aptos Narrow"/>
      <family val="2"/>
      <scheme val="minor"/>
    </font>
    <font>
      <b/>
      <sz val="11"/>
      <color theme="1"/>
      <name val="Aptos Narrow"/>
      <family val="2"/>
      <scheme val="minor"/>
    </font>
    <font>
      <b/>
      <sz val="10"/>
      <color rgb="FF000000"/>
      <name val="Aptos Narrow"/>
      <family val="2"/>
      <scheme val="minor"/>
    </font>
    <font>
      <sz val="10"/>
      <color rgb="FF000000"/>
      <name val="Aptos Narrow"/>
      <family val="2"/>
      <scheme val="minor"/>
    </font>
    <font>
      <sz val="11"/>
      <color rgb="FF000000"/>
      <name val="Aptos Narrow"/>
      <family val="2"/>
      <scheme val="minor"/>
    </font>
    <font>
      <b/>
      <sz val="11"/>
      <color rgb="FF000000"/>
      <name val="Aptos Narrow"/>
      <family val="2"/>
      <scheme val="minor"/>
    </font>
    <font>
      <sz val="10"/>
      <color theme="1"/>
      <name val="Aptos Narrow"/>
      <family val="2"/>
      <scheme val="minor"/>
    </font>
    <font>
      <b/>
      <sz val="11"/>
      <color rgb="FF0F9ED5"/>
      <name val="Aptos Narrow"/>
      <scheme val="minor"/>
    </font>
    <font>
      <sz val="10"/>
      <color rgb="FF242424"/>
      <name val="Aptos Narrow"/>
    </font>
    <font>
      <sz val="10"/>
      <color rgb="FF000000"/>
      <name val="Aptos Narrow"/>
      <scheme val="minor"/>
    </font>
    <font>
      <b/>
      <sz val="10"/>
      <color rgb="FF000000"/>
      <name val="Aptos Narrow"/>
      <scheme val="minor"/>
    </font>
    <font>
      <b/>
      <sz val="10"/>
      <color rgb="FF242424"/>
      <name val="Aptos Narrow"/>
    </font>
    <font>
      <b/>
      <sz val="10"/>
      <color theme="0"/>
      <name val="Aptos Narrow"/>
      <family val="2"/>
      <scheme val="minor"/>
    </font>
    <font>
      <b/>
      <sz val="10"/>
      <color rgb="FFFFFFFF"/>
      <name val="Arial"/>
      <family val="2"/>
    </font>
    <font>
      <b/>
      <sz val="10"/>
      <color rgb="FF000000"/>
      <name val="Arial"/>
      <family val="2"/>
    </font>
    <font>
      <sz val="10"/>
      <color rgb="FF000000"/>
      <name val="Arial"/>
      <family val="2"/>
    </font>
    <font>
      <i/>
      <sz val="11"/>
      <color theme="1"/>
      <name val="Aptos Narrow"/>
      <family val="2"/>
      <scheme val="minor"/>
    </font>
    <font>
      <b/>
      <sz val="11"/>
      <color theme="1" tint="0.34998626667073579"/>
      <name val="Aptos Narrow"/>
      <scheme val="minor"/>
    </font>
    <font>
      <b/>
      <sz val="11"/>
      <color theme="1" tint="0.34998626667073579"/>
      <name val="Aptos Narrow"/>
      <family val="2"/>
      <scheme val="minor"/>
    </font>
    <font>
      <sz val="11"/>
      <color rgb="FF242424"/>
      <name val="Aptos Narrow"/>
    </font>
    <font>
      <b/>
      <sz val="11"/>
      <color theme="8"/>
      <name val="Aptos Narrow"/>
      <family val="2"/>
      <scheme val="minor"/>
    </font>
    <font>
      <sz val="11"/>
      <color rgb="FF000000"/>
      <name val="Aptos Narrow"/>
      <scheme val="minor"/>
    </font>
    <font>
      <b/>
      <sz val="10"/>
      <color rgb="FF000000"/>
      <name val="Aptos Narrow"/>
    </font>
    <font>
      <sz val="10"/>
      <color rgb="FF000000"/>
      <name val="Aptos Narrow"/>
    </font>
    <font>
      <sz val="11"/>
      <color theme="0"/>
      <name val="Aptos Narrow"/>
      <family val="2"/>
      <scheme val="minor"/>
    </font>
    <font>
      <b/>
      <sz val="11"/>
      <color rgb="FF000000"/>
      <name val="Aptos Narrow"/>
      <scheme val="minor"/>
    </font>
    <font>
      <b/>
      <sz val="11"/>
      <color rgb="FF000000"/>
      <name val="Aptos Narrow"/>
    </font>
    <font>
      <sz val="11"/>
      <color rgb="FF000000"/>
      <name val="Aptos Narrow"/>
    </font>
    <font>
      <sz val="11"/>
      <color theme="1"/>
      <name val="Aptos Narrow"/>
      <scheme val="minor"/>
    </font>
    <font>
      <u/>
      <sz val="11"/>
      <color theme="10"/>
      <name val="Aptos Narrow"/>
      <family val="2"/>
      <scheme val="minor"/>
    </font>
    <font>
      <b/>
      <sz val="8"/>
      <color rgb="FF212529"/>
      <name val="Arial"/>
      <family val="2"/>
    </font>
    <font>
      <sz val="8"/>
      <color rgb="FF212529"/>
      <name val="Arial"/>
      <family val="2"/>
    </font>
    <font>
      <b/>
      <sz val="11"/>
      <color theme="9"/>
      <name val="Aptos Narrow"/>
      <scheme val="minor"/>
    </font>
    <font>
      <b/>
      <sz val="11"/>
      <color rgb="FFFFC000"/>
      <name val="Aptos Narrow"/>
      <family val="2"/>
      <scheme val="minor"/>
    </font>
    <font>
      <b/>
      <i/>
      <sz val="11"/>
      <color theme="1"/>
      <name val="Aptos Narrow"/>
      <family val="2"/>
      <scheme val="minor"/>
    </font>
    <font>
      <sz val="11"/>
      <color rgb="FF000000"/>
      <name val="Aptos Narrow"/>
      <family val="2"/>
    </font>
    <font>
      <sz val="11"/>
      <color rgb="FF242424"/>
      <name val="Aptos Narrow"/>
      <charset val="1"/>
    </font>
    <font>
      <sz val="10"/>
      <color rgb="FF000000"/>
      <name val="Arial"/>
    </font>
    <font>
      <b/>
      <sz val="12"/>
      <color theme="1"/>
      <name val="Aptos Narrow"/>
      <family val="2"/>
      <scheme val="minor"/>
    </font>
    <font>
      <b/>
      <sz val="10"/>
      <color rgb="FF000000"/>
      <name val="Aptos Narrow"/>
      <family val="2"/>
    </font>
    <font>
      <sz val="10"/>
      <color rgb="FF242424"/>
      <name val="Aptos Narrow"/>
      <family val="2"/>
    </font>
    <font>
      <u/>
      <sz val="12"/>
      <color theme="1"/>
      <name val="Aptos Narrow"/>
      <family val="2"/>
      <scheme val="minor"/>
    </font>
    <font>
      <sz val="11"/>
      <name val="Aptos Narrow"/>
      <family val="2"/>
      <scheme val="minor"/>
    </font>
    <font>
      <b/>
      <sz val="11"/>
      <name val="Aptos Narrow"/>
      <family val="2"/>
      <scheme val="minor"/>
    </font>
    <font>
      <sz val="11"/>
      <color rgb="FF242424"/>
      <name val="Aptos Narrow"/>
      <family val="2"/>
    </font>
    <font>
      <b/>
      <sz val="14"/>
      <color theme="1"/>
      <name val="Aptos Narrow"/>
      <family val="2"/>
      <scheme val="minor"/>
    </font>
    <font>
      <b/>
      <sz val="11"/>
      <color rgb="FF424242"/>
      <name val="Aptos Narrow"/>
      <family val="2"/>
      <scheme val="minor"/>
    </font>
    <font>
      <b/>
      <sz val="11"/>
      <color rgb="FF424242"/>
      <name val="Aptos Narrow"/>
      <family val="2"/>
    </font>
    <font>
      <b/>
      <sz val="11"/>
      <color rgb="FF242424"/>
      <name val="Aptos Narrow"/>
      <family val="2"/>
    </font>
    <font>
      <sz val="8"/>
      <name val="Aptos Narrow"/>
      <family val="2"/>
      <scheme val="minor"/>
    </font>
    <font>
      <sz val="11"/>
      <color rgb="FF424242"/>
      <name val="Aptos Narrow"/>
      <family val="2"/>
    </font>
    <font>
      <b/>
      <sz val="11"/>
      <color rgb="FF000000"/>
      <name val="Aptos Narrow"/>
      <family val="2"/>
    </font>
    <font>
      <sz val="11"/>
      <color rgb="FFFFFFFF"/>
      <name val="Aptos Narrow"/>
      <family val="2"/>
    </font>
    <font>
      <b/>
      <sz val="11"/>
      <name val="Aptos Narrow"/>
      <family val="2"/>
    </font>
    <font>
      <i/>
      <sz val="11"/>
      <color rgb="FF000000"/>
      <name val="Aptos Narrow"/>
      <family val="2"/>
      <scheme val="minor"/>
    </font>
    <font>
      <sz val="11"/>
      <color rgb="FFFFFFFF"/>
      <name val="Aptos Narrow"/>
    </font>
    <font>
      <i/>
      <sz val="11"/>
      <color rgb="FF000000"/>
      <name val="Aptos Narrow"/>
      <scheme val="minor"/>
    </font>
    <font>
      <sz val="11"/>
      <color rgb="FF1F1F1F"/>
      <name val="Google Sans Text"/>
      <family val="2"/>
      <charset val="1"/>
    </font>
    <font>
      <b/>
      <sz val="11"/>
      <color rgb="FF1F1F1F"/>
      <name val="Google Sans Text"/>
      <family val="2"/>
      <charset val="1"/>
    </font>
    <font>
      <sz val="11"/>
      <color rgb="FFFF0000"/>
      <name val="Aptos Narrow"/>
      <scheme val="minor"/>
    </font>
    <font>
      <sz val="11"/>
      <color rgb="FF1F1F1F"/>
      <name val="Google Sans Text"/>
    </font>
    <font>
      <sz val="11"/>
      <color rgb="FFA02B93"/>
      <name val="Aptos Narrow"/>
    </font>
    <font>
      <sz val="12"/>
      <color rgb="FF000000"/>
      <name val="Aptos Narrow"/>
      <family val="2"/>
      <scheme val="minor"/>
    </font>
    <font>
      <sz val="12"/>
      <color rgb="FF000000"/>
      <name val="Aptos Narrow"/>
      <scheme val="minor"/>
    </font>
    <font>
      <sz val="12"/>
      <color rgb="FFA02B93"/>
      <name val="Aptos Narrow"/>
      <scheme val="minor"/>
    </font>
  </fonts>
  <fills count="55">
    <fill>
      <patternFill patternType="none"/>
    </fill>
    <fill>
      <patternFill patternType="gray125"/>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rgb="FFBFBFBF"/>
        <bgColor rgb="FF000000"/>
      </patternFill>
    </fill>
    <fill>
      <patternFill patternType="solid">
        <fgColor rgb="FFF2F2F2"/>
        <bgColor rgb="FF000000"/>
      </patternFill>
    </fill>
    <fill>
      <patternFill patternType="solid">
        <fgColor theme="8" tint="0.79998168889431442"/>
        <bgColor indexed="64"/>
      </patternFill>
    </fill>
    <fill>
      <patternFill patternType="solid">
        <fgColor rgb="FFFFF0F3"/>
        <bgColor indexed="64"/>
      </patternFill>
    </fill>
    <fill>
      <patternFill patternType="solid">
        <fgColor theme="2" tint="-0.249977111117893"/>
        <bgColor indexed="64"/>
      </patternFill>
    </fill>
    <fill>
      <patternFill patternType="solid">
        <fgColor rgb="FFDAF1F3"/>
        <bgColor indexed="64"/>
      </patternFill>
    </fill>
    <fill>
      <patternFill patternType="solid">
        <fgColor theme="9" tint="0.39997558519241921"/>
        <bgColor indexed="64"/>
      </patternFill>
    </fill>
    <fill>
      <patternFill patternType="solid">
        <fgColor rgb="FFF3F6FB"/>
        <bgColor rgb="FF000000"/>
      </patternFill>
    </fill>
    <fill>
      <patternFill patternType="solid">
        <fgColor rgb="FFFFF2CC"/>
        <bgColor rgb="FFFFF2CC"/>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rgb="FFFEF2CD"/>
        <bgColor rgb="FF000000"/>
      </patternFill>
    </fill>
    <fill>
      <patternFill patternType="solid">
        <fgColor rgb="FFFDE49B"/>
        <bgColor rgb="FFD9EAD3"/>
      </patternFill>
    </fill>
    <fill>
      <patternFill patternType="solid">
        <fgColor rgb="FFFDD868"/>
        <bgColor rgb="FFC9DAF8"/>
      </patternFill>
    </fill>
    <fill>
      <patternFill patternType="solid">
        <fgColor rgb="FFFFF2CC"/>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3FCC4"/>
        <bgColor indexed="64"/>
      </patternFill>
    </fill>
    <fill>
      <patternFill patternType="solid">
        <fgColor theme="1"/>
        <bgColor indexed="64"/>
      </patternFill>
    </fill>
    <fill>
      <patternFill patternType="solid">
        <fgColor theme="4" tint="0.39997558519241921"/>
        <bgColor indexed="64"/>
      </patternFill>
    </fill>
    <fill>
      <patternFill patternType="solid">
        <fgColor theme="4"/>
        <bgColor indexed="64"/>
      </patternFill>
    </fill>
    <fill>
      <patternFill patternType="solid">
        <fgColor rgb="FFFFF2CC"/>
        <bgColor rgb="FF000000"/>
      </patternFill>
    </fill>
    <fill>
      <patternFill patternType="solid">
        <fgColor rgb="FFFFFFFF"/>
        <bgColor rgb="FF000000"/>
      </patternFill>
    </fill>
    <fill>
      <patternFill patternType="solid">
        <fgColor rgb="FFD9D9D9"/>
        <bgColor rgb="FFD9D9D9"/>
      </patternFill>
    </fill>
    <fill>
      <patternFill patternType="solid">
        <fgColor rgb="FFA8A8A8"/>
        <bgColor rgb="FF000000"/>
      </patternFill>
    </fill>
    <fill>
      <patternFill patternType="solid">
        <fgColor rgb="FF747474"/>
        <bgColor rgb="FF000000"/>
      </patternFill>
    </fill>
    <fill>
      <patternFill patternType="solid">
        <fgColor rgb="FF393939"/>
        <bgColor rgb="FF000000"/>
      </patternFill>
    </fill>
    <fill>
      <patternFill patternType="solid">
        <fgColor rgb="FFFDE49B"/>
        <bgColor rgb="FF000000"/>
      </patternFill>
    </fill>
    <fill>
      <patternFill patternType="solid">
        <fgColor rgb="FFFDD868"/>
        <bgColor rgb="FF000000"/>
      </patternFill>
    </fill>
    <fill>
      <patternFill patternType="solid">
        <fgColor rgb="FFDBBC1D"/>
        <bgColor rgb="FF000000"/>
      </patternFill>
    </fill>
    <fill>
      <patternFill patternType="solid">
        <fgColor rgb="FFEDA528"/>
        <bgColor rgb="FF000000"/>
      </patternFill>
    </fill>
    <fill>
      <patternFill patternType="solid">
        <fgColor rgb="FFF59816"/>
        <bgColor rgb="FF000000"/>
      </patternFill>
    </fill>
    <fill>
      <patternFill patternType="solid">
        <fgColor rgb="FFED601A"/>
        <bgColor rgb="FF000000"/>
      </patternFill>
    </fill>
    <fill>
      <patternFill patternType="solid">
        <fgColor rgb="FFE6A442"/>
        <bgColor rgb="FF000000"/>
      </patternFill>
    </fill>
    <fill>
      <patternFill patternType="solid">
        <fgColor rgb="FFE4EC7A"/>
        <bgColor rgb="FF000000"/>
      </patternFill>
    </fill>
    <fill>
      <patternFill patternType="solid">
        <fgColor rgb="FFE4B582"/>
        <bgColor rgb="FF000000"/>
      </patternFill>
    </fill>
    <fill>
      <patternFill patternType="solid">
        <fgColor rgb="FFFCF85E"/>
        <bgColor rgb="FF000000"/>
      </patternFill>
    </fill>
    <fill>
      <patternFill patternType="solid">
        <fgColor rgb="FFE88B0E"/>
        <bgColor rgb="FF000000"/>
      </patternFill>
    </fill>
    <fill>
      <patternFill patternType="solid">
        <fgColor theme="9"/>
        <bgColor indexed="64"/>
      </patternFill>
    </fill>
    <fill>
      <patternFill patternType="solid">
        <fgColor rgb="FFFF0000"/>
        <bgColor indexed="64"/>
      </patternFill>
    </fill>
  </fills>
  <borders count="5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DEE2E6"/>
      </left>
      <right style="medium">
        <color rgb="FFDEE2E6"/>
      </right>
      <top style="medium">
        <color rgb="FFDEE2E6"/>
      </top>
      <bottom/>
      <diagonal/>
    </border>
    <border>
      <left/>
      <right style="medium">
        <color rgb="FFDEE2E6"/>
      </right>
      <top style="medium">
        <color rgb="FFDEE2E6"/>
      </top>
      <bottom/>
      <diagonal/>
    </border>
    <border>
      <left style="medium">
        <color rgb="FFDEE2E6"/>
      </left>
      <right style="medium">
        <color rgb="FFDEE2E6"/>
      </right>
      <top style="medium">
        <color rgb="FFDEE2E6"/>
      </top>
      <bottom style="medium">
        <color rgb="FFDEE2E6"/>
      </bottom>
      <diagonal/>
    </border>
    <border>
      <left/>
      <right style="medium">
        <color rgb="FFDEE2E6"/>
      </right>
      <top style="medium">
        <color rgb="FFDEE2E6"/>
      </top>
      <bottom style="medium">
        <color rgb="FFDEE2E6"/>
      </bottom>
      <diagonal/>
    </border>
    <border>
      <left style="medium">
        <color rgb="FFDEE2E6"/>
      </left>
      <right style="medium">
        <color rgb="FFDEE2E6"/>
      </right>
      <top/>
      <bottom style="medium">
        <color rgb="FFDEE2E6"/>
      </bottom>
      <diagonal/>
    </border>
    <border>
      <left/>
      <right style="medium">
        <color rgb="FFDEE2E6"/>
      </right>
      <top/>
      <bottom style="medium">
        <color rgb="FFDEE2E6"/>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ck">
        <color rgb="FF000000"/>
      </right>
      <top/>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bottom style="thin">
        <color rgb="FF000000"/>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diagonal/>
    </border>
    <border>
      <left/>
      <right style="thick">
        <color rgb="FFC00000"/>
      </right>
      <top/>
      <bottom/>
      <diagonal/>
    </border>
    <border>
      <left style="thin">
        <color rgb="FF000000"/>
      </left>
      <right style="thick">
        <color rgb="FFC00000"/>
      </right>
      <top style="thin">
        <color rgb="FF000000"/>
      </top>
      <bottom style="thin">
        <color rgb="FF000000"/>
      </bottom>
      <diagonal/>
    </border>
    <border>
      <left style="thin">
        <color rgb="FF000000"/>
      </left>
      <right style="thick">
        <color rgb="FFC00000"/>
      </right>
      <top/>
      <bottom style="thin">
        <color rgb="FF000000"/>
      </bottom>
      <diagonal/>
    </border>
    <border>
      <left style="thin">
        <color rgb="FF000000"/>
      </left>
      <right style="thick">
        <color rgb="FFC00000"/>
      </right>
      <top style="thin">
        <color rgb="FF000000"/>
      </top>
      <bottom/>
      <diagonal/>
    </border>
    <border>
      <left style="thin">
        <color rgb="FF000000"/>
      </left>
      <right style="thick">
        <color rgb="FFC00000"/>
      </right>
      <top/>
      <bottom/>
      <diagonal/>
    </border>
    <border>
      <left/>
      <right style="thick">
        <color rgb="FFC00000"/>
      </right>
      <top style="thin">
        <color rgb="FF000000"/>
      </top>
      <bottom style="thin">
        <color rgb="FF000000"/>
      </bottom>
      <diagonal/>
    </border>
    <border>
      <left/>
      <right/>
      <top/>
      <bottom style="thick">
        <color indexed="64"/>
      </bottom>
      <diagonal/>
    </border>
    <border>
      <left style="thin">
        <color rgb="FF000000"/>
      </left>
      <right style="thick">
        <color rgb="FFC00000"/>
      </right>
      <top style="thin">
        <color rgb="FF000000"/>
      </top>
      <bottom style="thin">
        <color indexed="64"/>
      </bottom>
      <diagonal/>
    </border>
    <border>
      <left style="thin">
        <color rgb="FF000000"/>
      </left>
      <right style="thick">
        <color rgb="FF000000"/>
      </right>
      <top/>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rgb="FF1F1F1F"/>
      </left>
      <right style="thin">
        <color rgb="FF1F1F1F"/>
      </right>
      <top style="thin">
        <color rgb="FF1F1F1F"/>
      </top>
      <bottom style="thin">
        <color rgb="FF1F1F1F"/>
      </bottom>
      <diagonal/>
    </border>
  </borders>
  <cellStyleXfs count="3">
    <xf numFmtId="0" fontId="0" fillId="0" borderId="0"/>
    <xf numFmtId="0" fontId="1" fillId="0" borderId="0"/>
    <xf numFmtId="0" fontId="31" fillId="0" borderId="0" applyNumberFormat="0" applyFill="0" applyBorder="0" applyAlignment="0" applyProtection="0"/>
  </cellStyleXfs>
  <cellXfs count="555">
    <xf numFmtId="0" fontId="0" fillId="0" borderId="0" xfId="0"/>
    <xf numFmtId="0" fontId="0" fillId="0" borderId="0" xfId="0" applyAlignment="1">
      <alignment horizontal="center"/>
    </xf>
    <xf numFmtId="0" fontId="3" fillId="0" borderId="0" xfId="0" applyFont="1"/>
    <xf numFmtId="0" fontId="0" fillId="0" borderId="0" xfId="0" applyAlignment="1">
      <alignment wrapText="1"/>
    </xf>
    <xf numFmtId="0" fontId="4" fillId="0" borderId="0" xfId="0" applyFont="1" applyAlignment="1">
      <alignment horizontal="center"/>
    </xf>
    <xf numFmtId="0" fontId="5" fillId="0" borderId="0" xfId="0" applyFont="1"/>
    <xf numFmtId="0" fontId="4" fillId="0" borderId="0" xfId="0" applyFont="1"/>
    <xf numFmtId="0" fontId="7" fillId="0" borderId="0" xfId="0" applyFont="1"/>
    <xf numFmtId="0" fontId="0" fillId="0" borderId="5" xfId="0" applyBorder="1"/>
    <xf numFmtId="0" fontId="0" fillId="0" borderId="8" xfId="0" applyBorder="1"/>
    <xf numFmtId="0" fontId="4" fillId="0" borderId="4" xfId="0" applyFont="1" applyBorder="1" applyAlignment="1">
      <alignment horizontal="center"/>
    </xf>
    <xf numFmtId="0" fontId="4" fillId="0" borderId="5" xfId="0" applyFont="1" applyBorder="1" applyAlignment="1">
      <alignment horizontal="center"/>
    </xf>
    <xf numFmtId="0" fontId="15" fillId="12" borderId="9" xfId="0" applyFont="1" applyFill="1" applyBorder="1"/>
    <xf numFmtId="0" fontId="15" fillId="12" borderId="10" xfId="0" applyFont="1" applyFill="1" applyBorder="1"/>
    <xf numFmtId="0" fontId="15" fillId="12" borderId="0" xfId="0" applyFont="1" applyFill="1"/>
    <xf numFmtId="0" fontId="17" fillId="0" borderId="9" xfId="0" applyFont="1" applyBorder="1"/>
    <xf numFmtId="0" fontId="17" fillId="0" borderId="11" xfId="0" applyFont="1" applyBorder="1"/>
    <xf numFmtId="0" fontId="17" fillId="0" borderId="10" xfId="0" applyFont="1" applyBorder="1"/>
    <xf numFmtId="0" fontId="17" fillId="0" borderId="10" xfId="0" applyFont="1" applyBorder="1" applyAlignment="1">
      <alignment wrapText="1"/>
    </xf>
    <xf numFmtId="0" fontId="17" fillId="0" borderId="12" xfId="0" applyFont="1" applyBorder="1"/>
    <xf numFmtId="0" fontId="16" fillId="0" borderId="12" xfId="0" applyFont="1" applyBorder="1"/>
    <xf numFmtId="0" fontId="17" fillId="0" borderId="12" xfId="0" applyFont="1" applyBorder="1" applyAlignment="1">
      <alignment wrapText="1"/>
    </xf>
    <xf numFmtId="0" fontId="16" fillId="0" borderId="13" xfId="0" applyFont="1" applyBorder="1"/>
    <xf numFmtId="0" fontId="17" fillId="0" borderId="14" xfId="0" applyFont="1" applyBorder="1" applyAlignment="1">
      <alignment wrapText="1"/>
    </xf>
    <xf numFmtId="0" fontId="16" fillId="0" borderId="11" xfId="0" applyFont="1" applyBorder="1"/>
    <xf numFmtId="0" fontId="17" fillId="0" borderId="14" xfId="0" applyFont="1" applyBorder="1"/>
    <xf numFmtId="0" fontId="16" fillId="0" borderId="9" xfId="0" applyFont="1" applyBorder="1"/>
    <xf numFmtId="0" fontId="3" fillId="8" borderId="16" xfId="0" applyFont="1" applyFill="1" applyBorder="1" applyAlignment="1">
      <alignment horizontal="center"/>
    </xf>
    <xf numFmtId="0" fontId="3" fillId="8" borderId="6" xfId="0" applyFont="1" applyFill="1" applyBorder="1" applyAlignment="1">
      <alignment horizontal="center"/>
    </xf>
    <xf numFmtId="0" fontId="20" fillId="0" borderId="7" xfId="0" applyFont="1" applyBorder="1" applyAlignment="1">
      <alignment wrapText="1"/>
    </xf>
    <xf numFmtId="0" fontId="3" fillId="14" borderId="6" xfId="0" applyFont="1" applyFill="1" applyBorder="1" applyAlignment="1">
      <alignment horizontal="center"/>
    </xf>
    <xf numFmtId="0" fontId="18" fillId="14" borderId="1" xfId="0" applyFont="1" applyFill="1" applyBorder="1" applyAlignment="1">
      <alignment horizontal="left" wrapText="1"/>
    </xf>
    <xf numFmtId="0" fontId="22" fillId="0" borderId="0" xfId="0" applyFont="1" applyAlignment="1">
      <alignment horizontal="center"/>
    </xf>
    <xf numFmtId="0" fontId="21" fillId="0" borderId="3" xfId="0" quotePrefix="1" applyFont="1" applyBorder="1" applyAlignment="1">
      <alignment wrapText="1"/>
    </xf>
    <xf numFmtId="0" fontId="0" fillId="0" borderId="18" xfId="0" quotePrefix="1" applyBorder="1" applyAlignment="1">
      <alignment horizontal="left" wrapText="1"/>
    </xf>
    <xf numFmtId="0" fontId="0" fillId="0" borderId="18" xfId="0" applyBorder="1" applyAlignment="1">
      <alignment horizontal="left" wrapText="1"/>
    </xf>
    <xf numFmtId="0" fontId="23" fillId="0" borderId="18" xfId="0" applyFont="1" applyBorder="1" applyAlignment="1">
      <alignment horizontal="left" wrapText="1"/>
    </xf>
    <xf numFmtId="0" fontId="21" fillId="0" borderId="18" xfId="0" applyFont="1" applyBorder="1"/>
    <xf numFmtId="0" fontId="0" fillId="0" borderId="20" xfId="0" quotePrefix="1" applyBorder="1" applyAlignment="1">
      <alignment wrapText="1"/>
    </xf>
    <xf numFmtId="0" fontId="0" fillId="0" borderId="21" xfId="0" applyBorder="1" applyAlignment="1">
      <alignment wrapText="1"/>
    </xf>
    <xf numFmtId="0" fontId="3" fillId="14" borderId="22" xfId="0" applyFont="1" applyFill="1" applyBorder="1"/>
    <xf numFmtId="0" fontId="18" fillId="9" borderId="16" xfId="0" applyFont="1" applyFill="1" applyBorder="1" applyAlignment="1">
      <alignment wrapText="1"/>
    </xf>
    <xf numFmtId="0" fontId="0" fillId="0" borderId="16" xfId="0" applyBorder="1"/>
    <xf numFmtId="0" fontId="0" fillId="14" borderId="6" xfId="0" applyFill="1" applyBorder="1"/>
    <xf numFmtId="0" fontId="0" fillId="0" borderId="21" xfId="0" applyBorder="1"/>
    <xf numFmtId="0" fontId="6" fillId="0" borderId="21" xfId="0" applyFont="1" applyBorder="1" applyAlignment="1">
      <alignment wrapText="1"/>
    </xf>
    <xf numFmtId="0" fontId="17" fillId="0" borderId="12" xfId="0" applyFont="1" applyBorder="1" applyAlignment="1">
      <alignment horizontal="left"/>
    </xf>
    <xf numFmtId="0" fontId="17" fillId="0" borderId="11" xfId="0" applyFont="1" applyBorder="1" applyAlignment="1">
      <alignment horizontal="left"/>
    </xf>
    <xf numFmtId="0" fontId="25" fillId="0" borderId="21" xfId="0" applyFont="1" applyBorder="1" applyAlignment="1">
      <alignment wrapText="1"/>
    </xf>
    <xf numFmtId="0" fontId="24" fillId="0" borderId="21" xfId="0" applyFont="1" applyBorder="1" applyAlignment="1">
      <alignment wrapText="1"/>
    </xf>
    <xf numFmtId="0" fontId="5" fillId="0" borderId="21" xfId="0" applyFont="1" applyBorder="1"/>
    <xf numFmtId="0" fontId="17" fillId="0" borderId="11" xfId="0" applyFont="1" applyBorder="1" applyAlignment="1">
      <alignment horizontal="left" vertical="center"/>
    </xf>
    <xf numFmtId="0" fontId="17" fillId="0" borderId="11" xfId="0" applyFont="1" applyBorder="1" applyAlignment="1">
      <alignment wrapText="1"/>
    </xf>
    <xf numFmtId="0" fontId="6" fillId="0" borderId="4" xfId="0" applyFont="1" applyBorder="1" applyAlignment="1">
      <alignment wrapText="1"/>
    </xf>
    <xf numFmtId="0" fontId="29" fillId="0" borderId="21" xfId="0" applyFont="1" applyBorder="1" applyAlignment="1">
      <alignment wrapText="1"/>
    </xf>
    <xf numFmtId="0" fontId="6" fillId="0" borderId="5" xfId="0" applyFont="1" applyBorder="1" applyAlignment="1">
      <alignment wrapText="1"/>
    </xf>
    <xf numFmtId="0" fontId="29" fillId="0" borderId="0" xfId="0" applyFont="1" applyAlignment="1">
      <alignment wrapText="1"/>
    </xf>
    <xf numFmtId="0" fontId="0" fillId="0" borderId="20" xfId="0" applyBorder="1"/>
    <xf numFmtId="0" fontId="6" fillId="0" borderId="18" xfId="0" applyFont="1" applyBorder="1" applyAlignment="1">
      <alignment wrapText="1"/>
    </xf>
    <xf numFmtId="0" fontId="23" fillId="0" borderId="0" xfId="0" applyFont="1"/>
    <xf numFmtId="0" fontId="9" fillId="0" borderId="0" xfId="0" applyFont="1" applyAlignment="1">
      <alignment horizontal="center" vertical="top"/>
    </xf>
    <xf numFmtId="0" fontId="5" fillId="0" borderId="18" xfId="0" applyFont="1" applyBorder="1"/>
    <xf numFmtId="0" fontId="29" fillId="0" borderId="16" xfId="0" applyFont="1" applyBorder="1" applyAlignment="1">
      <alignment wrapText="1"/>
    </xf>
    <xf numFmtId="0" fontId="3" fillId="2" borderId="0" xfId="0" applyFont="1" applyFill="1" applyAlignment="1">
      <alignment horizontal="center" vertical="top"/>
    </xf>
    <xf numFmtId="0" fontId="3" fillId="3" borderId="0" xfId="0" applyFont="1" applyFill="1" applyAlignment="1">
      <alignment horizontal="center" vertical="top"/>
    </xf>
    <xf numFmtId="0" fontId="5" fillId="3" borderId="0" xfId="0" applyFont="1" applyFill="1" applyAlignment="1">
      <alignment vertical="top" wrapText="1"/>
    </xf>
    <xf numFmtId="0" fontId="5" fillId="2" borderId="0" xfId="0" applyFont="1" applyFill="1" applyAlignment="1">
      <alignment vertical="top"/>
    </xf>
    <xf numFmtId="0" fontId="11" fillId="2" borderId="0" xfId="0" applyFont="1" applyFill="1" applyAlignment="1">
      <alignment vertical="top"/>
    </xf>
    <xf numFmtId="0" fontId="5" fillId="3" borderId="0" xfId="0" applyFont="1" applyFill="1" applyAlignment="1">
      <alignment vertical="top"/>
    </xf>
    <xf numFmtId="0" fontId="6" fillId="4" borderId="0" xfId="0" applyFont="1" applyFill="1" applyAlignment="1">
      <alignment vertical="top"/>
    </xf>
    <xf numFmtId="0" fontId="11" fillId="4" borderId="0" xfId="0" applyFont="1" applyFill="1" applyAlignment="1">
      <alignment vertical="top"/>
    </xf>
    <xf numFmtId="0" fontId="0" fillId="6" borderId="0" xfId="0" applyFill="1" applyAlignment="1">
      <alignment horizontal="center" vertical="top" wrapText="1"/>
    </xf>
    <xf numFmtId="0" fontId="5" fillId="6" borderId="0" xfId="0" applyFont="1" applyFill="1" applyAlignment="1">
      <alignment vertical="top"/>
    </xf>
    <xf numFmtId="0" fontId="0" fillId="5" borderId="0" xfId="0" applyFill="1" applyAlignment="1">
      <alignment horizontal="center" vertical="top" wrapText="1"/>
    </xf>
    <xf numFmtId="0" fontId="5" fillId="5" borderId="0" xfId="0" applyFont="1" applyFill="1" applyAlignment="1">
      <alignment vertical="top"/>
    </xf>
    <xf numFmtId="0" fontId="5" fillId="5" borderId="0" xfId="0" applyFont="1" applyFill="1" applyAlignment="1">
      <alignment vertical="top" wrapText="1"/>
    </xf>
    <xf numFmtId="0" fontId="0" fillId="5" borderId="0" xfId="0" applyFill="1" applyAlignment="1">
      <alignment vertical="top"/>
    </xf>
    <xf numFmtId="0" fontId="5" fillId="6" borderId="0" xfId="0" applyFont="1" applyFill="1" applyAlignment="1">
      <alignment vertical="top" wrapText="1"/>
    </xf>
    <xf numFmtId="0" fontId="0" fillId="0" borderId="18" xfId="0" applyBorder="1"/>
    <xf numFmtId="0" fontId="5" fillId="0" borderId="17" xfId="0" applyFont="1" applyBorder="1"/>
    <xf numFmtId="0" fontId="3" fillId="4" borderId="0" xfId="0" applyFont="1" applyFill="1" applyAlignment="1">
      <alignment horizontal="center" vertical="top"/>
    </xf>
    <xf numFmtId="0" fontId="24" fillId="0" borderId="21" xfId="0" applyFont="1" applyBorder="1" applyAlignment="1">
      <alignment horizontal="center" wrapText="1"/>
    </xf>
    <xf numFmtId="0" fontId="4" fillId="0" borderId="21" xfId="0" applyFont="1" applyBorder="1" applyAlignment="1">
      <alignment horizontal="center" wrapText="1"/>
    </xf>
    <xf numFmtId="0" fontId="7" fillId="5" borderId="0" xfId="0" applyFont="1" applyFill="1" applyAlignment="1">
      <alignment horizontal="center" vertical="top"/>
    </xf>
    <xf numFmtId="0" fontId="3" fillId="6" borderId="0" xfId="0" applyFont="1" applyFill="1" applyAlignment="1">
      <alignment horizontal="center" vertical="top"/>
    </xf>
    <xf numFmtId="0" fontId="17" fillId="0" borderId="0" xfId="0" applyFont="1"/>
    <xf numFmtId="0" fontId="0" fillId="17" borderId="0" xfId="0" applyFill="1"/>
    <xf numFmtId="0" fontId="30" fillId="0" borderId="0" xfId="0" applyFont="1"/>
    <xf numFmtId="0" fontId="23" fillId="17" borderId="0" xfId="0" applyFont="1" applyFill="1"/>
    <xf numFmtId="0" fontId="32" fillId="19" borderId="23" xfId="0" applyFont="1" applyFill="1" applyBorder="1" applyAlignment="1">
      <alignment wrapText="1"/>
    </xf>
    <xf numFmtId="0" fontId="32" fillId="19" borderId="24" xfId="0" applyFont="1" applyFill="1" applyBorder="1" applyAlignment="1">
      <alignment wrapText="1"/>
    </xf>
    <xf numFmtId="0" fontId="31" fillId="19" borderId="25" xfId="2" applyFill="1" applyBorder="1" applyAlignment="1">
      <alignment wrapText="1"/>
    </xf>
    <xf numFmtId="0" fontId="33" fillId="19" borderId="26" xfId="0" applyFont="1" applyFill="1" applyBorder="1" applyAlignment="1">
      <alignment wrapText="1"/>
    </xf>
    <xf numFmtId="16" fontId="33" fillId="19" borderId="26" xfId="0" applyNumberFormat="1" applyFont="1" applyFill="1" applyBorder="1" applyAlignment="1">
      <alignment wrapText="1"/>
    </xf>
    <xf numFmtId="0" fontId="31" fillId="19" borderId="27" xfId="2" applyFill="1" applyBorder="1" applyAlignment="1">
      <alignment wrapText="1"/>
    </xf>
    <xf numFmtId="0" fontId="33" fillId="19" borderId="28" xfId="0" applyFont="1" applyFill="1" applyBorder="1" applyAlignment="1">
      <alignment wrapText="1"/>
    </xf>
    <xf numFmtId="16" fontId="33" fillId="19" borderId="28" xfId="0" applyNumberFormat="1" applyFont="1" applyFill="1" applyBorder="1" applyAlignment="1">
      <alignment wrapText="1"/>
    </xf>
    <xf numFmtId="0" fontId="0" fillId="21" borderId="0" xfId="0" applyFill="1"/>
    <xf numFmtId="0" fontId="0" fillId="22" borderId="0" xfId="0" applyFill="1"/>
    <xf numFmtId="0" fontId="0" fillId="18" borderId="0" xfId="0" applyFill="1"/>
    <xf numFmtId="0" fontId="26" fillId="23" borderId="0" xfId="0" applyFont="1" applyFill="1" applyAlignment="1">
      <alignment vertical="center"/>
    </xf>
    <xf numFmtId="0" fontId="26" fillId="23" borderId="0" xfId="0" applyFont="1" applyFill="1"/>
    <xf numFmtId="0" fontId="0" fillId="21" borderId="0" xfId="0" applyFill="1" applyAlignment="1">
      <alignment wrapText="1"/>
    </xf>
    <xf numFmtId="0" fontId="0" fillId="22" borderId="0" xfId="0" applyFill="1" applyAlignment="1">
      <alignment wrapText="1"/>
    </xf>
    <xf numFmtId="0" fontId="17" fillId="24" borderId="0" xfId="0" applyFont="1" applyFill="1"/>
    <xf numFmtId="0" fontId="17" fillId="27" borderId="0" xfId="0" applyFont="1" applyFill="1"/>
    <xf numFmtId="0" fontId="0" fillId="27" borderId="0" xfId="0" applyFill="1"/>
    <xf numFmtId="0" fontId="3" fillId="27" borderId="0" xfId="0" applyFont="1" applyFill="1" applyAlignment="1">
      <alignment horizontal="center"/>
    </xf>
    <xf numFmtId="0" fontId="0" fillId="0" borderId="21" xfId="0" quotePrefix="1" applyBorder="1" applyAlignment="1">
      <alignment wrapText="1"/>
    </xf>
    <xf numFmtId="0" fontId="6" fillId="0" borderId="0" xfId="0" applyFont="1" applyAlignment="1">
      <alignment wrapText="1"/>
    </xf>
    <xf numFmtId="0" fontId="5" fillId="0" borderId="21" xfId="0" applyFont="1" applyBorder="1" applyAlignment="1">
      <alignment wrapText="1"/>
    </xf>
    <xf numFmtId="0" fontId="4" fillId="0" borderId="21" xfId="0" applyFont="1" applyBorder="1" applyAlignment="1">
      <alignment wrapText="1"/>
    </xf>
    <xf numFmtId="0" fontId="4" fillId="0" borderId="31" xfId="0" applyFont="1" applyBorder="1" applyAlignment="1">
      <alignment horizontal="center"/>
    </xf>
    <xf numFmtId="0" fontId="4" fillId="0" borderId="32" xfId="0" applyFont="1" applyBorder="1" applyAlignment="1">
      <alignment horizontal="center" wrapText="1"/>
    </xf>
    <xf numFmtId="0" fontId="24" fillId="0" borderId="33" xfId="0" applyFont="1" applyBorder="1" applyAlignment="1">
      <alignment wrapText="1"/>
    </xf>
    <xf numFmtId="0" fontId="4" fillId="0" borderId="32" xfId="0" applyFont="1" applyBorder="1" applyAlignment="1">
      <alignment wrapText="1"/>
    </xf>
    <xf numFmtId="0" fontId="24" fillId="0" borderId="32" xfId="0" applyFont="1" applyBorder="1" applyAlignment="1">
      <alignment horizontal="center" wrapText="1"/>
    </xf>
    <xf numFmtId="0" fontId="5" fillId="0" borderId="32" xfId="0" applyFont="1" applyBorder="1"/>
    <xf numFmtId="0" fontId="0" fillId="0" borderId="32" xfId="0" applyBorder="1"/>
    <xf numFmtId="0" fontId="0" fillId="0" borderId="34" xfId="0" applyBorder="1"/>
    <xf numFmtId="0" fontId="5" fillId="0" borderId="35" xfId="0" applyFont="1" applyBorder="1"/>
    <xf numFmtId="0" fontId="0" fillId="0" borderId="31" xfId="0" applyBorder="1"/>
    <xf numFmtId="0" fontId="25" fillId="0" borderId="32" xfId="0" applyFont="1" applyBorder="1" applyAlignment="1">
      <alignment wrapText="1"/>
    </xf>
    <xf numFmtId="0" fontId="0" fillId="0" borderId="35" xfId="0" applyBorder="1"/>
    <xf numFmtId="0" fontId="24" fillId="0" borderId="20" xfId="0" applyFont="1" applyBorder="1" applyAlignment="1">
      <alignment wrapText="1"/>
    </xf>
    <xf numFmtId="0" fontId="29" fillId="0" borderId="20" xfId="0" applyFont="1" applyBorder="1" applyAlignment="1">
      <alignment wrapText="1"/>
    </xf>
    <xf numFmtId="0" fontId="0" fillId="0" borderId="3" xfId="0" applyBorder="1"/>
    <xf numFmtId="0" fontId="6" fillId="0" borderId="20" xfId="0" applyFont="1" applyBorder="1" applyAlignment="1">
      <alignment wrapText="1"/>
    </xf>
    <xf numFmtId="0" fontId="11" fillId="0" borderId="0" xfId="0" applyFont="1" applyAlignment="1">
      <alignment vertical="top"/>
    </xf>
    <xf numFmtId="0" fontId="5" fillId="0" borderId="0" xfId="0" applyFont="1" applyAlignment="1">
      <alignment vertical="top"/>
    </xf>
    <xf numFmtId="0" fontId="5" fillId="0" borderId="0" xfId="0" applyFont="1" applyAlignment="1">
      <alignment vertical="top" wrapText="1"/>
    </xf>
    <xf numFmtId="0" fontId="17" fillId="0" borderId="0" xfId="0" applyFont="1" applyAlignment="1">
      <alignment wrapText="1"/>
    </xf>
    <xf numFmtId="0" fontId="7" fillId="0" borderId="16" xfId="0" applyFont="1" applyBorder="1"/>
    <xf numFmtId="0" fontId="11" fillId="0" borderId="0" xfId="0" applyFont="1" applyAlignment="1">
      <alignment vertical="top" wrapText="1"/>
    </xf>
    <xf numFmtId="0" fontId="5" fillId="0" borderId="0" xfId="0" applyFont="1" applyAlignment="1">
      <alignment horizontal="center" vertical="top" wrapText="1"/>
    </xf>
    <xf numFmtId="0" fontId="7" fillId="0" borderId="0" xfId="0" applyFont="1" applyAlignment="1">
      <alignment wrapText="1"/>
    </xf>
    <xf numFmtId="0" fontId="6" fillId="0" borderId="7" xfId="0" applyFont="1" applyBorder="1" applyAlignment="1">
      <alignment wrapText="1"/>
    </xf>
    <xf numFmtId="0" fontId="6" fillId="0" borderId="8" xfId="0" applyFont="1" applyBorder="1" applyAlignment="1">
      <alignment wrapText="1"/>
    </xf>
    <xf numFmtId="0" fontId="4" fillId="0" borderId="34" xfId="0" applyFont="1" applyBorder="1" applyAlignment="1">
      <alignment horizontal="left" wrapText="1"/>
    </xf>
    <xf numFmtId="0" fontId="4" fillId="0" borderId="21" xfId="0" applyFont="1" applyBorder="1" applyAlignment="1">
      <alignment horizontal="left" wrapText="1"/>
    </xf>
    <xf numFmtId="0" fontId="5" fillId="0" borderId="20" xfId="0" applyFont="1" applyBorder="1" applyAlignment="1">
      <alignment wrapText="1"/>
    </xf>
    <xf numFmtId="0" fontId="4" fillId="0" borderId="8" xfId="0" applyFont="1" applyBorder="1" applyAlignment="1">
      <alignment wrapText="1"/>
    </xf>
    <xf numFmtId="0" fontId="25" fillId="0" borderId="16" xfId="0" applyFont="1" applyBorder="1" applyAlignment="1">
      <alignment wrapText="1"/>
    </xf>
    <xf numFmtId="0" fontId="7" fillId="0" borderId="16" xfId="0" applyFont="1" applyBorder="1" applyAlignment="1">
      <alignment wrapText="1"/>
    </xf>
    <xf numFmtId="0" fontId="17" fillId="0" borderId="12" xfId="0" applyFont="1" applyBorder="1" applyAlignment="1">
      <alignment horizontal="left" vertical="center" wrapText="1"/>
    </xf>
    <xf numFmtId="0" fontId="6" fillId="0" borderId="18" xfId="0" applyFont="1" applyBorder="1" applyAlignment="1">
      <alignment horizontal="left" wrapText="1"/>
    </xf>
    <xf numFmtId="0" fontId="0" fillId="28" borderId="0" xfId="0" applyFill="1"/>
    <xf numFmtId="0" fontId="1" fillId="0" borderId="0" xfId="1"/>
    <xf numFmtId="0" fontId="1" fillId="0" borderId="0" xfId="1" applyAlignment="1">
      <alignment horizontal="center" vertical="center" wrapText="1"/>
    </xf>
    <xf numFmtId="0" fontId="1" fillId="0" borderId="0" xfId="1" applyAlignment="1">
      <alignment horizontal="center"/>
    </xf>
    <xf numFmtId="0" fontId="1" fillId="0" borderId="0" xfId="1" applyAlignment="1">
      <alignment horizontal="center" vertical="center"/>
    </xf>
    <xf numFmtId="0" fontId="17" fillId="17" borderId="0" xfId="0" applyFont="1" applyFill="1"/>
    <xf numFmtId="0" fontId="17" fillId="0" borderId="4" xfId="0" applyFont="1" applyBorder="1" applyAlignment="1">
      <alignment horizontal="left" wrapText="1"/>
    </xf>
    <xf numFmtId="0" fontId="18" fillId="14" borderId="0" xfId="0" applyFont="1" applyFill="1" applyAlignment="1">
      <alignment horizontal="left" wrapText="1"/>
    </xf>
    <xf numFmtId="0" fontId="18" fillId="9" borderId="17" xfId="0" applyFont="1" applyFill="1" applyBorder="1" applyAlignment="1">
      <alignment horizontal="left" wrapText="1"/>
    </xf>
    <xf numFmtId="0" fontId="36" fillId="8" borderId="21" xfId="0" applyFont="1" applyFill="1" applyBorder="1" applyAlignment="1">
      <alignment horizontal="center" wrapText="1"/>
    </xf>
    <xf numFmtId="0" fontId="36" fillId="8" borderId="22" xfId="0" applyFont="1" applyFill="1" applyBorder="1" applyAlignment="1">
      <alignment horizontal="center" wrapText="1"/>
    </xf>
    <xf numFmtId="0" fontId="4" fillId="0" borderId="20" xfId="0" applyFont="1" applyBorder="1" applyAlignment="1">
      <alignment horizontal="center" wrapText="1"/>
    </xf>
    <xf numFmtId="0" fontId="25" fillId="0" borderId="8" xfId="0" applyFont="1" applyBorder="1" applyAlignment="1">
      <alignment wrapText="1"/>
    </xf>
    <xf numFmtId="0" fontId="4" fillId="0" borderId="20" xfId="0" applyFont="1" applyBorder="1" applyAlignment="1">
      <alignment wrapText="1"/>
    </xf>
    <xf numFmtId="0" fontId="4" fillId="0" borderId="20" xfId="0" applyFont="1" applyBorder="1" applyAlignment="1">
      <alignment horizontal="left" wrapText="1"/>
    </xf>
    <xf numFmtId="0" fontId="25" fillId="0" borderId="20" xfId="0" applyFont="1" applyBorder="1" applyAlignment="1">
      <alignment wrapText="1"/>
    </xf>
    <xf numFmtId="0" fontId="4" fillId="0" borderId="36" xfId="0" applyFont="1" applyBorder="1" applyAlignment="1">
      <alignment horizontal="center"/>
    </xf>
    <xf numFmtId="0" fontId="4" fillId="0" borderId="37" xfId="0" applyFont="1" applyBorder="1" applyAlignment="1">
      <alignment horizontal="center" wrapText="1"/>
    </xf>
    <xf numFmtId="0" fontId="24" fillId="0" borderId="37" xfId="0" applyFont="1" applyBorder="1" applyAlignment="1">
      <alignment horizontal="left" wrapText="1"/>
    </xf>
    <xf numFmtId="0" fontId="6" fillId="0" borderId="41" xfId="0" applyFont="1" applyBorder="1" applyAlignment="1">
      <alignment wrapText="1"/>
    </xf>
    <xf numFmtId="0" fontId="29" fillId="0" borderId="41" xfId="0" applyFont="1" applyBorder="1" applyAlignment="1">
      <alignment wrapText="1"/>
    </xf>
    <xf numFmtId="0" fontId="6" fillId="0" borderId="36" xfId="0" applyFont="1" applyBorder="1" applyAlignment="1">
      <alignment wrapText="1"/>
    </xf>
    <xf numFmtId="0" fontId="7" fillId="0" borderId="41" xfId="0" applyFont="1" applyBorder="1" applyAlignment="1">
      <alignment wrapText="1"/>
    </xf>
    <xf numFmtId="0" fontId="3" fillId="0" borderId="40" xfId="0" applyFont="1" applyBorder="1" applyAlignment="1">
      <alignment vertical="center"/>
    </xf>
    <xf numFmtId="0" fontId="0" fillId="0" borderId="36" xfId="0" applyBorder="1"/>
    <xf numFmtId="0" fontId="6" fillId="29" borderId="21" xfId="0" applyFont="1" applyFill="1" applyBorder="1" applyAlignment="1">
      <alignment wrapText="1"/>
    </xf>
    <xf numFmtId="0" fontId="6" fillId="29" borderId="18" xfId="0" applyFont="1" applyFill="1" applyBorder="1" applyAlignment="1">
      <alignment wrapText="1"/>
    </xf>
    <xf numFmtId="0" fontId="6" fillId="29" borderId="21" xfId="0" applyFont="1" applyFill="1" applyBorder="1" applyAlignment="1">
      <alignment horizontal="left" wrapText="1"/>
    </xf>
    <xf numFmtId="0" fontId="0" fillId="0" borderId="21" xfId="0" applyBorder="1" applyAlignment="1" applyProtection="1">
      <alignment horizontal="center" vertical="center"/>
      <protection locked="0"/>
    </xf>
    <xf numFmtId="0" fontId="3" fillId="2" borderId="18" xfId="0" applyFont="1" applyFill="1" applyBorder="1" applyAlignment="1" applyProtection="1">
      <alignment horizontal="center" vertical="center" wrapText="1"/>
      <protection locked="0"/>
    </xf>
    <xf numFmtId="0" fontId="0" fillId="2" borderId="21" xfId="0" applyFill="1" applyBorder="1" applyAlignment="1" applyProtection="1">
      <alignment horizontal="center" vertical="center"/>
      <protection locked="0"/>
    </xf>
    <xf numFmtId="0" fontId="0" fillId="8" borderId="21" xfId="0" applyFill="1" applyBorder="1" applyAlignment="1" applyProtection="1">
      <alignment horizontal="center" vertical="center"/>
      <protection locked="0"/>
    </xf>
    <xf numFmtId="0" fontId="6" fillId="0" borderId="21" xfId="0" applyFont="1" applyBorder="1" applyAlignment="1" applyProtection="1">
      <alignment horizontal="center" vertical="center" wrapText="1"/>
      <protection locked="0"/>
    </xf>
    <xf numFmtId="0" fontId="6" fillId="0" borderId="21" xfId="0" applyFont="1" applyBorder="1" applyAlignment="1" applyProtection="1">
      <alignment horizontal="center" vertical="center"/>
      <protection locked="0"/>
    </xf>
    <xf numFmtId="0" fontId="0" fillId="0" borderId="21" xfId="0"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0" fillId="9" borderId="21" xfId="0" applyFill="1" applyBorder="1" applyAlignment="1" applyProtection="1">
      <alignment horizontal="center" vertical="center"/>
      <protection locked="0"/>
    </xf>
    <xf numFmtId="0" fontId="0" fillId="16" borderId="21" xfId="0" applyFill="1" applyBorder="1" applyAlignment="1" applyProtection="1">
      <alignment horizontal="center" vertical="center"/>
      <protection locked="0"/>
    </xf>
    <xf numFmtId="0" fontId="26" fillId="10" borderId="21" xfId="0" applyFont="1" applyFill="1" applyBorder="1" applyAlignment="1" applyProtection="1">
      <alignment horizontal="center" vertical="center"/>
      <protection locked="0"/>
    </xf>
    <xf numFmtId="0" fontId="26" fillId="11" borderId="21" xfId="0" applyFont="1" applyFill="1" applyBorder="1" applyAlignment="1" applyProtection="1">
      <alignment horizontal="center" vertical="center"/>
      <protection locked="0"/>
    </xf>
    <xf numFmtId="0" fontId="0" fillId="2" borderId="18" xfId="0" applyFill="1" applyBorder="1" applyAlignment="1" applyProtection="1">
      <alignment horizontal="center" vertical="center"/>
      <protection locked="0"/>
    </xf>
    <xf numFmtId="0" fontId="26" fillId="11" borderId="18" xfId="0" applyFont="1" applyFill="1"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6" fillId="0" borderId="18" xfId="0" applyFont="1" applyBorder="1" applyAlignment="1" applyProtection="1">
      <alignment horizontal="center" vertical="center" wrapText="1"/>
      <protection locked="0"/>
    </xf>
    <xf numFmtId="0" fontId="6" fillId="0" borderId="18" xfId="0" applyFont="1" applyBorder="1" applyAlignment="1" applyProtection="1">
      <alignment horizontal="center" vertical="center"/>
      <protection locked="0"/>
    </xf>
    <xf numFmtId="0" fontId="0" fillId="0" borderId="18"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8" borderId="16" xfId="0" applyFill="1"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6" fillId="0" borderId="16" xfId="0" applyFont="1" applyBorder="1" applyAlignment="1" applyProtection="1">
      <alignment horizontal="center" vertical="center" wrapText="1"/>
      <protection locked="0"/>
    </xf>
    <xf numFmtId="0" fontId="6" fillId="0" borderId="16" xfId="0" applyFont="1" applyBorder="1" applyAlignment="1" applyProtection="1">
      <alignment horizontal="center" vertical="center"/>
      <protection locked="0"/>
    </xf>
    <xf numFmtId="0" fontId="0" fillId="0" borderId="16" xfId="0" applyBorder="1" applyAlignment="1" applyProtection="1">
      <alignment horizontal="center" vertical="center" wrapText="1"/>
      <protection locked="0"/>
    </xf>
    <xf numFmtId="0" fontId="0" fillId="0" borderId="6" xfId="0" applyBorder="1" applyAlignment="1" applyProtection="1">
      <alignment horizontal="center" vertical="center"/>
      <protection locked="0"/>
    </xf>
    <xf numFmtId="0" fontId="0" fillId="3" borderId="21" xfId="0" applyFill="1" applyBorder="1" applyAlignment="1" applyProtection="1">
      <alignment horizontal="center" vertical="center"/>
      <protection locked="0"/>
    </xf>
    <xf numFmtId="0" fontId="0" fillId="4" borderId="21" xfId="0" applyFill="1" applyBorder="1" applyAlignment="1" applyProtection="1">
      <alignment horizontal="center" vertical="center"/>
      <protection locked="0"/>
    </xf>
    <xf numFmtId="0" fontId="6" fillId="16" borderId="21" xfId="0" applyFont="1" applyFill="1" applyBorder="1" applyAlignment="1" applyProtection="1">
      <alignment horizontal="center" vertical="center"/>
      <protection locked="0"/>
    </xf>
    <xf numFmtId="0" fontId="23" fillId="0" borderId="21" xfId="0" applyFont="1" applyBorder="1" applyAlignment="1" applyProtection="1">
      <alignment horizontal="center" vertical="center" wrapText="1"/>
      <protection locked="0"/>
    </xf>
    <xf numFmtId="0" fontId="6" fillId="15" borderId="0" xfId="0" applyFont="1" applyFill="1"/>
    <xf numFmtId="0" fontId="6" fillId="0" borderId="0" xfId="0" applyFont="1"/>
    <xf numFmtId="0" fontId="2" fillId="0" borderId="5" xfId="0" applyFont="1" applyBorder="1" applyAlignment="1" applyProtection="1">
      <alignment horizontal="center"/>
      <protection locked="0"/>
    </xf>
    <xf numFmtId="0" fontId="2" fillId="0" borderId="17" xfId="0" applyFont="1" applyBorder="1" applyAlignment="1" applyProtection="1">
      <alignment wrapText="1"/>
      <protection locked="0"/>
    </xf>
    <xf numFmtId="0" fontId="2" fillId="0" borderId="17" xfId="0" applyFont="1" applyBorder="1" applyProtection="1">
      <protection locked="0"/>
    </xf>
    <xf numFmtId="0" fontId="2" fillId="0" borderId="4" xfId="0" applyFont="1" applyBorder="1" applyAlignment="1" applyProtection="1">
      <alignment wrapText="1"/>
      <protection locked="0"/>
    </xf>
    <xf numFmtId="0" fontId="2" fillId="0" borderId="0" xfId="0" applyFont="1" applyAlignment="1" applyProtection="1">
      <alignment wrapText="1"/>
      <protection locked="0"/>
    </xf>
    <xf numFmtId="0" fontId="2" fillId="0" borderId="5" xfId="0" applyFont="1" applyBorder="1" applyAlignment="1" applyProtection="1">
      <alignment wrapText="1"/>
      <protection locked="0"/>
    </xf>
    <xf numFmtId="0" fontId="2" fillId="0" borderId="4" xfId="0" applyFont="1" applyBorder="1" applyProtection="1">
      <protection locked="0"/>
    </xf>
    <xf numFmtId="0" fontId="0" fillId="0" borderId="20" xfId="0" applyBorder="1" applyAlignment="1" applyProtection="1">
      <alignment horizontal="center" vertical="center"/>
      <protection locked="0"/>
    </xf>
    <xf numFmtId="0" fontId="0" fillId="0" borderId="0" xfId="0" applyAlignment="1" applyProtection="1">
      <alignment horizontal="center" vertical="center"/>
      <protection locked="0"/>
    </xf>
    <xf numFmtId="0" fontId="38" fillId="0" borderId="0" xfId="0" applyFont="1" applyAlignment="1">
      <alignment wrapText="1"/>
    </xf>
    <xf numFmtId="0" fontId="39" fillId="24" borderId="0" xfId="0" applyFont="1" applyFill="1"/>
    <xf numFmtId="0" fontId="1" fillId="0" borderId="42" xfId="1" applyBorder="1" applyAlignment="1">
      <alignment horizontal="center"/>
    </xf>
    <xf numFmtId="0" fontId="1" fillId="0" borderId="0" xfId="1" applyAlignment="1">
      <alignment horizontal="center" vertical="top" wrapText="1"/>
    </xf>
    <xf numFmtId="0" fontId="3" fillId="0" borderId="0" xfId="0" applyFont="1" applyAlignment="1">
      <alignment horizontal="center"/>
    </xf>
    <xf numFmtId="0" fontId="0" fillId="30" borderId="0" xfId="0" applyFill="1"/>
    <xf numFmtId="0" fontId="0" fillId="14" borderId="0" xfId="0" applyFill="1"/>
    <xf numFmtId="0" fontId="0" fillId="31" borderId="0" xfId="0" applyFill="1"/>
    <xf numFmtId="0" fontId="16" fillId="0" borderId="0" xfId="0" applyFont="1"/>
    <xf numFmtId="0" fontId="6" fillId="27" borderId="0" xfId="0" applyFont="1" applyFill="1"/>
    <xf numFmtId="0" fontId="0" fillId="32" borderId="0" xfId="0" applyFill="1"/>
    <xf numFmtId="0" fontId="41" fillId="0" borderId="33" xfId="0" applyFont="1" applyBorder="1" applyAlignment="1">
      <alignment wrapText="1"/>
    </xf>
    <xf numFmtId="0" fontId="41" fillId="0" borderId="8" xfId="0" applyFont="1" applyBorder="1" applyAlignment="1">
      <alignment wrapText="1"/>
    </xf>
    <xf numFmtId="0" fontId="42" fillId="0" borderId="38" xfId="0" quotePrefix="1" applyFont="1" applyBorder="1" applyAlignment="1">
      <alignment wrapText="1"/>
    </xf>
    <xf numFmtId="0" fontId="7" fillId="17" borderId="0" xfId="0" applyFont="1" applyFill="1"/>
    <xf numFmtId="0" fontId="3" fillId="17" borderId="0" xfId="0" applyFont="1" applyFill="1"/>
    <xf numFmtId="0" fontId="31" fillId="0" borderId="0" xfId="2"/>
    <xf numFmtId="0" fontId="31" fillId="0" borderId="0" xfId="2" applyAlignment="1"/>
    <xf numFmtId="0" fontId="44" fillId="0" borderId="0" xfId="2" applyFont="1" applyAlignment="1"/>
    <xf numFmtId="0" fontId="46" fillId="0" borderId="18" xfId="0" applyFont="1" applyBorder="1"/>
    <xf numFmtId="0" fontId="47" fillId="0" borderId="0" xfId="0" applyFont="1"/>
    <xf numFmtId="0" fontId="18" fillId="14" borderId="4" xfId="0" applyFont="1" applyFill="1" applyBorder="1" applyAlignment="1">
      <alignment horizontal="center" wrapText="1"/>
    </xf>
    <xf numFmtId="0" fontId="18" fillId="8" borderId="17" xfId="0" applyFont="1" applyFill="1" applyBorder="1" applyAlignment="1">
      <alignment horizontal="center" wrapText="1"/>
    </xf>
    <xf numFmtId="0" fontId="46" fillId="0" borderId="3" xfId="0" quotePrefix="1" applyFont="1" applyBorder="1" applyAlignment="1">
      <alignment wrapText="1"/>
    </xf>
    <xf numFmtId="0" fontId="44" fillId="0" borderId="0" xfId="0" applyFont="1"/>
    <xf numFmtId="0" fontId="6" fillId="15" borderId="21" xfId="0" applyFont="1" applyFill="1" applyBorder="1" applyAlignment="1">
      <alignment horizontal="center" vertical="center"/>
    </xf>
    <xf numFmtId="0" fontId="6" fillId="15" borderId="18" xfId="0" applyFont="1" applyFill="1" applyBorder="1" applyAlignment="1">
      <alignment horizontal="center" vertical="center"/>
    </xf>
    <xf numFmtId="0" fontId="6" fillId="15" borderId="16" xfId="0" applyFont="1" applyFill="1" applyBorder="1" applyAlignment="1">
      <alignment horizontal="center" vertical="center"/>
    </xf>
    <xf numFmtId="0" fontId="2" fillId="33" borderId="17" xfId="0" applyFont="1" applyFill="1" applyBorder="1" applyProtection="1">
      <protection locked="0"/>
    </xf>
    <xf numFmtId="0" fontId="0" fillId="14" borderId="4" xfId="0" applyFill="1" applyBorder="1"/>
    <xf numFmtId="0" fontId="0" fillId="14" borderId="29" xfId="0" applyFill="1" applyBorder="1"/>
    <xf numFmtId="0" fontId="18" fillId="9" borderId="29" xfId="0" applyFont="1" applyFill="1" applyBorder="1" applyAlignment="1">
      <alignment wrapText="1"/>
    </xf>
    <xf numFmtId="0" fontId="0" fillId="0" borderId="29" xfId="0" quotePrefix="1" applyBorder="1" applyAlignment="1">
      <alignment horizontal="left" wrapText="1"/>
    </xf>
    <xf numFmtId="0" fontId="0" fillId="0" borderId="29" xfId="0" applyBorder="1" applyAlignment="1">
      <alignment horizontal="left" wrapText="1"/>
    </xf>
    <xf numFmtId="0" fontId="6" fillId="0" borderId="29" xfId="0" applyFont="1" applyBorder="1" applyAlignment="1">
      <alignment horizontal="left" wrapText="1"/>
    </xf>
    <xf numFmtId="0" fontId="46" fillId="0" borderId="29" xfId="0" applyFont="1" applyBorder="1"/>
    <xf numFmtId="0" fontId="21" fillId="0" borderId="30" xfId="0" quotePrefix="1" applyFont="1" applyBorder="1" applyAlignment="1">
      <alignment wrapText="1"/>
    </xf>
    <xf numFmtId="0" fontId="19" fillId="0" borderId="29" xfId="0" applyFont="1" applyBorder="1"/>
    <xf numFmtId="0" fontId="20" fillId="0" borderId="29" xfId="0" applyFont="1" applyBorder="1" applyAlignment="1">
      <alignment wrapText="1"/>
    </xf>
    <xf numFmtId="0" fontId="0" fillId="0" borderId="30" xfId="0" quotePrefix="1" applyBorder="1" applyAlignment="1">
      <alignment wrapText="1"/>
    </xf>
    <xf numFmtId="0" fontId="0" fillId="0" borderId="29" xfId="0" quotePrefix="1" applyBorder="1" applyAlignment="1">
      <alignment wrapText="1"/>
    </xf>
    <xf numFmtId="0" fontId="0" fillId="0" borderId="29" xfId="0" quotePrefix="1" applyBorder="1" applyAlignment="1">
      <alignment horizontal="center" wrapText="1"/>
    </xf>
    <xf numFmtId="0" fontId="3" fillId="0" borderId="43" xfId="0" applyFont="1" applyBorder="1" applyAlignment="1">
      <alignment vertical="center"/>
    </xf>
    <xf numFmtId="0" fontId="0" fillId="0" borderId="45" xfId="0" applyBorder="1"/>
    <xf numFmtId="0" fontId="0" fillId="0" borderId="3" xfId="0"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3" borderId="46" xfId="0" applyFill="1" applyBorder="1" applyAlignment="1" applyProtection="1">
      <alignment horizontal="center" vertical="center"/>
      <protection locked="0"/>
    </xf>
    <xf numFmtId="0" fontId="0" fillId="8" borderId="46" xfId="0" applyFill="1" applyBorder="1" applyAlignment="1" applyProtection="1">
      <alignment horizontal="center" vertical="center"/>
      <protection locked="0"/>
    </xf>
    <xf numFmtId="0" fontId="0" fillId="0" borderId="46" xfId="0" applyBorder="1" applyAlignment="1" applyProtection="1">
      <alignment horizontal="center" vertical="center"/>
      <protection locked="0"/>
    </xf>
    <xf numFmtId="0" fontId="6" fillId="15" borderId="46" xfId="0" applyFont="1" applyFill="1" applyBorder="1" applyAlignment="1">
      <alignment horizontal="center" vertical="center"/>
    </xf>
    <xf numFmtId="0" fontId="6" fillId="0" borderId="46" xfId="0" applyFont="1" applyBorder="1" applyAlignment="1" applyProtection="1">
      <alignment horizontal="center" vertical="center" wrapText="1"/>
      <protection locked="0"/>
    </xf>
    <xf numFmtId="0" fontId="6" fillId="0" borderId="46" xfId="0" applyFont="1" applyBorder="1" applyAlignment="1" applyProtection="1">
      <alignment horizontal="center" vertical="center"/>
      <protection locked="0"/>
    </xf>
    <xf numFmtId="0" fontId="0" fillId="0" borderId="46" xfId="0" applyBorder="1" applyAlignment="1" applyProtection="1">
      <alignment horizontal="center" vertical="center" wrapText="1"/>
      <protection locked="0"/>
    </xf>
    <xf numFmtId="0" fontId="0" fillId="0" borderId="47" xfId="0" applyBorder="1" applyAlignment="1" applyProtection="1">
      <alignment horizontal="center" vertical="center"/>
      <protection locked="0"/>
    </xf>
    <xf numFmtId="0" fontId="0" fillId="0" borderId="48" xfId="0" applyBorder="1"/>
    <xf numFmtId="0" fontId="0" fillId="0" borderId="46" xfId="0" applyBorder="1"/>
    <xf numFmtId="0" fontId="48" fillId="0" borderId="21" xfId="0" applyFont="1" applyBorder="1" applyAlignment="1" applyProtection="1">
      <alignment horizontal="center" vertical="center" wrapText="1"/>
      <protection locked="0"/>
    </xf>
    <xf numFmtId="0" fontId="3" fillId="0" borderId="21" xfId="0" applyFont="1" applyBorder="1" applyAlignment="1" applyProtection="1">
      <alignment horizontal="center" vertical="center" wrapText="1"/>
      <protection locked="0"/>
    </xf>
    <xf numFmtId="0" fontId="48" fillId="0" borderId="18" xfId="0" applyFont="1" applyBorder="1" applyAlignment="1" applyProtection="1">
      <alignment horizontal="center" vertical="center" wrapText="1"/>
      <protection locked="0"/>
    </xf>
    <xf numFmtId="0" fontId="49" fillId="0" borderId="46" xfId="0" applyFont="1" applyBorder="1" applyAlignment="1" applyProtection="1">
      <alignment horizontal="center" vertical="center" wrapText="1"/>
      <protection locked="0"/>
    </xf>
    <xf numFmtId="0" fontId="3" fillId="0" borderId="16" xfId="0" applyFont="1" applyBorder="1" applyAlignment="1" applyProtection="1">
      <alignment horizontal="center" vertical="center"/>
      <protection locked="0"/>
    </xf>
    <xf numFmtId="0" fontId="3" fillId="0" borderId="21" xfId="0" applyFont="1" applyBorder="1" applyAlignment="1" applyProtection="1">
      <alignment horizontal="center" vertical="center"/>
      <protection locked="0"/>
    </xf>
    <xf numFmtId="0" fontId="7" fillId="0" borderId="21" xfId="0" applyFont="1" applyBorder="1" applyAlignment="1" applyProtection="1">
      <alignment horizontal="center" vertical="center"/>
      <protection locked="0"/>
    </xf>
    <xf numFmtId="0" fontId="3" fillId="0" borderId="21" xfId="0" applyFont="1" applyBorder="1" applyAlignment="1">
      <alignment wrapText="1"/>
    </xf>
    <xf numFmtId="0" fontId="0" fillId="34" borderId="21" xfId="0" applyFill="1" applyBorder="1" applyAlignment="1" applyProtection="1">
      <alignment horizontal="center" vertical="center"/>
      <protection locked="0"/>
    </xf>
    <xf numFmtId="0" fontId="3" fillId="34" borderId="21" xfId="0" applyFont="1" applyFill="1" applyBorder="1" applyAlignment="1" applyProtection="1">
      <alignment horizontal="center" vertical="center"/>
      <protection locked="0"/>
    </xf>
    <xf numFmtId="0" fontId="3" fillId="3" borderId="46" xfId="0" applyFont="1" applyFill="1" applyBorder="1" applyAlignment="1" applyProtection="1">
      <alignment horizontal="center" vertical="center"/>
      <protection locked="0"/>
    </xf>
    <xf numFmtId="0" fontId="3" fillId="3" borderId="17" xfId="0" applyFont="1" applyFill="1" applyBorder="1" applyAlignment="1" applyProtection="1">
      <alignment horizontal="center" vertical="center"/>
      <protection locked="0"/>
    </xf>
    <xf numFmtId="0" fontId="3" fillId="3" borderId="18" xfId="0" applyFont="1" applyFill="1" applyBorder="1" applyAlignment="1" applyProtection="1">
      <alignment horizontal="center" vertical="center"/>
      <protection locked="0"/>
    </xf>
    <xf numFmtId="0" fontId="3" fillId="4" borderId="18" xfId="0" applyFont="1" applyFill="1" applyBorder="1" applyAlignment="1" applyProtection="1">
      <alignment horizontal="center" vertical="center"/>
      <protection locked="0"/>
    </xf>
    <xf numFmtId="0" fontId="3" fillId="35" borderId="21" xfId="0" applyFont="1" applyFill="1" applyBorder="1" applyAlignment="1" applyProtection="1">
      <alignment horizontal="center" vertical="center"/>
      <protection locked="0"/>
    </xf>
    <xf numFmtId="0" fontId="0" fillId="34" borderId="20" xfId="0" applyFill="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0" fillId="35" borderId="21" xfId="0" applyFill="1" applyBorder="1" applyAlignment="1" applyProtection="1">
      <alignment horizontal="center" vertical="center"/>
      <protection locked="0"/>
    </xf>
    <xf numFmtId="0" fontId="44" fillId="8" borderId="21" xfId="0" applyFont="1" applyFill="1" applyBorder="1" applyAlignment="1" applyProtection="1">
      <alignment horizontal="center" vertical="center"/>
      <protection locked="0"/>
    </xf>
    <xf numFmtId="0" fontId="5" fillId="0" borderId="32" xfId="0" applyFont="1" applyBorder="1" applyAlignment="1">
      <alignment wrapText="1"/>
    </xf>
    <xf numFmtId="0" fontId="3" fillId="0" borderId="18" xfId="0" applyFont="1" applyBorder="1" applyAlignment="1" applyProtection="1">
      <alignment horizontal="center" vertical="center" wrapText="1"/>
      <protection locked="0"/>
    </xf>
    <xf numFmtId="0" fontId="3" fillId="3" borderId="21" xfId="0" applyFont="1" applyFill="1" applyBorder="1" applyAlignment="1" applyProtection="1">
      <alignment horizontal="center" vertical="center"/>
      <protection locked="0"/>
    </xf>
    <xf numFmtId="0" fontId="0" fillId="3" borderId="18" xfId="0" applyFill="1" applyBorder="1" applyAlignment="1" applyProtection="1">
      <alignment horizontal="center" vertical="center"/>
      <protection locked="0"/>
    </xf>
    <xf numFmtId="0" fontId="26" fillId="10" borderId="18" xfId="0" applyFont="1" applyFill="1" applyBorder="1" applyAlignment="1" applyProtection="1">
      <alignment horizontal="center" vertical="center"/>
      <protection locked="0"/>
    </xf>
    <xf numFmtId="0" fontId="26" fillId="10" borderId="16" xfId="0" applyFont="1" applyFill="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0" fontId="0" fillId="35" borderId="20" xfId="0" applyFill="1" applyBorder="1" applyAlignment="1" applyProtection="1">
      <alignment horizontal="center" vertical="center"/>
      <protection locked="0"/>
    </xf>
    <xf numFmtId="0" fontId="6" fillId="0" borderId="21" xfId="0" applyFont="1" applyBorder="1" applyAlignment="1">
      <alignment horizontal="center" vertical="center"/>
    </xf>
    <xf numFmtId="0" fontId="0" fillId="0" borderId="20" xfId="0" applyBorder="1" applyAlignment="1" applyProtection="1">
      <alignment horizontal="center" vertical="center" wrapText="1"/>
      <protection locked="0"/>
    </xf>
    <xf numFmtId="0" fontId="3" fillId="35" borderId="21" xfId="0" applyFont="1" applyFill="1" applyBorder="1" applyAlignment="1">
      <alignment horizontal="center" vertical="center"/>
    </xf>
    <xf numFmtId="0" fontId="0" fillId="35" borderId="21" xfId="0" applyFill="1" applyBorder="1" applyAlignment="1">
      <alignment horizontal="center" vertical="center"/>
    </xf>
    <xf numFmtId="0" fontId="0" fillId="9" borderId="21" xfId="0" applyFill="1" applyBorder="1" applyAlignment="1">
      <alignment horizontal="center" vertical="center"/>
    </xf>
    <xf numFmtId="0" fontId="0" fillId="29" borderId="21" xfId="0" applyFill="1" applyBorder="1" applyAlignment="1">
      <alignment horizontal="center" vertical="center"/>
    </xf>
    <xf numFmtId="0" fontId="6" fillId="29" borderId="21" xfId="0" applyFont="1" applyFill="1" applyBorder="1" applyAlignment="1">
      <alignment horizontal="center" vertical="center" wrapText="1"/>
    </xf>
    <xf numFmtId="0" fontId="6" fillId="29" borderId="21" xfId="0" applyFont="1" applyFill="1" applyBorder="1" applyAlignment="1">
      <alignment horizontal="center" vertical="center"/>
    </xf>
    <xf numFmtId="0" fontId="3" fillId="29" borderId="21" xfId="0" applyFont="1" applyFill="1" applyBorder="1" applyAlignment="1">
      <alignment horizontal="left" vertical="top" wrapText="1"/>
    </xf>
    <xf numFmtId="0" fontId="52" fillId="29" borderId="21" xfId="0" applyFont="1" applyFill="1" applyBorder="1" applyAlignment="1">
      <alignment horizontal="left" vertical="top" wrapText="1"/>
    </xf>
    <xf numFmtId="0" fontId="0" fillId="29" borderId="21" xfId="0" applyFill="1" applyBorder="1" applyAlignment="1">
      <alignment horizontal="left" vertical="top" wrapText="1"/>
    </xf>
    <xf numFmtId="0" fontId="0" fillId="29" borderId="21" xfId="0" applyFill="1" applyBorder="1" applyAlignment="1" applyProtection="1">
      <alignment horizontal="center" vertical="center"/>
      <protection locked="0"/>
    </xf>
    <xf numFmtId="0" fontId="6" fillId="29" borderId="21" xfId="0" applyFont="1" applyFill="1" applyBorder="1" applyAlignment="1" applyProtection="1">
      <alignment horizontal="center" vertical="center" wrapText="1"/>
      <protection locked="0"/>
    </xf>
    <xf numFmtId="0" fontId="6" fillId="29" borderId="21" xfId="0" applyFont="1" applyFill="1" applyBorder="1" applyAlignment="1" applyProtection="1">
      <alignment horizontal="center" vertical="center"/>
      <protection locked="0"/>
    </xf>
    <xf numFmtId="0" fontId="6" fillId="29" borderId="22" xfId="0" applyFont="1" applyFill="1" applyBorder="1" applyAlignment="1" applyProtection="1">
      <alignment horizontal="center" vertical="center"/>
      <protection locked="0"/>
    </xf>
    <xf numFmtId="0" fontId="52" fillId="0" borderId="20" xfId="0" applyFont="1" applyBorder="1" applyAlignment="1" applyProtection="1">
      <alignment horizontal="center" vertical="center" wrapText="1"/>
      <protection locked="0"/>
    </xf>
    <xf numFmtId="0" fontId="0" fillId="29" borderId="21" xfId="0" applyFill="1" applyBorder="1" applyAlignment="1" applyProtection="1">
      <alignment horizontal="center" vertical="center" wrapText="1"/>
      <protection locked="0"/>
    </xf>
    <xf numFmtId="0" fontId="26" fillId="10" borderId="21" xfId="0" applyFont="1" applyFill="1" applyBorder="1" applyAlignment="1">
      <alignment horizontal="center" vertical="center"/>
    </xf>
    <xf numFmtId="0" fontId="50" fillId="29" borderId="0" xfId="0" applyFont="1" applyFill="1" applyAlignment="1">
      <alignment horizontal="left" vertical="top" wrapText="1"/>
    </xf>
    <xf numFmtId="0" fontId="0" fillId="29" borderId="0" xfId="0" applyFill="1"/>
    <xf numFmtId="0" fontId="3" fillId="29" borderId="21" xfId="0" applyFont="1" applyFill="1" applyBorder="1" applyAlignment="1" applyProtection="1">
      <alignment horizontal="center" vertical="center"/>
      <protection locked="0"/>
    </xf>
    <xf numFmtId="0" fontId="0" fillId="29" borderId="20" xfId="0" applyFill="1" applyBorder="1" applyAlignment="1" applyProtection="1">
      <alignment horizontal="center" vertical="center"/>
      <protection locked="0"/>
    </xf>
    <xf numFmtId="0" fontId="6" fillId="29" borderId="22" xfId="0" applyFont="1" applyFill="1" applyBorder="1" applyAlignment="1" applyProtection="1">
      <alignment horizontal="center" vertical="center" wrapText="1"/>
      <protection locked="0"/>
    </xf>
    <xf numFmtId="0" fontId="50" fillId="0" borderId="21" xfId="0" applyFont="1" applyBorder="1" applyAlignment="1" applyProtection="1">
      <alignment horizontal="center" vertical="center" wrapText="1"/>
      <protection locked="0"/>
    </xf>
    <xf numFmtId="0" fontId="3" fillId="29" borderId="18" xfId="0" applyFont="1" applyFill="1" applyBorder="1" applyAlignment="1" applyProtection="1">
      <alignment horizontal="center" vertical="center"/>
      <protection locked="0"/>
    </xf>
    <xf numFmtId="0" fontId="0" fillId="29" borderId="3" xfId="0" applyFill="1" applyBorder="1" applyAlignment="1" applyProtection="1">
      <alignment horizontal="center" vertical="center"/>
      <protection locked="0"/>
    </xf>
    <xf numFmtId="0" fontId="0" fillId="29" borderId="18" xfId="0" applyFill="1" applyBorder="1" applyAlignment="1" applyProtection="1">
      <alignment horizontal="center" vertical="center"/>
      <protection locked="0"/>
    </xf>
    <xf numFmtId="0" fontId="6" fillId="0" borderId="18" xfId="0" applyFont="1" applyBorder="1" applyAlignment="1">
      <alignment horizontal="center" vertical="center"/>
    </xf>
    <xf numFmtId="0" fontId="6" fillId="29" borderId="18" xfId="0" applyFont="1" applyFill="1" applyBorder="1" applyAlignment="1" applyProtection="1">
      <alignment horizontal="center" vertical="center" wrapText="1"/>
      <protection locked="0"/>
    </xf>
    <xf numFmtId="0" fontId="6" fillId="29" borderId="18" xfId="0" applyFont="1" applyFill="1" applyBorder="1" applyAlignment="1" applyProtection="1">
      <alignment horizontal="center" vertical="center"/>
      <protection locked="0"/>
    </xf>
    <xf numFmtId="0" fontId="6" fillId="29" borderId="1" xfId="0" applyFont="1" applyFill="1" applyBorder="1" applyAlignment="1" applyProtection="1">
      <alignment horizontal="center" vertical="center"/>
      <protection locked="0"/>
    </xf>
    <xf numFmtId="0" fontId="0" fillId="0" borderId="3" xfId="0" applyBorder="1" applyAlignment="1" applyProtection="1">
      <alignment horizontal="center" vertical="center" wrapText="1"/>
      <protection locked="0"/>
    </xf>
    <xf numFmtId="0" fontId="0" fillId="29" borderId="18" xfId="0" applyFill="1" applyBorder="1" applyAlignment="1" applyProtection="1">
      <alignment horizontal="center" vertical="center" wrapText="1"/>
      <protection locked="0"/>
    </xf>
    <xf numFmtId="0" fontId="11" fillId="0" borderId="18"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18" xfId="0" quotePrefix="1" applyFont="1" applyBorder="1" applyAlignment="1">
      <alignment horizontal="center" vertical="center" wrapText="1"/>
    </xf>
    <xf numFmtId="0" fontId="30" fillId="0" borderId="22" xfId="0" applyFont="1" applyBorder="1" applyAlignment="1">
      <alignment horizontal="center" vertical="center" wrapText="1"/>
    </xf>
    <xf numFmtId="0" fontId="0" fillId="0" borderId="0" xfId="0" applyAlignment="1">
      <alignment horizontal="center" vertical="center"/>
    </xf>
    <xf numFmtId="0" fontId="30" fillId="0" borderId="1" xfId="0" applyFont="1" applyBorder="1" applyAlignment="1">
      <alignment horizontal="center" vertical="center"/>
    </xf>
    <xf numFmtId="0" fontId="30" fillId="0" borderId="20" xfId="0" applyFont="1" applyBorder="1" applyAlignment="1">
      <alignment horizontal="center" vertical="center"/>
    </xf>
    <xf numFmtId="0" fontId="0" fillId="0" borderId="31" xfId="0" applyBorder="1" applyAlignment="1">
      <alignment horizontal="center" vertical="center"/>
    </xf>
    <xf numFmtId="0" fontId="30" fillId="0" borderId="5" xfId="0" applyFont="1" applyBorder="1" applyAlignment="1">
      <alignment horizontal="center" vertical="center"/>
    </xf>
    <xf numFmtId="0" fontId="30" fillId="0" borderId="18" xfId="0" applyFont="1" applyBorder="1" applyAlignment="1">
      <alignment horizontal="center" vertical="center"/>
    </xf>
    <xf numFmtId="0" fontId="30" fillId="0" borderId="18"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18" xfId="0" quotePrefix="1" applyFont="1" applyBorder="1" applyAlignment="1">
      <alignment horizontal="center" vertical="center" wrapText="1"/>
    </xf>
    <xf numFmtId="0" fontId="30" fillId="0" borderId="5"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17" xfId="0" quotePrefix="1" applyFont="1" applyBorder="1" applyAlignment="1">
      <alignment horizontal="center" vertical="center" wrapText="1"/>
    </xf>
    <xf numFmtId="0" fontId="6" fillId="18" borderId="0" xfId="0" applyFont="1" applyFill="1" applyAlignment="1">
      <alignment horizontal="left" vertical="center"/>
    </xf>
    <xf numFmtId="0" fontId="6" fillId="18" borderId="0" xfId="0" applyFont="1" applyFill="1" applyAlignment="1">
      <alignment wrapText="1"/>
    </xf>
    <xf numFmtId="0" fontId="53" fillId="24" borderId="21" xfId="0" applyFont="1" applyFill="1" applyBorder="1" applyAlignment="1" applyProtection="1">
      <alignment horizontal="center" vertical="center"/>
      <protection locked="0"/>
    </xf>
    <xf numFmtId="0" fontId="53" fillId="36" borderId="21" xfId="0" applyFont="1" applyFill="1" applyBorder="1" applyAlignment="1" applyProtection="1">
      <alignment horizontal="center" vertical="center"/>
      <protection locked="0"/>
    </xf>
    <xf numFmtId="0" fontId="53" fillId="42" borderId="21" xfId="0" applyFont="1" applyFill="1" applyBorder="1" applyAlignment="1" applyProtection="1">
      <alignment horizontal="center" vertical="center"/>
      <protection locked="0"/>
    </xf>
    <xf numFmtId="0" fontId="53" fillId="43" borderId="21" xfId="0" applyFont="1" applyFill="1" applyBorder="1" applyAlignment="1" applyProtection="1">
      <alignment horizontal="center" vertical="center"/>
      <protection locked="0"/>
    </xf>
    <xf numFmtId="0" fontId="53" fillId="44" borderId="21" xfId="0" applyFont="1" applyFill="1" applyBorder="1" applyAlignment="1" applyProtection="1">
      <alignment horizontal="center" vertical="center"/>
      <protection locked="0"/>
    </xf>
    <xf numFmtId="0" fontId="53" fillId="45" borderId="21" xfId="0" applyFont="1" applyFill="1" applyBorder="1" applyAlignment="1" applyProtection="1">
      <alignment horizontal="center" vertical="center"/>
      <protection locked="0"/>
    </xf>
    <xf numFmtId="0" fontId="53" fillId="46" borderId="21" xfId="0" applyFont="1" applyFill="1" applyBorder="1" applyAlignment="1" applyProtection="1">
      <alignment horizontal="center" vertical="center"/>
      <protection locked="0"/>
    </xf>
    <xf numFmtId="0" fontId="53" fillId="47" borderId="21" xfId="0" applyFont="1" applyFill="1" applyBorder="1" applyAlignment="1" applyProtection="1">
      <alignment horizontal="center" vertical="center"/>
      <protection locked="0"/>
    </xf>
    <xf numFmtId="0" fontId="53" fillId="48" borderId="21" xfId="0" applyFont="1" applyFill="1" applyBorder="1" applyAlignment="1" applyProtection="1">
      <alignment horizontal="center" vertical="center"/>
      <protection locked="0"/>
    </xf>
    <xf numFmtId="0" fontId="53" fillId="49" borderId="21" xfId="0" applyFont="1" applyFill="1" applyBorder="1" applyAlignment="1" applyProtection="1">
      <alignment horizontal="center" vertical="center"/>
      <protection locked="0"/>
    </xf>
    <xf numFmtId="0" fontId="53" fillId="50" borderId="21" xfId="0" applyFont="1" applyFill="1" applyBorder="1" applyAlignment="1" applyProtection="1">
      <alignment horizontal="center" vertical="center"/>
      <protection locked="0"/>
    </xf>
    <xf numFmtId="0" fontId="53" fillId="51" borderId="21" xfId="0" applyFont="1" applyFill="1" applyBorder="1" applyAlignment="1" applyProtection="1">
      <alignment horizontal="center" vertical="center"/>
      <protection locked="0"/>
    </xf>
    <xf numFmtId="0" fontId="55" fillId="52" borderId="21" xfId="0" applyFont="1" applyFill="1" applyBorder="1" applyAlignment="1" applyProtection="1">
      <alignment horizontal="center" vertical="center"/>
      <protection locked="0"/>
    </xf>
    <xf numFmtId="0" fontId="53" fillId="36" borderId="20" xfId="0" applyFont="1" applyFill="1" applyBorder="1" applyAlignment="1" applyProtection="1">
      <alignment horizontal="center" vertical="center"/>
      <protection locked="0"/>
    </xf>
    <xf numFmtId="0" fontId="53" fillId="42" borderId="20" xfId="0" applyFont="1" applyFill="1" applyBorder="1" applyAlignment="1" applyProtection="1">
      <alignment horizontal="center" vertical="center"/>
      <protection locked="0"/>
    </xf>
    <xf numFmtId="0" fontId="53" fillId="43" borderId="20" xfId="0" applyFont="1" applyFill="1" applyBorder="1" applyAlignment="1" applyProtection="1">
      <alignment horizontal="center" vertical="center"/>
      <protection locked="0"/>
    </xf>
    <xf numFmtId="0" fontId="53" fillId="44" borderId="20" xfId="0" applyFont="1" applyFill="1" applyBorder="1" applyAlignment="1" applyProtection="1">
      <alignment horizontal="center" vertical="center"/>
      <protection locked="0"/>
    </xf>
    <xf numFmtId="0" fontId="53" fillId="45" borderId="20" xfId="0" applyFont="1" applyFill="1" applyBorder="1" applyAlignment="1" applyProtection="1">
      <alignment horizontal="center" vertical="center"/>
      <protection locked="0"/>
    </xf>
    <xf numFmtId="0" fontId="53" fillId="46" borderId="20" xfId="0" applyFont="1" applyFill="1" applyBorder="1" applyAlignment="1" applyProtection="1">
      <alignment horizontal="center" vertical="center"/>
      <protection locked="0"/>
    </xf>
    <xf numFmtId="0" fontId="53" fillId="47" borderId="20" xfId="0" applyFont="1" applyFill="1" applyBorder="1" applyAlignment="1" applyProtection="1">
      <alignment horizontal="center" vertical="center"/>
      <protection locked="0"/>
    </xf>
    <xf numFmtId="0" fontId="53" fillId="48" borderId="20" xfId="0" applyFont="1" applyFill="1" applyBorder="1" applyAlignment="1" applyProtection="1">
      <alignment horizontal="center" vertical="center"/>
      <protection locked="0"/>
    </xf>
    <xf numFmtId="0" fontId="53" fillId="49" borderId="20" xfId="0" applyFont="1" applyFill="1" applyBorder="1" applyAlignment="1" applyProtection="1">
      <alignment horizontal="center" vertical="center"/>
      <protection locked="0"/>
    </xf>
    <xf numFmtId="0" fontId="53" fillId="50" borderId="20" xfId="0" applyFont="1" applyFill="1" applyBorder="1" applyAlignment="1" applyProtection="1">
      <alignment horizontal="center" vertical="center"/>
      <protection locked="0"/>
    </xf>
    <xf numFmtId="0" fontId="53" fillId="51" borderId="20" xfId="0" applyFont="1" applyFill="1" applyBorder="1" applyAlignment="1" applyProtection="1">
      <alignment horizontal="center" vertical="center"/>
      <protection locked="0"/>
    </xf>
    <xf numFmtId="0" fontId="55" fillId="52" borderId="20" xfId="0" applyFont="1" applyFill="1" applyBorder="1" applyAlignment="1" applyProtection="1">
      <alignment horizontal="center" vertical="center"/>
      <protection locked="0"/>
    </xf>
    <xf numFmtId="0" fontId="37" fillId="37" borderId="21" xfId="0" applyFont="1" applyFill="1" applyBorder="1" applyAlignment="1" applyProtection="1">
      <alignment horizontal="center" vertical="center"/>
      <protection locked="0"/>
    </xf>
    <xf numFmtId="0" fontId="37" fillId="38" borderId="21" xfId="0" applyFont="1" applyFill="1" applyBorder="1" applyAlignment="1" applyProtection="1">
      <alignment horizontal="center" vertical="center"/>
      <protection locked="0"/>
    </xf>
    <xf numFmtId="0" fontId="37" fillId="39" borderId="21" xfId="0" applyFont="1" applyFill="1" applyBorder="1" applyAlignment="1" applyProtection="1">
      <alignment horizontal="center" vertical="center"/>
      <protection locked="0"/>
    </xf>
    <xf numFmtId="0" fontId="54" fillId="40" borderId="21" xfId="0" applyFont="1" applyFill="1" applyBorder="1" applyAlignment="1" applyProtection="1">
      <alignment horizontal="center" vertical="center"/>
      <protection locked="0"/>
    </xf>
    <xf numFmtId="0" fontId="54" fillId="41" borderId="21" xfId="0" applyFont="1" applyFill="1" applyBorder="1" applyAlignment="1" applyProtection="1">
      <alignment horizontal="center" vertical="center"/>
      <protection locked="0"/>
    </xf>
    <xf numFmtId="0" fontId="6" fillId="38" borderId="21" xfId="0" applyFont="1" applyFill="1" applyBorder="1" applyAlignment="1" applyProtection="1">
      <alignment horizontal="center" vertical="center" wrapText="1"/>
      <protection locked="0"/>
    </xf>
    <xf numFmtId="0" fontId="53" fillId="0" borderId="21" xfId="0" applyFont="1" applyBorder="1" applyAlignment="1" applyProtection="1">
      <alignment horizontal="center" vertical="center" wrapText="1"/>
      <protection locked="0"/>
    </xf>
    <xf numFmtId="0" fontId="37" fillId="0" borderId="20" xfId="0" applyFont="1" applyBorder="1" applyAlignment="1" applyProtection="1">
      <alignment horizontal="center" vertical="center" wrapText="1"/>
      <protection locked="0"/>
    </xf>
    <xf numFmtId="0" fontId="37" fillId="38" borderId="21" xfId="0" applyFont="1" applyFill="1" applyBorder="1" applyAlignment="1" applyProtection="1">
      <alignment horizontal="center" vertical="center" wrapText="1"/>
      <protection locked="0"/>
    </xf>
    <xf numFmtId="0" fontId="55" fillId="52" borderId="18" xfId="0" applyFont="1" applyFill="1" applyBorder="1" applyAlignment="1" applyProtection="1">
      <alignment horizontal="center" vertical="center"/>
      <protection locked="0"/>
    </xf>
    <xf numFmtId="0" fontId="55" fillId="52" borderId="3" xfId="0" applyFont="1" applyFill="1" applyBorder="1" applyAlignment="1" applyProtection="1">
      <alignment horizontal="center" vertical="center"/>
      <protection locked="0"/>
    </xf>
    <xf numFmtId="0" fontId="54" fillId="41" borderId="18" xfId="0" applyFont="1" applyFill="1" applyBorder="1" applyAlignment="1" applyProtection="1">
      <alignment horizontal="center" vertical="center"/>
      <protection locked="0"/>
    </xf>
    <xf numFmtId="0" fontId="37" fillId="38" borderId="18" xfId="0" applyFont="1" applyFill="1" applyBorder="1" applyAlignment="1" applyProtection="1">
      <alignment horizontal="center" vertical="center"/>
      <protection locked="0"/>
    </xf>
    <xf numFmtId="0" fontId="6" fillId="38" borderId="18" xfId="0" applyFont="1" applyFill="1" applyBorder="1" applyAlignment="1" applyProtection="1">
      <alignment horizontal="center" vertical="center" wrapText="1"/>
      <protection locked="0"/>
    </xf>
    <xf numFmtId="0" fontId="37" fillId="0" borderId="3" xfId="0" applyFont="1" applyBorder="1" applyAlignment="1" applyProtection="1">
      <alignment horizontal="center" vertical="center" wrapText="1"/>
      <protection locked="0"/>
    </xf>
    <xf numFmtId="0" fontId="37" fillId="38" borderId="18" xfId="0" applyFont="1" applyFill="1" applyBorder="1" applyAlignment="1" applyProtection="1">
      <alignment horizontal="center" vertical="center" wrapText="1"/>
      <protection locked="0"/>
    </xf>
    <xf numFmtId="0" fontId="6" fillId="38" borderId="21" xfId="0" applyFont="1" applyFill="1" applyBorder="1" applyAlignment="1" applyProtection="1">
      <alignment horizontal="center" vertical="center"/>
      <protection locked="0"/>
    </xf>
    <xf numFmtId="0" fontId="6" fillId="38" borderId="22" xfId="0" applyFont="1" applyFill="1" applyBorder="1" applyAlignment="1" applyProtection="1">
      <alignment horizontal="center" vertical="center"/>
      <protection locked="0"/>
    </xf>
    <xf numFmtId="0" fontId="37" fillId="38" borderId="22" xfId="0" applyFont="1" applyFill="1" applyBorder="1" applyAlignment="1" applyProtection="1">
      <alignment horizontal="center" vertical="center"/>
      <protection locked="0"/>
    </xf>
    <xf numFmtId="0" fontId="6" fillId="38" borderId="18" xfId="0" applyFont="1" applyFill="1" applyBorder="1" applyAlignment="1" applyProtection="1">
      <alignment horizontal="center" vertical="center"/>
      <protection locked="0"/>
    </xf>
    <xf numFmtId="0" fontId="6" fillId="38" borderId="1" xfId="0" applyFont="1" applyFill="1" applyBorder="1" applyAlignment="1" applyProtection="1">
      <alignment horizontal="center" vertical="center"/>
      <protection locked="0"/>
    </xf>
    <xf numFmtId="0" fontId="37" fillId="38" borderId="1" xfId="0" applyFont="1" applyFill="1" applyBorder="1" applyAlignment="1" applyProtection="1">
      <alignment horizontal="center" vertical="center"/>
      <protection locked="0"/>
    </xf>
    <xf numFmtId="0" fontId="17" fillId="20" borderId="0" xfId="0" applyFont="1" applyFill="1"/>
    <xf numFmtId="0" fontId="17" fillId="20" borderId="31" xfId="0" applyFont="1" applyFill="1" applyBorder="1"/>
    <xf numFmtId="0" fontId="17" fillId="25" borderId="0" xfId="0" applyFont="1" applyFill="1"/>
    <xf numFmtId="0" fontId="17" fillId="25" borderId="31" xfId="0" applyFont="1" applyFill="1" applyBorder="1"/>
    <xf numFmtId="0" fontId="17" fillId="26" borderId="0" xfId="0" applyFont="1" applyFill="1"/>
    <xf numFmtId="0" fontId="17" fillId="26" borderId="36" xfId="0" applyFont="1" applyFill="1" applyBorder="1"/>
    <xf numFmtId="0" fontId="2" fillId="23" borderId="0" xfId="0" applyFont="1" applyFill="1" applyAlignment="1">
      <alignment horizontal="center" vertical="center"/>
    </xf>
    <xf numFmtId="0" fontId="3" fillId="21" borderId="0" xfId="0" applyFont="1" applyFill="1" applyAlignment="1">
      <alignment horizontal="center" vertical="center"/>
    </xf>
    <xf numFmtId="0" fontId="3" fillId="22" borderId="0" xfId="0" applyFont="1" applyFill="1" applyAlignment="1">
      <alignment horizontal="center" vertical="center"/>
    </xf>
    <xf numFmtId="0" fontId="3" fillId="18" borderId="0" xfId="0" applyFont="1" applyFill="1" applyAlignment="1">
      <alignment horizontal="center" vertical="center"/>
    </xf>
    <xf numFmtId="0" fontId="18" fillId="0" borderId="0" xfId="0" applyFont="1"/>
    <xf numFmtId="0" fontId="18" fillId="0" borderId="0" xfId="0" applyFont="1" applyAlignment="1">
      <alignment wrapText="1"/>
    </xf>
    <xf numFmtId="0" fontId="56" fillId="0" borderId="0" xfId="0" applyFont="1"/>
    <xf numFmtId="0" fontId="5" fillId="0" borderId="2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5" fillId="0" borderId="18" xfId="0" applyFont="1" applyBorder="1" applyAlignment="1" applyProtection="1">
      <alignment horizontal="center" vertical="center" wrapText="1"/>
      <protection locked="0"/>
    </xf>
    <xf numFmtId="0" fontId="0" fillId="0" borderId="18" xfId="0" quotePrefix="1" applyBorder="1" applyAlignment="1" applyProtection="1">
      <alignment horizontal="center" vertical="center" wrapText="1"/>
      <protection locked="0"/>
    </xf>
    <xf numFmtId="0" fontId="0" fillId="0" borderId="21" xfId="0" quotePrefix="1" applyBorder="1" applyAlignment="1" applyProtection="1">
      <alignment horizontal="center" vertical="center" wrapText="1"/>
      <protection locked="0"/>
    </xf>
    <xf numFmtId="0" fontId="5" fillId="0" borderId="21" xfId="0" quotePrefix="1" applyFont="1" applyBorder="1" applyAlignment="1" applyProtection="1">
      <alignment horizontal="center" vertical="center" wrapText="1"/>
      <protection locked="0"/>
    </xf>
    <xf numFmtId="0" fontId="29" fillId="37" borderId="21" xfId="0" applyFont="1" applyFill="1" applyBorder="1" applyAlignment="1" applyProtection="1">
      <alignment horizontal="center" vertical="center"/>
      <protection locked="0"/>
    </xf>
    <xf numFmtId="0" fontId="29" fillId="38" borderId="21" xfId="0" applyFont="1" applyFill="1" applyBorder="1" applyAlignment="1" applyProtection="1">
      <alignment horizontal="center" vertical="center"/>
      <protection locked="0"/>
    </xf>
    <xf numFmtId="0" fontId="29" fillId="39" borderId="21" xfId="0" applyFont="1" applyFill="1" applyBorder="1" applyAlignment="1" applyProtection="1">
      <alignment horizontal="center" vertical="center"/>
      <protection locked="0"/>
    </xf>
    <xf numFmtId="0" fontId="57" fillId="40" borderId="21" xfId="0" applyFont="1" applyFill="1" applyBorder="1" applyAlignment="1" applyProtection="1">
      <alignment horizontal="center" vertical="center"/>
      <protection locked="0"/>
    </xf>
    <xf numFmtId="0" fontId="57" fillId="41" borderId="21" xfId="0" applyFont="1" applyFill="1" applyBorder="1" applyAlignment="1" applyProtection="1">
      <alignment horizontal="center" vertical="center"/>
      <protection locked="0"/>
    </xf>
    <xf numFmtId="0" fontId="57" fillId="41" borderId="18" xfId="0" applyFont="1" applyFill="1" applyBorder="1" applyAlignment="1" applyProtection="1">
      <alignment horizontal="center" vertical="center"/>
      <protection locked="0"/>
    </xf>
    <xf numFmtId="0" fontId="29" fillId="38" borderId="18" xfId="0" applyFont="1" applyFill="1" applyBorder="1" applyAlignment="1" applyProtection="1">
      <alignment horizontal="center" vertical="center"/>
      <protection locked="0"/>
    </xf>
    <xf numFmtId="0" fontId="29" fillId="0" borderId="3" xfId="0" applyFont="1" applyBorder="1" applyAlignment="1" applyProtection="1">
      <alignment horizontal="center" vertical="center" wrapText="1"/>
      <protection locked="0"/>
    </xf>
    <xf numFmtId="0" fontId="49" fillId="0" borderId="17" xfId="0" applyFont="1" applyBorder="1" applyAlignment="1" applyProtection="1">
      <alignment horizontal="center" vertical="center" wrapText="1"/>
      <protection locked="0"/>
    </xf>
    <xf numFmtId="0" fontId="3" fillId="0" borderId="20" xfId="0" applyFont="1" applyBorder="1" applyAlignment="1" applyProtection="1">
      <alignment horizontal="center" vertical="center" wrapText="1"/>
      <protection locked="0"/>
    </xf>
    <xf numFmtId="0" fontId="50" fillId="0" borderId="20"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53" fillId="0" borderId="20" xfId="0" applyFont="1" applyBorder="1" applyAlignment="1" applyProtection="1">
      <alignment horizontal="center" vertical="center" wrapText="1"/>
      <protection locked="0"/>
    </xf>
    <xf numFmtId="0" fontId="12" fillId="0" borderId="21" xfId="0" applyFont="1" applyBorder="1"/>
    <xf numFmtId="0" fontId="11" fillId="0" borderId="32" xfId="0" applyFont="1" applyBorder="1"/>
    <xf numFmtId="0" fontId="4" fillId="0" borderId="3" xfId="0" applyFont="1" applyBorder="1" applyAlignment="1">
      <alignment vertical="center" wrapText="1"/>
    </xf>
    <xf numFmtId="0" fontId="12" fillId="0" borderId="40" xfId="0" applyFont="1" applyBorder="1" applyAlignment="1">
      <alignment vertical="center" wrapText="1"/>
    </xf>
    <xf numFmtId="0" fontId="4" fillId="0" borderId="40" xfId="0" applyFont="1" applyBorder="1" applyAlignment="1">
      <alignment vertical="center" wrapText="1"/>
    </xf>
    <xf numFmtId="0" fontId="12" fillId="0" borderId="1" xfId="0" applyFont="1" applyBorder="1" applyAlignment="1">
      <alignment vertical="center" wrapText="1"/>
    </xf>
    <xf numFmtId="0" fontId="23" fillId="0" borderId="38" xfId="0" applyFont="1" applyBorder="1"/>
    <xf numFmtId="0" fontId="61" fillId="0" borderId="3" xfId="0" applyFont="1" applyBorder="1" applyAlignment="1">
      <alignment horizontal="center" vertical="center" wrapText="1"/>
    </xf>
    <xf numFmtId="0" fontId="61" fillId="0" borderId="39" xfId="0" applyFont="1" applyBorder="1" applyAlignment="1">
      <alignment horizontal="center" vertical="center" wrapText="1"/>
    </xf>
    <xf numFmtId="0" fontId="61" fillId="0" borderId="44" xfId="0" applyFont="1" applyBorder="1" applyAlignment="1">
      <alignment horizontal="center" vertical="center" wrapText="1"/>
    </xf>
    <xf numFmtId="0" fontId="61" fillId="0" borderId="35" xfId="0" applyFont="1" applyBorder="1" applyAlignment="1">
      <alignment horizontal="center" vertical="center" wrapText="1"/>
    </xf>
    <xf numFmtId="0" fontId="61" fillId="0" borderId="18" xfId="0" applyFont="1" applyBorder="1" applyAlignment="1">
      <alignment horizontal="center" vertical="center" wrapText="1"/>
    </xf>
    <xf numFmtId="0" fontId="59" fillId="0" borderId="49" xfId="0" applyFont="1" applyBorder="1" applyAlignment="1">
      <alignment readingOrder="1"/>
    </xf>
    <xf numFmtId="0" fontId="37" fillId="53" borderId="21" xfId="0" applyFont="1" applyFill="1" applyBorder="1" applyAlignment="1" applyProtection="1">
      <alignment horizontal="center" vertical="center"/>
      <protection locked="0"/>
    </xf>
    <xf numFmtId="0" fontId="29" fillId="38" borderId="21" xfId="0" applyFont="1" applyFill="1" applyBorder="1" applyAlignment="1" applyProtection="1">
      <alignment horizontal="center" vertical="center" wrapText="1"/>
      <protection locked="0"/>
    </xf>
    <xf numFmtId="0" fontId="64" fillId="0" borderId="21" xfId="0" applyFont="1" applyBorder="1" applyAlignment="1" applyProtection="1">
      <alignment horizontal="center" vertical="center" wrapText="1"/>
      <protection locked="0"/>
    </xf>
    <xf numFmtId="0" fontId="1" fillId="0" borderId="21" xfId="0" applyFont="1" applyBorder="1" applyAlignment="1" applyProtection="1">
      <alignment horizontal="center" vertical="center" wrapText="1"/>
      <protection locked="0"/>
    </xf>
    <xf numFmtId="0" fontId="64" fillId="0" borderId="18" xfId="0" applyFont="1" applyBorder="1" applyAlignment="1" applyProtection="1">
      <alignment horizontal="center" vertical="center" wrapText="1"/>
      <protection locked="0"/>
    </xf>
    <xf numFmtId="0" fontId="1" fillId="0" borderId="18" xfId="0" applyFont="1" applyBorder="1" applyAlignment="1" applyProtection="1">
      <alignment horizontal="center" vertical="center" wrapText="1"/>
      <protection locked="0"/>
    </xf>
    <xf numFmtId="0" fontId="1" fillId="0" borderId="18" xfId="0" quotePrefix="1" applyFont="1" applyBorder="1" applyAlignment="1" applyProtection="1">
      <alignment horizontal="center" vertical="center" wrapText="1"/>
      <protection locked="0"/>
    </xf>
    <xf numFmtId="0" fontId="1" fillId="0" borderId="21" xfId="0" quotePrefix="1" applyFont="1" applyBorder="1" applyAlignment="1" applyProtection="1">
      <alignment horizontal="center" vertical="center" wrapText="1"/>
      <protection locked="0"/>
    </xf>
    <xf numFmtId="0" fontId="64" fillId="0" borderId="21" xfId="0" quotePrefix="1" applyFont="1" applyBorder="1" applyAlignment="1" applyProtection="1">
      <alignment horizontal="center" vertical="center" wrapText="1"/>
      <protection locked="0"/>
    </xf>
    <xf numFmtId="0" fontId="65" fillId="0" borderId="21" xfId="0" applyFont="1" applyBorder="1" applyAlignment="1" applyProtection="1">
      <alignment horizontal="center" vertical="center" wrapText="1"/>
      <protection locked="0"/>
    </xf>
    <xf numFmtId="0" fontId="0" fillId="53" borderId="0" xfId="0" applyFill="1" applyAlignment="1" applyProtection="1">
      <alignment horizontal="center" vertical="center"/>
      <protection locked="0"/>
    </xf>
    <xf numFmtId="0" fontId="53" fillId="53" borderId="21" xfId="0" applyFont="1" applyFill="1" applyBorder="1" applyAlignment="1" applyProtection="1">
      <alignment horizontal="center" vertical="center"/>
      <protection locked="0"/>
    </xf>
    <xf numFmtId="0" fontId="53" fillId="53" borderId="20" xfId="0" applyFont="1" applyFill="1" applyBorder="1" applyAlignment="1" applyProtection="1">
      <alignment horizontal="center" vertical="center"/>
      <protection locked="0"/>
    </xf>
    <xf numFmtId="0" fontId="54" fillId="53" borderId="21" xfId="0" applyFont="1" applyFill="1" applyBorder="1" applyAlignment="1" applyProtection="1">
      <alignment horizontal="center" vertical="center"/>
      <protection locked="0"/>
    </xf>
    <xf numFmtId="0" fontId="6" fillId="53" borderId="21" xfId="0" applyFont="1" applyFill="1" applyBorder="1" applyAlignment="1">
      <alignment horizontal="center" vertical="center"/>
    </xf>
    <xf numFmtId="0" fontId="6" fillId="53" borderId="21" xfId="0" applyFont="1" applyFill="1" applyBorder="1" applyAlignment="1" applyProtection="1">
      <alignment horizontal="center" vertical="center" wrapText="1"/>
      <protection locked="0"/>
    </xf>
    <xf numFmtId="0" fontId="6" fillId="53" borderId="21" xfId="0" applyFont="1" applyFill="1" applyBorder="1" applyAlignment="1" applyProtection="1">
      <alignment horizontal="center" vertical="center"/>
      <protection locked="0"/>
    </xf>
    <xf numFmtId="0" fontId="6" fillId="53" borderId="22" xfId="0" applyFont="1" applyFill="1" applyBorder="1" applyAlignment="1" applyProtection="1">
      <alignment horizontal="center" vertical="center"/>
      <protection locked="0"/>
    </xf>
    <xf numFmtId="0" fontId="53" fillId="53" borderId="21" xfId="0" applyFont="1" applyFill="1" applyBorder="1" applyAlignment="1" applyProtection="1">
      <alignment horizontal="center" vertical="center" wrapText="1"/>
      <protection locked="0"/>
    </xf>
    <xf numFmtId="0" fontId="37" fillId="53" borderId="20" xfId="0" applyFont="1" applyFill="1" applyBorder="1" applyAlignment="1" applyProtection="1">
      <alignment horizontal="center" vertical="center" wrapText="1"/>
      <protection locked="0"/>
    </xf>
    <xf numFmtId="0" fontId="37" fillId="53" borderId="21" xfId="0" applyFont="1" applyFill="1" applyBorder="1" applyAlignment="1" applyProtection="1">
      <alignment horizontal="center" vertical="center" wrapText="1"/>
      <protection locked="0"/>
    </xf>
    <xf numFmtId="0" fontId="37" fillId="53" borderId="22" xfId="0" applyFont="1" applyFill="1" applyBorder="1" applyAlignment="1" applyProtection="1">
      <alignment horizontal="center" vertical="center"/>
      <protection locked="0"/>
    </xf>
    <xf numFmtId="0" fontId="0" fillId="53" borderId="21" xfId="0" applyFill="1" applyBorder="1"/>
    <xf numFmtId="0" fontId="0" fillId="53" borderId="0" xfId="0" applyFill="1"/>
    <xf numFmtId="0" fontId="53" fillId="53" borderId="20" xfId="0" applyFont="1" applyFill="1" applyBorder="1" applyAlignment="1" applyProtection="1">
      <alignment horizontal="center" vertical="center" wrapText="1"/>
      <protection locked="0"/>
    </xf>
    <xf numFmtId="0" fontId="29" fillId="53" borderId="21" xfId="0" applyFont="1" applyFill="1" applyBorder="1" applyAlignment="1" applyProtection="1">
      <alignment horizontal="center" vertical="center" wrapText="1"/>
      <protection locked="0"/>
    </xf>
    <xf numFmtId="0" fontId="16" fillId="53" borderId="21" xfId="0" applyFont="1" applyFill="1" applyBorder="1" applyAlignment="1" applyProtection="1">
      <alignment horizontal="center" vertical="center"/>
      <protection locked="0"/>
    </xf>
    <xf numFmtId="0" fontId="17" fillId="53" borderId="0" xfId="0" applyFont="1" applyFill="1"/>
    <xf numFmtId="0" fontId="59" fillId="0" borderId="0" xfId="0" applyFont="1" applyAlignment="1">
      <alignment readingOrder="1"/>
    </xf>
    <xf numFmtId="0" fontId="3" fillId="53" borderId="0" xfId="0" applyFont="1" applyFill="1" applyAlignment="1">
      <alignment horizontal="center"/>
    </xf>
    <xf numFmtId="0" fontId="60" fillId="0" borderId="49" xfId="0" applyFont="1" applyBorder="1" applyAlignment="1">
      <alignment readingOrder="1"/>
    </xf>
    <xf numFmtId="0" fontId="60" fillId="53" borderId="49" xfId="0" applyFont="1" applyFill="1" applyBorder="1" applyAlignment="1">
      <alignment readingOrder="1"/>
    </xf>
    <xf numFmtId="0" fontId="0" fillId="54" borderId="0" xfId="0" applyFill="1"/>
    <xf numFmtId="0" fontId="37" fillId="54" borderId="21" xfId="0" applyFont="1" applyFill="1" applyBorder="1" applyAlignment="1" applyProtection="1">
      <alignment horizontal="center" vertical="center" wrapText="1"/>
      <protection locked="0"/>
    </xf>
    <xf numFmtId="0" fontId="23" fillId="53" borderId="0" xfId="0" applyFont="1" applyFill="1"/>
    <xf numFmtId="0" fontId="0" fillId="0" borderId="17" xfId="0" applyBorder="1" applyAlignment="1" applyProtection="1">
      <alignment horizontal="center" vertical="center" wrapText="1"/>
      <protection locked="0"/>
    </xf>
    <xf numFmtId="0" fontId="0" fillId="54" borderId="17" xfId="0" applyFill="1" applyBorder="1" applyAlignment="1" applyProtection="1">
      <alignment horizontal="center" vertical="center" wrapText="1"/>
      <protection locked="0"/>
    </xf>
    <xf numFmtId="0" fontId="0" fillId="53" borderId="17" xfId="0" applyFill="1" applyBorder="1" applyAlignment="1" applyProtection="1">
      <alignment horizontal="center" vertical="center" wrapText="1"/>
      <protection locked="0"/>
    </xf>
    <xf numFmtId="0" fontId="6" fillId="53" borderId="0" xfId="0" applyFont="1" applyFill="1"/>
    <xf numFmtId="0" fontId="0" fillId="6" borderId="0" xfId="0" applyFill="1"/>
    <xf numFmtId="0" fontId="59" fillId="53" borderId="49" xfId="0" applyFont="1" applyFill="1" applyBorder="1" applyAlignment="1">
      <alignment readingOrder="1"/>
    </xf>
    <xf numFmtId="0" fontId="29" fillId="0" borderId="0" xfId="0" applyFont="1"/>
    <xf numFmtId="0" fontId="0" fillId="0" borderId="0" xfId="0" applyAlignment="1">
      <alignment horizontal="center"/>
    </xf>
    <xf numFmtId="0" fontId="40" fillId="0" borderId="0" xfId="1" applyFont="1" applyAlignment="1">
      <alignment horizontal="center" vertical="center"/>
    </xf>
    <xf numFmtId="0" fontId="1" fillId="0" borderId="0" xfId="1" applyAlignment="1">
      <alignment horizontal="center" vertical="center"/>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10" fillId="4" borderId="0" xfId="0" applyFont="1" applyFill="1" applyAlignment="1">
      <alignment horizontal="left" vertical="top" wrapText="1"/>
    </xf>
    <xf numFmtId="0" fontId="8" fillId="6" borderId="0" xfId="0" applyFont="1" applyFill="1" applyAlignment="1">
      <alignment horizontal="left" vertical="top" wrapText="1"/>
    </xf>
    <xf numFmtId="0" fontId="5" fillId="5" borderId="0" xfId="0" applyFont="1" applyFill="1" applyAlignment="1">
      <alignment horizontal="left" vertical="top"/>
    </xf>
    <xf numFmtId="0" fontId="4" fillId="0" borderId="7" xfId="0" applyFont="1" applyBorder="1" applyAlignment="1">
      <alignment horizontal="center"/>
    </xf>
    <xf numFmtId="0" fontId="14" fillId="10" borderId="2" xfId="0" applyFont="1" applyFill="1" applyBorder="1" applyAlignment="1">
      <alignment horizontal="center"/>
    </xf>
    <xf numFmtId="0" fontId="14" fillId="10" borderId="3" xfId="0" applyFont="1" applyFill="1" applyBorder="1" applyAlignment="1">
      <alignment horizontal="center"/>
    </xf>
    <xf numFmtId="0" fontId="14" fillId="11" borderId="2" xfId="0" applyFont="1" applyFill="1" applyBorder="1" applyAlignment="1">
      <alignment horizontal="center"/>
    </xf>
    <xf numFmtId="0" fontId="14" fillId="11" borderId="3" xfId="0" applyFont="1" applyFill="1" applyBorder="1" applyAlignment="1">
      <alignment horizontal="center"/>
    </xf>
    <xf numFmtId="0" fontId="4" fillId="0" borderId="3" xfId="0" applyFont="1" applyBorder="1" applyAlignment="1">
      <alignment horizontal="center" wrapText="1"/>
    </xf>
    <xf numFmtId="0" fontId="4" fillId="0" borderId="8" xfId="0" applyFont="1" applyBorder="1" applyAlignment="1">
      <alignment horizontal="center" wrapText="1"/>
    </xf>
    <xf numFmtId="0" fontId="24" fillId="0" borderId="39" xfId="0" applyFont="1" applyBorder="1" applyAlignment="1">
      <alignment horizontal="center" wrapText="1"/>
    </xf>
    <xf numFmtId="0" fontId="24" fillId="0" borderId="38" xfId="0" applyFont="1" applyBorder="1" applyAlignment="1">
      <alignment horizontal="center" wrapText="1"/>
    </xf>
    <xf numFmtId="0" fontId="4" fillId="9" borderId="2" xfId="0" applyFont="1" applyFill="1" applyBorder="1" applyAlignment="1">
      <alignment horizontal="center"/>
    </xf>
    <xf numFmtId="0" fontId="22" fillId="0" borderId="0" xfId="0" applyFont="1" applyAlignment="1">
      <alignment horizontal="center" vertical="center"/>
    </xf>
    <xf numFmtId="0" fontId="4" fillId="7" borderId="1" xfId="0" applyFont="1" applyFill="1" applyBorder="1" applyAlignment="1">
      <alignment horizontal="center"/>
    </xf>
    <xf numFmtId="0" fontId="4" fillId="7" borderId="3" xfId="0" applyFont="1" applyFill="1" applyBorder="1" applyAlignment="1">
      <alignment horizontal="center"/>
    </xf>
    <xf numFmtId="0" fontId="4" fillId="8" borderId="2" xfId="0" applyFont="1" applyFill="1" applyBorder="1" applyAlignment="1">
      <alignment horizontal="center"/>
    </xf>
    <xf numFmtId="0" fontId="4" fillId="8" borderId="3" xfId="0" applyFont="1" applyFill="1" applyBorder="1" applyAlignment="1">
      <alignment horizontal="center"/>
    </xf>
    <xf numFmtId="0" fontId="4" fillId="0" borderId="35" xfId="0" applyFont="1" applyBorder="1" applyAlignment="1">
      <alignment horizontal="center" wrapText="1"/>
    </xf>
    <xf numFmtId="0" fontId="4" fillId="0" borderId="33" xfId="0" applyFont="1" applyBorder="1" applyAlignment="1">
      <alignment horizontal="center" wrapText="1"/>
    </xf>
    <xf numFmtId="0" fontId="34" fillId="0" borderId="0" xfId="0" applyFont="1" applyAlignment="1">
      <alignment horizontal="center" vertical="center"/>
    </xf>
    <xf numFmtId="0" fontId="2" fillId="23" borderId="0" xfId="0" applyFont="1" applyFill="1" applyAlignment="1">
      <alignment horizontal="center" vertical="center"/>
    </xf>
    <xf numFmtId="0" fontId="26" fillId="23" borderId="0" xfId="0" applyFont="1" applyFill="1" applyAlignment="1">
      <alignment horizontal="center" vertical="center" wrapText="1"/>
    </xf>
    <xf numFmtId="0" fontId="35" fillId="0" borderId="0" xfId="0" applyFont="1" applyAlignment="1">
      <alignment horizontal="center" vertical="center"/>
    </xf>
    <xf numFmtId="0" fontId="3" fillId="21" borderId="0" xfId="0" applyFont="1" applyFill="1" applyAlignment="1">
      <alignment horizontal="center" vertical="center"/>
    </xf>
    <xf numFmtId="0" fontId="0" fillId="21" borderId="0" xfId="0" applyFill="1" applyAlignment="1">
      <alignment horizontal="left" vertical="center"/>
    </xf>
    <xf numFmtId="0" fontId="3" fillId="22" borderId="0" xfId="0" applyFont="1" applyFill="1" applyAlignment="1">
      <alignment horizontal="center" vertical="center"/>
    </xf>
    <xf numFmtId="0" fontId="0" fillId="22" borderId="0" xfId="0" applyFill="1" applyAlignment="1">
      <alignment horizontal="left" vertical="center"/>
    </xf>
    <xf numFmtId="0" fontId="3" fillId="18" borderId="0" xfId="0" applyFont="1" applyFill="1" applyAlignment="1">
      <alignment horizontal="center" vertical="center"/>
    </xf>
    <xf numFmtId="0" fontId="0" fillId="18" borderId="0" xfId="0" applyFill="1" applyAlignment="1">
      <alignment horizontal="center" vertical="center" wrapText="1"/>
    </xf>
    <xf numFmtId="0" fontId="3"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18" fillId="9" borderId="22" xfId="0" applyFont="1" applyFill="1" applyBorder="1" applyAlignment="1">
      <alignment horizontal="center"/>
    </xf>
    <xf numFmtId="0" fontId="18" fillId="9" borderId="20" xfId="0" applyFont="1" applyFill="1" applyBorder="1" applyAlignment="1">
      <alignment horizontal="center"/>
    </xf>
    <xf numFmtId="0" fontId="18" fillId="9" borderId="22" xfId="0" applyFont="1" applyFill="1" applyBorder="1" applyAlignment="1">
      <alignment horizontal="center" wrapText="1"/>
    </xf>
    <xf numFmtId="0" fontId="18" fillId="9" borderId="20" xfId="0" applyFont="1" applyFill="1" applyBorder="1" applyAlignment="1">
      <alignment horizontal="center" wrapText="1"/>
    </xf>
    <xf numFmtId="0" fontId="18" fillId="9" borderId="30" xfId="0" applyFont="1" applyFill="1" applyBorder="1" applyAlignment="1">
      <alignment horizontal="center" wrapText="1"/>
    </xf>
    <xf numFmtId="0" fontId="18" fillId="9" borderId="29" xfId="0" applyFont="1" applyFill="1" applyBorder="1" applyAlignment="1">
      <alignment horizontal="center" wrapText="1"/>
    </xf>
    <xf numFmtId="0" fontId="3" fillId="8" borderId="6" xfId="0" applyFont="1" applyFill="1" applyBorder="1" applyAlignment="1">
      <alignment horizontal="center"/>
    </xf>
    <xf numFmtId="0" fontId="3" fillId="8" borderId="8" xfId="0" applyFont="1" applyFill="1" applyBorder="1" applyAlignment="1">
      <alignment horizontal="center"/>
    </xf>
    <xf numFmtId="0" fontId="18" fillId="8" borderId="22" xfId="0" applyFont="1" applyFill="1" applyBorder="1" applyAlignment="1">
      <alignment horizontal="center" wrapText="1"/>
    </xf>
    <xf numFmtId="0" fontId="18" fillId="8" borderId="20" xfId="0" applyFont="1" applyFill="1" applyBorder="1" applyAlignment="1">
      <alignment horizontal="center" wrapText="1"/>
    </xf>
    <xf numFmtId="0" fontId="3" fillId="0" borderId="22" xfId="0" applyFont="1" applyBorder="1" applyAlignment="1">
      <alignment horizontal="center" vertical="center"/>
    </xf>
    <xf numFmtId="0" fontId="3" fillId="0" borderId="21" xfId="0" applyFont="1" applyBorder="1" applyAlignment="1">
      <alignment horizontal="center" vertical="center"/>
    </xf>
    <xf numFmtId="0" fontId="3" fillId="8" borderId="7" xfId="0" applyFont="1" applyFill="1" applyBorder="1" applyAlignment="1">
      <alignment horizontal="center"/>
    </xf>
    <xf numFmtId="0" fontId="18" fillId="8" borderId="2" xfId="0" applyFont="1" applyFill="1" applyBorder="1" applyAlignment="1">
      <alignment horizontal="center" wrapText="1"/>
    </xf>
    <xf numFmtId="0" fontId="18" fillId="8" borderId="3" xfId="0" applyFont="1" applyFill="1" applyBorder="1" applyAlignment="1">
      <alignment horizontal="center" wrapText="1"/>
    </xf>
    <xf numFmtId="0" fontId="18" fillId="9" borderId="7" xfId="0" applyFont="1" applyFill="1" applyBorder="1" applyAlignment="1">
      <alignment horizontal="center" wrapText="1"/>
    </xf>
    <xf numFmtId="0" fontId="18" fillId="9" borderId="8" xfId="0" applyFont="1" applyFill="1" applyBorder="1" applyAlignment="1">
      <alignment horizontal="center" wrapText="1"/>
    </xf>
    <xf numFmtId="0" fontId="18" fillId="9" borderId="19" xfId="0" applyFont="1" applyFill="1" applyBorder="1" applyAlignment="1">
      <alignment horizontal="center"/>
    </xf>
    <xf numFmtId="0" fontId="17" fillId="0" borderId="11" xfId="0" applyFont="1" applyBorder="1" applyAlignment="1">
      <alignment horizontal="left" vertical="center"/>
    </xf>
    <xf numFmtId="0" fontId="17" fillId="0" borderId="11" xfId="0" applyFont="1" applyBorder="1" applyAlignment="1">
      <alignment wrapText="1"/>
    </xf>
    <xf numFmtId="0" fontId="17" fillId="0" borderId="9" xfId="0" applyFont="1" applyBorder="1" applyAlignment="1">
      <alignment horizontal="left" vertical="center"/>
    </xf>
    <xf numFmtId="0" fontId="17" fillId="0" borderId="11" xfId="0" applyFont="1" applyBorder="1" applyAlignment="1">
      <alignment horizontal="left" vertical="top"/>
    </xf>
    <xf numFmtId="0" fontId="3" fillId="0" borderId="42" xfId="0" applyFont="1" applyBorder="1" applyAlignment="1">
      <alignment horizontal="center"/>
    </xf>
    <xf numFmtId="0" fontId="16" fillId="13" borderId="9" xfId="0" applyFont="1" applyFill="1" applyBorder="1" applyAlignment="1"/>
    <xf numFmtId="0" fontId="16" fillId="13" borderId="11" xfId="0" applyFont="1" applyFill="1" applyBorder="1" applyAlignment="1"/>
    <xf numFmtId="0" fontId="16" fillId="13" borderId="15" xfId="0" applyFont="1" applyFill="1" applyBorder="1" applyAlignment="1"/>
  </cellXfs>
  <cellStyles count="3">
    <cellStyle name="Hyperlink" xfId="2" xr:uid="{00000000-000B-0000-0000-000008000000}"/>
    <cellStyle name="Normal" xfId="0" builtinId="0"/>
    <cellStyle name="Normal 2" xfId="1" xr:uid="{DA0D7FD7-B1CF-4E4A-9E90-53B2B04AFE20}"/>
  </cellStyles>
  <dxfs count="176">
    <dxf>
      <font>
        <b val="0"/>
        <i val="0"/>
        <strike val="0"/>
        <condense val="0"/>
        <extend val="0"/>
        <outline val="0"/>
        <shadow val="0"/>
        <u val="none"/>
        <vertAlign val="baseline"/>
        <sz val="11"/>
        <color rgb="FF000000"/>
        <name val="Aptos Narrow"/>
        <family val="2"/>
        <scheme val="minor"/>
      </font>
      <fill>
        <patternFill patternType="solid">
          <fgColor theme="0" tint="-0.14999847407452621"/>
          <bgColor theme="0" tint="-0.14999847407452621"/>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Narrow"/>
        <family val="2"/>
        <scheme val="minor"/>
      </font>
      <fill>
        <patternFill patternType="solid">
          <fgColor theme="0" tint="-0.14999847407452621"/>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0"/>
        <color rgb="FF000000"/>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0"/>
        <color rgb="FF000000"/>
        <name val="Aptos Narrow"/>
        <family val="2"/>
        <scheme val="minor"/>
      </font>
      <alignment horizontal="center" vertical="bottom" textRotation="0" wrapText="0" indent="0" justifyLastLine="0" shrinkToFit="0" readingOrder="0"/>
    </dxf>
    <dxf>
      <alignment horizontal="center" vertical="center" textRotation="0" indent="0" justifyLastLine="0" shrinkToFit="0" readingOrder="0"/>
      <border diagonalUp="0" diagonalDown="0">
        <left style="thin">
          <color rgb="FF000000"/>
        </left>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fill>
        <patternFill patternType="none">
          <fgColor indexed="64"/>
          <bgColor auto="1"/>
        </patternFill>
      </fill>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protection locked="0" hidden="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protection locked="0" hidden="0"/>
    </dxf>
    <dxf>
      <font>
        <b/>
        <family val="2"/>
      </font>
      <fill>
        <patternFill patternType="none">
          <fgColor indexed="64"/>
          <bgColor auto="1"/>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alignment horizontal="center" vertical="center" textRotation="0" indent="0" justifyLastLine="0" shrinkToFit="0" readingOrder="0"/>
      <border diagonalUp="0" diagonalDown="0" outline="0">
        <left style="thin">
          <color rgb="FF000000"/>
        </left>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11"/>
        <color rgb="FF000000"/>
        <name val="Aptos Narrow"/>
        <family val="2"/>
        <scheme val="minor"/>
      </font>
      <numFmt numFmtId="0" formatCode="General"/>
      <fill>
        <patternFill patternType="none">
          <fgColor indexed="64"/>
          <bgColor rgb="FFFFF0F3"/>
        </patternFill>
      </fill>
      <alignment horizontal="center" vertic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protection locked="1" hidden="0"/>
    </dxf>
    <dxf>
      <alignment horizontal="center" vertic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border diagonalUp="0" diagonalDown="0" outline="0">
        <left/>
        <right style="thin">
          <color rgb="FF000000"/>
        </right>
        <top style="thin">
          <color rgb="FF000000"/>
        </top>
        <bottom style="thin">
          <color rgb="FF000000"/>
        </bottom>
      </border>
      <protection locked="0" hidden="0"/>
    </dxf>
    <dxf>
      <font>
        <b/>
      </font>
      <alignment horizontal="center" vertical="center" textRotation="0" indent="0" justifyLastLine="0" shrinkToFit="0" readingOrder="0"/>
      <border diagonalUp="0" diagonalDown="0" outline="0">
        <left style="thin">
          <color rgb="FF000000"/>
        </left>
        <right style="thin">
          <color rgb="FF000000"/>
        </right>
        <top style="thin">
          <color rgb="FF000000"/>
        </top>
        <bottom style="thin">
          <color rgb="FF000000"/>
        </bottom>
      </border>
      <protection locked="0" hidden="0"/>
    </dxf>
    <dxf>
      <alignment horizontal="center" vertical="center" textRotation="0" indent="0" justifyLastLine="0" shrinkToFit="0" readingOrder="0"/>
      <protection locked="0" hidden="0"/>
    </dxf>
    <dxf>
      <border diagonalUp="0" diagonalDown="0">
        <left style="thin">
          <color rgb="FF000000"/>
        </left>
        <right style="thin">
          <color rgb="FF000000"/>
        </right>
        <top style="thin">
          <color rgb="FF000000"/>
        </top>
      </border>
    </dxf>
    <dxf>
      <alignment horizontal="center" vertical="center" textRotation="0" indent="0" justifyLastLine="0" shrinkToFit="0" readingOrder="0"/>
      <protection locked="0" hidden="0"/>
    </dxf>
    <dxf>
      <font>
        <b/>
        <i val="0"/>
        <strike val="0"/>
        <condense val="0"/>
        <extend val="0"/>
        <outline val="0"/>
        <shadow val="0"/>
        <u val="none"/>
        <vertAlign val="baseline"/>
        <sz val="11"/>
        <color theme="0"/>
        <name val="Aptos Narrow"/>
        <family val="2"/>
        <scheme val="minor"/>
      </font>
      <alignment horizontal="general" vertical="bottom" textRotation="0" wrapText="0" indent="0" justifyLastLine="0" shrinkToFit="0" readingOrder="0"/>
      <border diagonalUp="0" diagonalDown="0">
        <left style="thin">
          <color rgb="FF000000"/>
        </left>
        <right style="thin">
          <color rgb="FF000000"/>
        </right>
        <top/>
        <bottom/>
      </border>
      <protection locked="0" hidden="0"/>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ill>
        <patternFill>
          <fgColor theme="7" tint="0.79998168889431442"/>
        </patternFill>
      </fill>
    </dxf>
    <dxf>
      <fill>
        <patternFill>
          <f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fill>
        <patternFill>
          <fgColor theme="7" tint="0.79998168889431442"/>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s>
  <tableStyles count="0" defaultTableStyle="TableStyleMedium2" defaultPivotStyle="PivotStyleLight16"/>
  <colors>
    <mruColors>
      <color rgb="FFFFF0F3"/>
      <color rgb="FFDAF1F3"/>
      <color rgb="FFF3FCC4"/>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28</xdr:row>
      <xdr:rowOff>12700</xdr:rowOff>
    </xdr:from>
    <xdr:to>
      <xdr:col>6</xdr:col>
      <xdr:colOff>59915</xdr:colOff>
      <xdr:row>42</xdr:row>
      <xdr:rowOff>152539</xdr:rowOff>
    </xdr:to>
    <xdr:pic>
      <xdr:nvPicPr>
        <xdr:cNvPr id="2" name="Grafik 1">
          <a:extLst>
            <a:ext uri="{FF2B5EF4-FFF2-40B4-BE49-F238E27FC236}">
              <a16:creationId xmlns:a16="http://schemas.microsoft.com/office/drawing/2014/main" id="{D90917D0-A0F5-B569-468C-18C3F077FF80}"/>
            </a:ext>
          </a:extLst>
        </xdr:cNvPr>
        <xdr:cNvPicPr>
          <a:picLocks noChangeAspect="1"/>
        </xdr:cNvPicPr>
      </xdr:nvPicPr>
      <xdr:blipFill>
        <a:blip xmlns:r="http://schemas.openxmlformats.org/officeDocument/2006/relationships" r:embed="rId1"/>
        <a:stretch>
          <a:fillRect/>
        </a:stretch>
      </xdr:blipFill>
      <xdr:spPr>
        <a:xfrm>
          <a:off x="629920" y="5133340"/>
          <a:ext cx="4393155" cy="27001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600075</xdr:colOff>
      <xdr:row>0</xdr:row>
      <xdr:rowOff>0</xdr:rowOff>
    </xdr:from>
    <xdr:to>
      <xdr:col>19</xdr:col>
      <xdr:colOff>38100</xdr:colOff>
      <xdr:row>6</xdr:row>
      <xdr:rowOff>644525</xdr:rowOff>
    </xdr:to>
    <xdr:pic>
      <xdr:nvPicPr>
        <xdr:cNvPr id="2" name="Bild 1">
          <a:extLst>
            <a:ext uri="{FF2B5EF4-FFF2-40B4-BE49-F238E27FC236}">
              <a16:creationId xmlns:a16="http://schemas.microsoft.com/office/drawing/2014/main" id="{A11D496E-CAC2-1F99-BD5F-959CF1491CF4}"/>
            </a:ext>
          </a:extLst>
        </xdr:cNvPr>
        <xdr:cNvPicPr>
          <a:picLocks noChangeAspect="1"/>
        </xdr:cNvPicPr>
      </xdr:nvPicPr>
      <xdr:blipFill>
        <a:blip xmlns:r="http://schemas.openxmlformats.org/officeDocument/2006/relationships" r:embed="rId1"/>
        <a:stretch>
          <a:fillRect/>
        </a:stretch>
      </xdr:blipFill>
      <xdr:spPr>
        <a:xfrm>
          <a:off x="12563475" y="0"/>
          <a:ext cx="4314825" cy="3667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ria Lopez" id="{F2378F52-9601-460E-AC8B-F4004E88149D}" userId="S::malo08@dfki.de::ecf6dbb4-6bfa-4e08-909b-201703b18513" providerId="AD"/>
  <person displayName="Maria Lopez" id="{D68F4E9B-042B-4D9A-A012-C7196045C2D7}" userId="S::maria.lopez_dfki.de#ext#@listlu.onmicrosoft.com::b6d89e17-e22d-446c-9967-8b9f80518b6a"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2044D8-9D0D-AD4E-9F0E-12B750F4C533}" name="Table5" displayName="Table5" ref="A3:D16" totalsRowShown="0">
  <autoFilter ref="A3:D16" xr:uid="{152044D8-9D0D-AD4E-9F0E-12B750F4C533}"/>
  <tableColumns count="4">
    <tableColumn id="1" xr3:uid="{9BE6EE91-E81E-C241-BBA2-C79B75717AB2}" name="Dimension"/>
    <tableColumn id="2" xr3:uid="{4EE0D58F-71E7-CC46-BA10-4110D3E7AA9F}" name="TargetGroups"/>
    <tableColumn id="4" xr3:uid="{AEE17A3F-7730-FC49-A400-7B5FBB975EAC}" name="Persons in the Group"/>
    <tableColumn id="3" xr3:uid="{E8780FCF-0ED3-4D91-8B1E-3FEFD002CCBC}" name="Institute (Affiliat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71B642-B523-6F43-9258-B26E2071B1B7}" name="Table1" displayName="Table1" ref="A2:F10" totalsRowShown="0" headerRowDxfId="175" dataDxfId="174">
  <autoFilter ref="A2:F10" xr:uid="{D7A3BAC9-631B-854E-B44C-47ACE6A13904}">
    <filterColumn colId="0" hiddenButton="1"/>
    <filterColumn colId="1" hiddenButton="1"/>
    <filterColumn colId="2" hiddenButton="1"/>
    <filterColumn colId="3" hiddenButton="1"/>
    <filterColumn colId="4" hiddenButton="1"/>
    <filterColumn colId="5" hiddenButton="1"/>
  </autoFilter>
  <tableColumns count="6">
    <tableColumn id="1" xr3:uid="{49E3F30B-2BB2-D449-85BF-1BC8605690F1}" name="Level" dataDxfId="173">
      <calculatedColumnFormula>"Level "&amp;ROW()-2</calculatedColumnFormula>
    </tableColumn>
    <tableColumn id="5" xr3:uid="{C42E500B-5DD6-8244-B70E-A3CDD3641B99}" name="Sustenance Tasks Previous Level (Relapse Cause)" dataDxfId="172"/>
    <tableColumn id="4" xr3:uid="{505C0B15-367D-8F42-B8F4-ADC8F074A062}" name="Sustenance Tasks Current Level" dataDxfId="171"/>
    <tableColumn id="2" xr3:uid="{60337BEE-3156-9D42-AFC3-19F79268DF65}" name="Transition Tasks" dataDxfId="170"/>
    <tableColumn id="6" xr3:uid="{A70D893C-44AB-453D-8C9F-78FBB1737A9C}" name="Nivles en español" dataDxfId="169" dataCellStyle="Normal 2"/>
    <tableColumn id="3" xr3:uid="{77053A51-FDB1-4C4B-B3B5-75E4F81111B4}" name="Level Name" dataDxfId="16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F9A4F1-A017-1542-AE89-A7A1FA5AA0E3}" name="Table12" displayName="Table12" ref="A2:AE479" totalsRowShown="0" headerRowDxfId="38" dataDxfId="37" tableBorderDxfId="36">
  <autoFilter ref="A2:AE479" xr:uid="{95F9A4F1-A017-1542-AE89-A7A1FA5AA0E3}"/>
  <tableColumns count="31">
    <tableColumn id="1" xr3:uid="{40883C5A-AB0D-BB41-ACF5-55A03E581AB4}" name="Wave" dataDxfId="35"/>
    <tableColumn id="2" xr3:uid="{92B36D25-5A94-E941-AAA8-D1AC8B1CB3B2}" name="Behavioral Change Variable" dataDxfId="34"/>
    <tableColumn id="3" xr3:uid="{405CA2BE-AF6F-B242-B98A-BA4652710AFC}" name="Type of activity" dataDxfId="33"/>
    <tableColumn id="4" xr3:uid="{ECA4AC9C-9BF9-B04A-AA49-D76EE56E8B1B}" name="TTM Stage" dataDxfId="32"/>
    <tableColumn id="5" xr3:uid="{88C11E22-6BB7-004D-8DB0-2A04CE61F335}" name="Task No." dataDxfId="31"/>
    <tableColumn id="6" xr3:uid="{05200F59-6D18-4C47-9161-27BA0DD28408}" name="Task Code" dataDxfId="30">
      <calculatedColumnFormula>""&amp;Table12[[#This Row],[TTM Stage]]&amp;Table12[[#This Row],[Task No.]]&amp;"-"&amp;Table12[[#This Row],[Type of activity]]&amp;"-"&amp;Table12[[#This Row],[TargetGroup]]</calculatedColumnFormula>
    </tableColumn>
    <tableColumn id="7" xr3:uid="{D7D07DF3-6340-D94E-824A-9D934FB71EE0}" name="Task Type" dataDxfId="29"/>
    <tableColumn id="8" xr3:uid="{CA02E432-BAB9-174C-82B9-4AC3BBD24F65}" name="SDT - Competence" dataDxfId="28"/>
    <tableColumn id="9" xr3:uid="{721348AB-4106-9F44-8FE6-748A564E3C63}" name="SDT - Autonomy" dataDxfId="27"/>
    <tableColumn id="10" xr3:uid="{FD880111-053D-9F44-BEAE-8B1FB23C343B}" name="SDT - Relatedness" dataDxfId="26"/>
    <tableColumn id="11" xr3:uid="{5EB87B32-F192-FE44-BCC1-CD738BA78277}" name="Task Title" dataDxfId="25"/>
    <tableColumn id="27" xr3:uid="{E4CA5430-B140-4E48-9D4C-36DB000FDCE1}" name="Task Title (ES) " dataDxfId="24"/>
    <tableColumn id="12" xr3:uid="{782879C3-ACA5-2F4A-8712-5714E2521B85}" name="TargetGroup" dataDxfId="23"/>
    <tableColumn id="13" xr3:uid="{03775D94-2D3C-9942-9B6D-35FA2F18DAA7}" name="Description" dataDxfId="22"/>
    <tableColumn id="28" xr3:uid="{D3E840B5-B046-4FA9-B88B-CDC2EF168C54}" name="Description (ES)" dataDxfId="21"/>
    <tableColumn id="30" xr3:uid="{C85B1533-961F-40D6-A5FB-A69EF56E36E8}" name="Columna1" dataDxfId="20"/>
    <tableColumn id="31" xr3:uid="{9D5A45CD-965A-43BF-86F9-E361C9B0441D}" name="Columna2" dataDxfId="19"/>
    <tableColumn id="14" xr3:uid="{32F8F987-619A-034D-B9AE-591654B24BA3}" name="Notes for configuration" dataDxfId="18"/>
    <tableColumn id="29" xr3:uid="{CEA631C0-0C08-4C1C-98DA-B47D079444B9}" name="Notes for configuration (ES)" dataDxfId="17"/>
    <tableColumn id="15" xr3:uid="{D6F176D0-1E66-094B-809E-3CAAB8BC521B}" name="Reward count (max_times_fired)" dataDxfId="16"/>
    <tableColumn id="16" xr3:uid="{1EA9A237-E4F6-C446-86F6-D3E700DF5903}" name="Timeframe ( in days) to reset reward count (min_days_to_fire)" dataDxfId="15"/>
    <tableColumn id="17" xr3:uid="{1EE70A57-46D8-6B48-B228-6AF7F04C656E}" name="Requirement - Image" dataDxfId="14"/>
    <tableColumn id="18" xr3:uid="{220BA92D-5C65-5841-A874-EDB871DD4475}" name="Requirement - Text" dataDxfId="13"/>
    <tableColumn id="19" xr3:uid="{18D1403F-CBE1-7141-A6E9-7DCE61F60A52}" name="Requirement - Other" dataDxfId="12"/>
    <tableColumn id="20" xr3:uid="{78AAD5EF-C826-DC42-9B50-37B410C0D505}" name="Allowed Activity Type" dataDxfId="11"/>
    <tableColumn id="21" xr3:uid="{D99B2918-D036-DD46-A537-FC9C8C359148}" name="Conditions - Property " dataDxfId="10"/>
    <tableColumn id="22" xr3:uid="{E8AD0B7F-7293-E64E-9023-FEDD7DD0CA39}" name="Conditions - Operator" dataDxfId="9"/>
    <tableColumn id="23" xr3:uid="{9AF12003-58A0-AE42-86F3-05F24DB761DA}" name="Conditions - Value" dataDxfId="8"/>
    <tableColumn id="24" xr3:uid="{A0460CA2-7709-2E4E-800A-1EDF1FA158B8}" name="Points" dataDxfId="7"/>
    <tableColumn id="25" xr3:uid="{6233C4C0-3CEB-6E4B-BC02-F3502524B4CA}" name="Data providers" dataDxfId="6"/>
    <tableColumn id="26" xr3:uid="{E9166332-0D9E-BB40-944E-297D7CD54921}" name="Current Status" dataDxfId="5"/>
  </tableColumns>
  <tableStyleInfo name="TableStyleDark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B3C97E-F6E5-034C-8996-EB1E8BC30099}" name="Dimensions" displayName="Dimensions" ref="A4:A7" totalsRowShown="0">
  <autoFilter ref="A4:A7" xr:uid="{68B3C97E-F6E5-034C-8996-EB1E8BC30099}"/>
  <tableColumns count="1">
    <tableColumn id="1" xr3:uid="{8A70FDC9-5AE2-8649-BD93-C9EC0E5FEAE1}" name="Dimension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3EA846-F665-BF46-9A34-B43E89E0EEE2}" name="TargetGroups" displayName="TargetGroups" ref="C4:C7" totalsRowShown="0">
  <autoFilter ref="C4:C7" xr:uid="{6C3EA846-F665-BF46-9A34-B43E89E0EEE2}"/>
  <tableColumns count="1">
    <tableColumn id="1" xr3:uid="{098E5195-7ABF-4747-9E87-BB38FF24D96E}" name="TargetGroup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66D026-3D6B-8B4B-8E6B-3CE03DC7D206}" name="TrialCountries" displayName="TrialCountries" ref="E4:E12" totalsRowShown="0">
  <autoFilter ref="E4:E12" xr:uid="{D466D026-3D6B-8B4B-8E6B-3CE03DC7D206}"/>
  <tableColumns count="1">
    <tableColumn id="1" xr3:uid="{314E9928-651C-6E47-87ED-A55B98B37B78}" name="TrialCountry"/>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524F3B-A775-B944-BEFD-E07E0043715D}" name="TTMStage" displayName="TTMStage" ref="G4:G9" totalsRowShown="0" dataDxfId="4">
  <autoFilter ref="G4:G9" xr:uid="{45524F3B-A775-B944-BEFD-E07E0043715D}"/>
  <tableColumns count="1">
    <tableColumn id="1" xr3:uid="{5A9134E8-FB2D-6F4F-B93A-33C09F7A46B9}" name="TTMStage" dataDxfId="3"/>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8F70782-D09D-0741-B9A8-410E3D5448FC}" name="TaskTypes" displayName="TaskTypes" ref="I4:I21" totalsRowShown="0" dataDxfId="2" tableBorderDxfId="1">
  <autoFilter ref="I4:I21" xr:uid="{D8F70782-D09D-0741-B9A8-410E3D5448FC}"/>
  <tableColumns count="1">
    <tableColumn id="1" xr3:uid="{B321B174-A065-294B-A5CA-06EE7FE8B8F4}" name="TaskType" dataDxfId="0"/>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41452F3-78BF-A74F-918C-E1B5CD6DD0BB}" name="Waives" displayName="Waives" ref="K4:K11" totalsRowShown="0">
  <autoFilter ref="K4:K11" xr:uid="{741452F3-78BF-A74F-918C-E1B5CD6DD0BB}"/>
  <tableColumns count="1">
    <tableColumn id="1" xr3:uid="{FEA3ED0B-CE5E-0D49-865C-8EEE15581595}" name="Waves"/>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3" dT="2025-11-17T09:08:15.53" personId="{F2378F52-9601-460E-AC8B-F4004E88149D}" id="{8DEAF300-C04A-4E1D-A589-F8F720423D86}">
    <text>Task code</text>
  </threadedComment>
  <threadedComment ref="B5" dT="2025-11-17T09:09:29.05" personId="{F2378F52-9601-460E-AC8B-F4004E88149D}" id="{913F8803-4203-4F7E-B0E6-355442452543}">
    <text>Behavioral Change Category/Variable Code</text>
  </threadedComment>
  <threadedComment ref="D5" dT="2025-11-17T09:09:00.60" personId="{F2378F52-9601-460E-AC8B-F4004E88149D}" id="{8FF62CFC-CFE1-442D-B9C6-B0CA667588C5}">
    <text>Activity (Path) Code</text>
  </threadedComment>
  <threadedComment ref="C7" dT="2025-11-26T17:07:46.57" personId="{F2378F52-9601-460E-AC8B-F4004E88149D}" id="{388B81D3-8750-43CA-BE5A-105103AEE9A3}">
    <text>Ideal of short active microbreaks (2–3 minutes of light intensity exercises every 30 minutes) - 8 minutes of standing</text>
  </threadedComment>
  <threadedComment ref="O7" dT="2025-11-27T14:59:03.50" personId="{F2378F52-9601-460E-AC8B-F4004E88149D}" id="{7B4E1F72-F507-4E3F-B9AC-658E77454D67}">
    <text>Here I have to incorporate TIP of ideal time (2 mins of stretching; 8 mins of standing for each 30 mins sitting)</text>
  </threadedComment>
  <threadedComment ref="C9" dT="2025-11-14T10:26:55.36" personId="{F2378F52-9601-460E-AC8B-F4004E88149D}" id="{F2C9E391-43D1-409F-8DDC-8624CE3DF034}">
    <text>WHO recommmends at least 150 - 300 minutes/week ( 30 minutes 5 days a week) of aerobic physical activity. We have to configure times per activity to reach that level (doing at least two of the suggested activities)</text>
  </threadedComment>
  <threadedComment ref="E9" dT="2025-11-24T16:23:11.80" personId="{F2378F52-9601-460E-AC8B-F4004E88149D}" id="{0A2CC666-5470-45B7-98E7-90C309790923}">
    <text> Physical activity undertaken in the home for domestic duties (such as cleaning, caring for children, gardening, etc).</text>
  </threadedComment>
  <threadedComment ref="H10" dT="2025-11-28T13:37:32.88" personId="{F2378F52-9601-460E-AC8B-F4004E88149D}" id="{91C9F101-E0C9-4456-A2BA-84E4E2518CCD}">
    <text>Biking, Skating, Jogging, Sports can turn into vigorous PA for which item 5 would have to be taken into account.</text>
  </threadedComment>
  <threadedComment ref="E14" dT="2025-11-24T16:27:15.51" personId="{F2378F52-9601-460E-AC8B-F4004E88149D}" id="{8B92236C-36E7-4256-B7F4-0B1BFC6556EA}">
    <text>Physical activity performed by an individual that is not required as an essential activity of daily living and is performed at the discretion of the individual. Examples include sports participation, exercise conditioning or training and recreational activities such as going for a walk, dancing and gardening.</text>
  </threadedComment>
  <threadedComment ref="B15" dT="2025-11-27T09:29:14.43" personId="{F2378F52-9601-460E-AC8B-F4004E88149D}" id="{2DCBEB9A-2FEB-47AF-847F-9BE3C5741F6A}">
    <text>Create flexible activity path?</text>
  </threadedComment>
  <threadedComment ref="C15" dT="2025-11-24T16:11:49.95" personId="{F2378F52-9601-460E-AC8B-F4004E88149D}" id="{2B44A3E9-220A-4F02-A435-71D4BADBDCE2}">
    <text>WHO recommendation at least 75–150 minutes/week of vigorous-intensity aerobic physical activity.</text>
  </threadedComment>
  <threadedComment ref="C15" dT="2025-11-24T16:14:48.76" personId="{F2378F52-9601-460E-AC8B-F4004E88149D}" id="{46AAFABB-0E2A-44C3-8142-01EB29EB3039}" parentId="{2B44A3E9-220A-4F02-A435-71D4BADBDCE2}">
    <text>WHO recommendation: muscle-strengthening activities at moderate or greater intensity that involve all major muscle groups on at least 2 or more days a week</text>
  </threadedComment>
  <threadedComment ref="J15" dT="2025-11-16T19:22:26.08" personId="{F2378F52-9601-460E-AC8B-F4004E88149D}" id="{8DB0A22B-048F-4399-B496-DA1F76B7BC59}">
    <text>Or a general PC Task for this category.</text>
  </threadedComment>
  <threadedComment ref="T17" dT="2025-11-27T12:48:40.03" personId="{F2378F52-9601-460E-AC8B-F4004E88149D}" id="{65044636-D34D-4B10-9B2E-2D6102392E21}">
    <text>@Luca: I changed the baseline to two times a week as it is the minimun recommend by WHO and german guidelines</text>
  </threadedComment>
</ThreadedComments>
</file>

<file path=xl/threadedComments/threadedComment2.xml><?xml version="1.0" encoding="utf-8"?>
<ThreadedComments xmlns="http://schemas.microsoft.com/office/spreadsheetml/2018/threadedcomments" xmlns:x="http://schemas.openxmlformats.org/spreadsheetml/2006/main">
  <threadedComment ref="N54" dT="2026-01-16T18:28:31.44" personId="{D68F4E9B-042B-4D9A-A012-C7196045C2D7}" id="{BD0B523A-79DB-4771-94B8-93B66A5BC995}">
    <text>Have to check whether the scale for slider can change. If not, edit here</text>
  </threadedComment>
</ThreadedComments>
</file>

<file path=xl/threadedComments/threadedComment3.xml><?xml version="1.0" encoding="utf-8"?>
<ThreadedComments xmlns="http://schemas.microsoft.com/office/spreadsheetml/2018/threadedcomments" xmlns:x="http://schemas.openxmlformats.org/spreadsheetml/2006/main">
  <threadedComment ref="G5" dT="2025-11-17T09:08:15.53" personId="{F2378F52-9601-460E-AC8B-F4004E88149D}" id="{33FF714F-2376-994B-A706-A2EFAB449BFE}">
    <text>Task code</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loud.lih.lu/f/1936147" TargetMode="External"/><Relationship Id="rId1" Type="http://schemas.openxmlformats.org/officeDocument/2006/relationships/hyperlink" Target="https://cloud.lih.lu/f/1936355"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3" Type="http://schemas.openxmlformats.org/officeDocument/2006/relationships/hyperlink" Target="https://calendar.online/calendar-weeks/2026/13" TargetMode="External"/><Relationship Id="rId18" Type="http://schemas.openxmlformats.org/officeDocument/2006/relationships/hyperlink" Target="https://calendar.online/calendar-weeks/2026/18" TargetMode="External"/><Relationship Id="rId26" Type="http://schemas.openxmlformats.org/officeDocument/2006/relationships/hyperlink" Target="https://calendar.online/calendar-weeks/2026/26" TargetMode="External"/><Relationship Id="rId39" Type="http://schemas.openxmlformats.org/officeDocument/2006/relationships/hyperlink" Target="https://calendar.online/calendar-weeks/2026/39" TargetMode="External"/><Relationship Id="rId21" Type="http://schemas.openxmlformats.org/officeDocument/2006/relationships/hyperlink" Target="https://calendar.online/calendar-weeks/2026/21" TargetMode="External"/><Relationship Id="rId34" Type="http://schemas.openxmlformats.org/officeDocument/2006/relationships/hyperlink" Target="https://calendar.online/calendar-weeks/2026/34" TargetMode="External"/><Relationship Id="rId42" Type="http://schemas.openxmlformats.org/officeDocument/2006/relationships/hyperlink" Target="https://calendar.online/calendar-weeks/2026/42" TargetMode="External"/><Relationship Id="rId47" Type="http://schemas.openxmlformats.org/officeDocument/2006/relationships/hyperlink" Target="https://calendar.online/calendar-weeks/2026/47" TargetMode="External"/><Relationship Id="rId50" Type="http://schemas.openxmlformats.org/officeDocument/2006/relationships/hyperlink" Target="https://calendar.online/calendar-weeks/2026/50" TargetMode="External"/><Relationship Id="rId55" Type="http://schemas.openxmlformats.org/officeDocument/2006/relationships/hyperlink" Target="https://calendar.online/calendar-weeks/2027/2" TargetMode="External"/><Relationship Id="rId7" Type="http://schemas.openxmlformats.org/officeDocument/2006/relationships/hyperlink" Target="https://calendar.online/calendar-weeks/2026/7" TargetMode="External"/><Relationship Id="rId2" Type="http://schemas.openxmlformats.org/officeDocument/2006/relationships/hyperlink" Target="https://calendar.online/calendar-weeks/2026/2" TargetMode="External"/><Relationship Id="rId16" Type="http://schemas.openxmlformats.org/officeDocument/2006/relationships/hyperlink" Target="https://calendar.online/calendar-weeks/2026/16" TargetMode="External"/><Relationship Id="rId29" Type="http://schemas.openxmlformats.org/officeDocument/2006/relationships/hyperlink" Target="https://calendar.online/calendar-weeks/2026/29" TargetMode="External"/><Relationship Id="rId11" Type="http://schemas.openxmlformats.org/officeDocument/2006/relationships/hyperlink" Target="https://calendar.online/calendar-weeks/2026/11" TargetMode="External"/><Relationship Id="rId24" Type="http://schemas.openxmlformats.org/officeDocument/2006/relationships/hyperlink" Target="https://calendar.online/calendar-weeks/2026/24" TargetMode="External"/><Relationship Id="rId32" Type="http://schemas.openxmlformats.org/officeDocument/2006/relationships/hyperlink" Target="https://calendar.online/calendar-weeks/2026/32" TargetMode="External"/><Relationship Id="rId37" Type="http://schemas.openxmlformats.org/officeDocument/2006/relationships/hyperlink" Target="https://calendar.online/calendar-weeks/2026/37" TargetMode="External"/><Relationship Id="rId40" Type="http://schemas.openxmlformats.org/officeDocument/2006/relationships/hyperlink" Target="https://calendar.online/calendar-weeks/2026/40" TargetMode="External"/><Relationship Id="rId45" Type="http://schemas.openxmlformats.org/officeDocument/2006/relationships/hyperlink" Target="https://calendar.online/calendar-weeks/2026/45" TargetMode="External"/><Relationship Id="rId53" Type="http://schemas.openxmlformats.org/officeDocument/2006/relationships/hyperlink" Target="https://calendar.online/calendar-weeks/2026/53" TargetMode="External"/><Relationship Id="rId58" Type="http://schemas.openxmlformats.org/officeDocument/2006/relationships/hyperlink" Target="https://calendar.online/calendar-weeks/2027/5" TargetMode="External"/><Relationship Id="rId5" Type="http://schemas.openxmlformats.org/officeDocument/2006/relationships/hyperlink" Target="https://calendar.online/calendar-weeks/2026/5" TargetMode="External"/><Relationship Id="rId19" Type="http://schemas.openxmlformats.org/officeDocument/2006/relationships/hyperlink" Target="https://calendar.online/calendar-weeks/2026/19" TargetMode="External"/><Relationship Id="rId4" Type="http://schemas.openxmlformats.org/officeDocument/2006/relationships/hyperlink" Target="https://calendar.online/calendar-weeks/2026/4" TargetMode="External"/><Relationship Id="rId9" Type="http://schemas.openxmlformats.org/officeDocument/2006/relationships/hyperlink" Target="https://calendar.online/calendar-weeks/2026/9" TargetMode="External"/><Relationship Id="rId14" Type="http://schemas.openxmlformats.org/officeDocument/2006/relationships/hyperlink" Target="https://calendar.online/calendar-weeks/2026/14" TargetMode="External"/><Relationship Id="rId22" Type="http://schemas.openxmlformats.org/officeDocument/2006/relationships/hyperlink" Target="https://calendar.online/calendar-weeks/2026/22" TargetMode="External"/><Relationship Id="rId27" Type="http://schemas.openxmlformats.org/officeDocument/2006/relationships/hyperlink" Target="https://calendar.online/calendar-weeks/2026/27" TargetMode="External"/><Relationship Id="rId30" Type="http://schemas.openxmlformats.org/officeDocument/2006/relationships/hyperlink" Target="https://calendar.online/calendar-weeks/2026/30" TargetMode="External"/><Relationship Id="rId35" Type="http://schemas.openxmlformats.org/officeDocument/2006/relationships/hyperlink" Target="https://calendar.online/calendar-weeks/2026/35" TargetMode="External"/><Relationship Id="rId43" Type="http://schemas.openxmlformats.org/officeDocument/2006/relationships/hyperlink" Target="https://calendar.online/calendar-weeks/2026/43" TargetMode="External"/><Relationship Id="rId48" Type="http://schemas.openxmlformats.org/officeDocument/2006/relationships/hyperlink" Target="https://calendar.online/calendar-weeks/2026/48" TargetMode="External"/><Relationship Id="rId56" Type="http://schemas.openxmlformats.org/officeDocument/2006/relationships/hyperlink" Target="https://calendar.online/calendar-weeks/2027/3" TargetMode="External"/><Relationship Id="rId8" Type="http://schemas.openxmlformats.org/officeDocument/2006/relationships/hyperlink" Target="https://calendar.online/calendar-weeks/2026/8" TargetMode="External"/><Relationship Id="rId51" Type="http://schemas.openxmlformats.org/officeDocument/2006/relationships/hyperlink" Target="https://calendar.online/calendar-weeks/2026/51" TargetMode="External"/><Relationship Id="rId3" Type="http://schemas.openxmlformats.org/officeDocument/2006/relationships/hyperlink" Target="https://calendar.online/calendar-weeks/2026/3" TargetMode="External"/><Relationship Id="rId12" Type="http://schemas.openxmlformats.org/officeDocument/2006/relationships/hyperlink" Target="https://calendar.online/calendar-weeks/2026/12" TargetMode="External"/><Relationship Id="rId17" Type="http://schemas.openxmlformats.org/officeDocument/2006/relationships/hyperlink" Target="https://calendar.online/calendar-weeks/2026/17" TargetMode="External"/><Relationship Id="rId25" Type="http://schemas.openxmlformats.org/officeDocument/2006/relationships/hyperlink" Target="https://calendar.online/calendar-weeks/2026/25" TargetMode="External"/><Relationship Id="rId33" Type="http://schemas.openxmlformats.org/officeDocument/2006/relationships/hyperlink" Target="https://calendar.online/calendar-weeks/2026/33" TargetMode="External"/><Relationship Id="rId38" Type="http://schemas.openxmlformats.org/officeDocument/2006/relationships/hyperlink" Target="https://calendar.online/calendar-weeks/2026/38" TargetMode="External"/><Relationship Id="rId46" Type="http://schemas.openxmlformats.org/officeDocument/2006/relationships/hyperlink" Target="https://calendar.online/calendar-weeks/2026/46" TargetMode="External"/><Relationship Id="rId59" Type="http://schemas.openxmlformats.org/officeDocument/2006/relationships/hyperlink" Target="https://calendar.online/calendar-weeks/2027/6" TargetMode="External"/><Relationship Id="rId20" Type="http://schemas.openxmlformats.org/officeDocument/2006/relationships/hyperlink" Target="https://calendar.online/calendar-weeks/2026/20" TargetMode="External"/><Relationship Id="rId41" Type="http://schemas.openxmlformats.org/officeDocument/2006/relationships/hyperlink" Target="https://calendar.online/calendar-weeks/2026/41" TargetMode="External"/><Relationship Id="rId54" Type="http://schemas.openxmlformats.org/officeDocument/2006/relationships/hyperlink" Target="https://calendar.online/calendar-weeks/2027/1" TargetMode="External"/><Relationship Id="rId1" Type="http://schemas.openxmlformats.org/officeDocument/2006/relationships/hyperlink" Target="https://calendar.online/calendar-weeks/2026/1" TargetMode="External"/><Relationship Id="rId6" Type="http://schemas.openxmlformats.org/officeDocument/2006/relationships/hyperlink" Target="https://calendar.online/calendar-weeks/2026/6" TargetMode="External"/><Relationship Id="rId15" Type="http://schemas.openxmlformats.org/officeDocument/2006/relationships/hyperlink" Target="https://calendar.online/calendar-weeks/2026/15" TargetMode="External"/><Relationship Id="rId23" Type="http://schemas.openxmlformats.org/officeDocument/2006/relationships/hyperlink" Target="https://calendar.online/calendar-weeks/2026/23" TargetMode="External"/><Relationship Id="rId28" Type="http://schemas.openxmlformats.org/officeDocument/2006/relationships/hyperlink" Target="https://calendar.online/calendar-weeks/2026/28" TargetMode="External"/><Relationship Id="rId36" Type="http://schemas.openxmlformats.org/officeDocument/2006/relationships/hyperlink" Target="https://calendar.online/calendar-weeks/2026/36" TargetMode="External"/><Relationship Id="rId49" Type="http://schemas.openxmlformats.org/officeDocument/2006/relationships/hyperlink" Target="https://calendar.online/calendar-weeks/2026/49" TargetMode="External"/><Relationship Id="rId57" Type="http://schemas.openxmlformats.org/officeDocument/2006/relationships/hyperlink" Target="https://calendar.online/calendar-weeks/2027/4" TargetMode="External"/><Relationship Id="rId10" Type="http://schemas.openxmlformats.org/officeDocument/2006/relationships/hyperlink" Target="https://calendar.online/calendar-weeks/2026/10" TargetMode="External"/><Relationship Id="rId31" Type="http://schemas.openxmlformats.org/officeDocument/2006/relationships/hyperlink" Target="https://calendar.online/calendar-weeks/2026/31" TargetMode="External"/><Relationship Id="rId44" Type="http://schemas.openxmlformats.org/officeDocument/2006/relationships/hyperlink" Target="https://calendar.online/calendar-weeks/2026/44" TargetMode="External"/><Relationship Id="rId52" Type="http://schemas.openxmlformats.org/officeDocument/2006/relationships/hyperlink" Target="https://calendar.online/calendar-weeks/2026/52" TargetMode="External"/><Relationship Id="rId60" Type="http://schemas.openxmlformats.org/officeDocument/2006/relationships/hyperlink" Target="https://calendar.online/calendar-weeks/2027/6" TargetMode="External"/></Relationships>
</file>

<file path=xl/worksheets/_rels/sheet10.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vmlDrawing" Target="../drawings/vmlDrawing3.v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 Id="rId9"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CB24-1AAA-4F0B-A580-D308EB33C792}">
  <dimension ref="A1:Z56"/>
  <sheetViews>
    <sheetView topLeftCell="B15" workbookViewId="0">
      <selection activeCell="B15" sqref="B15"/>
    </sheetView>
  </sheetViews>
  <sheetFormatPr defaultColWidth="8.85546875" defaultRowHeight="14.45"/>
  <cols>
    <col min="2" max="2" width="26.85546875" customWidth="1"/>
  </cols>
  <sheetData>
    <row r="1" spans="1:7">
      <c r="A1" s="488" t="e" vm="1">
        <v>#VALUE!</v>
      </c>
      <c r="B1" s="488"/>
    </row>
    <row r="2" spans="1:7">
      <c r="A2" s="488"/>
      <c r="B2" s="488"/>
    </row>
    <row r="3" spans="1:7">
      <c r="A3" s="488"/>
      <c r="B3" s="488"/>
    </row>
    <row r="4" spans="1:7" s="86" customFormat="1">
      <c r="A4" s="229" t="s">
        <v>0</v>
      </c>
      <c r="B4" s="88" t="s">
        <v>1</v>
      </c>
      <c r="C4" s="88" t="s">
        <v>1</v>
      </c>
      <c r="D4" s="151" t="s">
        <v>1</v>
      </c>
      <c r="E4" s="151" t="s">
        <v>1</v>
      </c>
      <c r="F4" s="151" t="s">
        <v>1</v>
      </c>
      <c r="G4" s="151" t="s">
        <v>1</v>
      </c>
    </row>
    <row r="5" spans="1:7">
      <c r="A5" s="59"/>
      <c r="B5" s="205" t="s">
        <v>2</v>
      </c>
      <c r="C5" s="59"/>
      <c r="D5" s="85"/>
      <c r="E5" s="85"/>
      <c r="F5" s="85"/>
      <c r="G5" s="85"/>
    </row>
    <row r="6" spans="1:7" s="86" customFormat="1">
      <c r="A6" s="229" t="s">
        <v>3</v>
      </c>
      <c r="B6" s="88"/>
      <c r="C6" s="88" t="s">
        <v>1</v>
      </c>
      <c r="D6" s="151" t="s">
        <v>1</v>
      </c>
      <c r="E6" s="151" t="s">
        <v>1</v>
      </c>
      <c r="F6" s="151" t="s">
        <v>1</v>
      </c>
      <c r="G6" s="151" t="s">
        <v>1</v>
      </c>
    </row>
    <row r="7" spans="1:7">
      <c r="A7" s="7" t="s">
        <v>4</v>
      </c>
      <c r="B7" s="7" t="s">
        <v>5</v>
      </c>
      <c r="C7" s="7" t="s">
        <v>6</v>
      </c>
      <c r="D7" s="85"/>
      <c r="E7" s="85"/>
      <c r="F7" s="85"/>
      <c r="G7" s="85"/>
    </row>
    <row r="8" spans="1:7">
      <c r="A8" s="7">
        <v>1</v>
      </c>
      <c r="B8" s="205" t="s">
        <v>7</v>
      </c>
      <c r="C8" s="205" t="s">
        <v>8</v>
      </c>
      <c r="D8" s="85"/>
      <c r="E8" s="85"/>
      <c r="F8" s="85"/>
      <c r="G8" s="85"/>
    </row>
    <row r="9" spans="1:7">
      <c r="A9" s="7">
        <v>2</v>
      </c>
      <c r="B9" s="205" t="s">
        <v>9</v>
      </c>
      <c r="C9" s="205" t="s">
        <v>10</v>
      </c>
      <c r="D9" s="85"/>
      <c r="E9" s="85"/>
      <c r="F9" s="85"/>
      <c r="G9" s="85"/>
    </row>
    <row r="10" spans="1:7">
      <c r="A10" s="7">
        <v>3</v>
      </c>
      <c r="B10" s="59" t="s">
        <v>11</v>
      </c>
      <c r="C10" s="205" t="s">
        <v>12</v>
      </c>
      <c r="D10" s="85"/>
      <c r="E10" s="85"/>
      <c r="F10" s="85"/>
      <c r="G10" s="85"/>
    </row>
    <row r="11" spans="1:7">
      <c r="A11" s="7">
        <v>4</v>
      </c>
      <c r="B11" s="59" t="s">
        <v>13</v>
      </c>
      <c r="C11" s="205" t="s">
        <v>14</v>
      </c>
      <c r="D11" s="85"/>
      <c r="E11" s="85"/>
      <c r="F11" s="85"/>
      <c r="G11" s="85"/>
    </row>
    <row r="12" spans="1:7">
      <c r="A12" s="7">
        <v>5</v>
      </c>
      <c r="B12" s="87" t="s">
        <v>15</v>
      </c>
      <c r="C12" t="s">
        <v>16</v>
      </c>
      <c r="D12" s="85"/>
      <c r="E12" s="85"/>
      <c r="F12" s="85"/>
      <c r="G12" s="85"/>
    </row>
    <row r="13" spans="1:7">
      <c r="A13" s="7">
        <v>6</v>
      </c>
      <c r="B13" s="59" t="s">
        <v>17</v>
      </c>
      <c r="C13" s="205" t="s">
        <v>18</v>
      </c>
      <c r="D13" s="85"/>
      <c r="E13" s="85"/>
      <c r="F13" s="85"/>
      <c r="G13" s="85"/>
    </row>
    <row r="14" spans="1:7">
      <c r="A14" s="7">
        <v>7</v>
      </c>
      <c r="B14" s="205" t="s">
        <v>19</v>
      </c>
      <c r="C14" s="205" t="s">
        <v>20</v>
      </c>
      <c r="D14" s="85"/>
      <c r="E14" s="85"/>
      <c r="F14" s="85"/>
      <c r="G14" s="85"/>
    </row>
    <row r="15" spans="1:7">
      <c r="A15" s="7">
        <v>8</v>
      </c>
      <c r="B15" s="59" t="s">
        <v>21</v>
      </c>
      <c r="C15" s="205" t="s">
        <v>22</v>
      </c>
      <c r="D15" s="85"/>
      <c r="E15" s="85"/>
      <c r="F15" s="85"/>
      <c r="G15" s="85"/>
    </row>
    <row r="16" spans="1:7">
      <c r="A16" s="223">
        <v>9</v>
      </c>
      <c r="B16" s="239" t="s">
        <v>23</v>
      </c>
      <c r="C16" s="205" t="s">
        <v>24</v>
      </c>
      <c r="D16" s="85"/>
      <c r="E16" s="85"/>
      <c r="F16" s="85"/>
      <c r="G16" s="85"/>
    </row>
    <row r="18" spans="1:26" s="86" customFormat="1">
      <c r="A18" s="230" t="s">
        <v>25</v>
      </c>
    </row>
    <row r="20" spans="1:26">
      <c r="A20" s="2" t="s">
        <v>26</v>
      </c>
      <c r="B20" s="233" t="s">
        <v>27</v>
      </c>
      <c r="C20" s="232"/>
      <c r="D20" s="232"/>
      <c r="E20" s="232"/>
      <c r="F20" s="232"/>
      <c r="G20" s="232"/>
      <c r="H20" s="232"/>
      <c r="I20" s="232"/>
      <c r="J20" s="232"/>
      <c r="K20" s="232"/>
      <c r="L20" s="232"/>
      <c r="M20" s="232"/>
      <c r="N20" s="232"/>
      <c r="O20" s="232"/>
      <c r="P20" s="232"/>
      <c r="Q20" s="232"/>
      <c r="R20" s="232"/>
      <c r="S20" s="232"/>
      <c r="T20" s="232"/>
      <c r="U20" s="232"/>
      <c r="V20" s="232"/>
      <c r="W20" s="232"/>
      <c r="X20" s="232"/>
      <c r="Y20" s="232"/>
      <c r="Z20" s="232"/>
    </row>
    <row r="21" spans="1:26">
      <c r="A21" s="2" t="s">
        <v>28</v>
      </c>
      <c r="B21" t="s">
        <v>29</v>
      </c>
    </row>
    <row r="22" spans="1:26">
      <c r="A22" s="2" t="s">
        <v>30</v>
      </c>
      <c r="B22" t="s">
        <v>31</v>
      </c>
    </row>
    <row r="23" spans="1:26">
      <c r="B23" t="s">
        <v>32</v>
      </c>
      <c r="H23" s="231" t="s">
        <v>33</v>
      </c>
    </row>
    <row r="24" spans="1:26">
      <c r="B24" s="2" t="s">
        <v>34</v>
      </c>
      <c r="K24" s="231" t="s">
        <v>35</v>
      </c>
    </row>
    <row r="25" spans="1:26">
      <c r="B25" t="s">
        <v>36</v>
      </c>
    </row>
    <row r="26" spans="1:26">
      <c r="A26" s="2" t="s">
        <v>37</v>
      </c>
      <c r="B26" t="s">
        <v>38</v>
      </c>
    </row>
    <row r="27" spans="1:26">
      <c r="A27" s="2" t="s">
        <v>39</v>
      </c>
      <c r="B27" t="s">
        <v>40</v>
      </c>
    </row>
    <row r="28" spans="1:26">
      <c r="A28" s="2" t="s">
        <v>41</v>
      </c>
      <c r="B28" t="s">
        <v>42</v>
      </c>
    </row>
    <row r="44" spans="1:2">
      <c r="A44" s="2" t="s">
        <v>43</v>
      </c>
      <c r="B44" t="s">
        <v>44</v>
      </c>
    </row>
    <row r="45" spans="1:2">
      <c r="A45" s="2" t="s">
        <v>45</v>
      </c>
      <c r="B45" t="s">
        <v>46</v>
      </c>
    </row>
    <row r="46" spans="1:2">
      <c r="A46" s="2" t="s">
        <v>47</v>
      </c>
      <c r="B46" t="s">
        <v>48</v>
      </c>
    </row>
    <row r="47" spans="1:2">
      <c r="A47" s="2" t="s">
        <v>49</v>
      </c>
      <c r="B47" t="s">
        <v>50</v>
      </c>
    </row>
    <row r="48" spans="1:2">
      <c r="B48" t="s">
        <v>51</v>
      </c>
    </row>
    <row r="49" spans="2:2">
      <c r="B49" t="s">
        <v>52</v>
      </c>
    </row>
    <row r="50" spans="2:2">
      <c r="B50" t="s">
        <v>53</v>
      </c>
    </row>
    <row r="51" spans="2:2">
      <c r="B51" t="s">
        <v>54</v>
      </c>
    </row>
    <row r="52" spans="2:2">
      <c r="B52" s="2" t="s">
        <v>55</v>
      </c>
    </row>
    <row r="53" spans="2:2">
      <c r="B53" t="s">
        <v>56</v>
      </c>
    </row>
    <row r="54" spans="2:2">
      <c r="B54" s="2" t="s">
        <v>57</v>
      </c>
    </row>
    <row r="55" spans="2:2">
      <c r="B55" s="2" t="s">
        <v>58</v>
      </c>
    </row>
    <row r="56" spans="2:2">
      <c r="B56" s="2" t="s">
        <v>59</v>
      </c>
    </row>
  </sheetData>
  <mergeCells count="1">
    <mergeCell ref="A1:B3"/>
  </mergeCells>
  <hyperlinks>
    <hyperlink ref="H23" r:id="rId1" xr:uid="{F03D9F20-9B69-433B-B0AF-5044DAE83277}"/>
    <hyperlink ref="K24" r:id="rId2" xr:uid="{14EA3FC8-A174-49FB-9F2C-7A739F03898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39A1-A20E-074D-B665-AC90F11DE225}">
  <dimension ref="A3:D9"/>
  <sheetViews>
    <sheetView workbookViewId="0">
      <selection activeCell="H16" sqref="H16"/>
    </sheetView>
  </sheetViews>
  <sheetFormatPr defaultColWidth="11.42578125" defaultRowHeight="14.45"/>
  <cols>
    <col min="1" max="1" width="25.85546875" customWidth="1"/>
    <col min="2" max="2" width="25" customWidth="1"/>
    <col min="3" max="3" width="20.7109375" customWidth="1"/>
    <col min="4" max="4" width="30.85546875" customWidth="1"/>
  </cols>
  <sheetData>
    <row r="3" spans="1:4">
      <c r="A3" t="s">
        <v>60</v>
      </c>
      <c r="B3" t="s">
        <v>61</v>
      </c>
      <c r="C3" t="s">
        <v>62</v>
      </c>
      <c r="D3" t="s">
        <v>63</v>
      </c>
    </row>
    <row r="4" spans="1:4">
      <c r="A4" t="s">
        <v>64</v>
      </c>
      <c r="B4" t="s">
        <v>65</v>
      </c>
      <c r="C4" t="s">
        <v>66</v>
      </c>
      <c r="D4" t="s">
        <v>67</v>
      </c>
    </row>
    <row r="5" spans="1:4">
      <c r="A5" t="s">
        <v>64</v>
      </c>
      <c r="B5" t="s">
        <v>68</v>
      </c>
      <c r="C5" t="s">
        <v>69</v>
      </c>
      <c r="D5" t="s">
        <v>70</v>
      </c>
    </row>
    <row r="6" spans="1:4">
      <c r="A6" t="s">
        <v>71</v>
      </c>
      <c r="B6" t="s">
        <v>68</v>
      </c>
      <c r="C6" t="s">
        <v>72</v>
      </c>
      <c r="D6" t="s">
        <v>70</v>
      </c>
    </row>
    <row r="7" spans="1:4">
      <c r="A7" t="s">
        <v>73</v>
      </c>
      <c r="B7" t="s">
        <v>68</v>
      </c>
      <c r="C7" t="s">
        <v>74</v>
      </c>
      <c r="D7" t="s">
        <v>70</v>
      </c>
    </row>
    <row r="8" spans="1:4">
      <c r="A8" t="s">
        <v>73</v>
      </c>
      <c r="B8" t="s">
        <v>65</v>
      </c>
      <c r="C8" t="s">
        <v>75</v>
      </c>
      <c r="D8" t="s">
        <v>76</v>
      </c>
    </row>
    <row r="9" spans="1:4">
      <c r="A9" t="s">
        <v>71</v>
      </c>
      <c r="B9" t="s">
        <v>65</v>
      </c>
      <c r="C9" t="s">
        <v>77</v>
      </c>
      <c r="D9" t="s">
        <v>78</v>
      </c>
    </row>
  </sheetData>
  <dataValidations count="2">
    <dataValidation type="list" allowBlank="1" showInputMessage="1" showErrorMessage="1" sqref="A4:A16" xr:uid="{718F6547-0C57-7B4F-8917-4E673612CB37}">
      <formula1>INDIRECT("Dimensions[Dimensions]")</formula1>
    </dataValidation>
    <dataValidation type="list" allowBlank="1" showInputMessage="1" showErrorMessage="1" sqref="B4:B16" xr:uid="{912BF659-6DE9-AA41-975C-37B71E688F53}">
      <formula1>INDIRECT("TargetGroups[TargetGroups]")</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0F90-531D-A346-8506-D174CFB5C412}">
  <dimension ref="A2:G12"/>
  <sheetViews>
    <sheetView tabSelected="1" zoomScale="120" zoomScaleNormal="120" workbookViewId="0">
      <selection activeCell="H3" sqref="H3"/>
    </sheetView>
  </sheetViews>
  <sheetFormatPr defaultColWidth="10.85546875" defaultRowHeight="15.75" customHeight="1"/>
  <cols>
    <col min="1" max="1" width="10.85546875" style="147"/>
    <col min="2" max="2" width="17.140625" style="147" customWidth="1"/>
    <col min="3" max="3" width="13.42578125" style="147" customWidth="1"/>
    <col min="4" max="4" width="10.85546875" style="147" customWidth="1"/>
    <col min="5" max="5" width="18.42578125" style="147" customWidth="1"/>
    <col min="6" max="6" width="12.7109375" style="147" customWidth="1"/>
    <col min="7" max="7" width="19.140625" style="147" customWidth="1"/>
    <col min="8" max="16384" width="10.85546875" style="147"/>
  </cols>
  <sheetData>
    <row r="2" spans="1:7" ht="55.5" customHeight="1">
      <c r="A2" s="150" t="s">
        <v>79</v>
      </c>
      <c r="B2" s="148" t="s">
        <v>80</v>
      </c>
      <c r="C2" s="148" t="s">
        <v>81</v>
      </c>
      <c r="D2" s="148" t="s">
        <v>82</v>
      </c>
      <c r="E2" s="148" t="s">
        <v>83</v>
      </c>
      <c r="F2" s="150" t="s">
        <v>84</v>
      </c>
    </row>
    <row r="3" spans="1:7">
      <c r="A3" s="149" t="str">
        <f t="shared" ref="A3:A10" si="0">"Level "&amp;ROW()-2</f>
        <v>Level 1</v>
      </c>
      <c r="B3" s="149" t="s">
        <v>85</v>
      </c>
      <c r="C3" s="149" t="s">
        <v>86</v>
      </c>
      <c r="D3" s="149" t="s">
        <v>87</v>
      </c>
      <c r="E3" t="s">
        <v>88</v>
      </c>
      <c r="F3" s="149" t="s">
        <v>89</v>
      </c>
    </row>
    <row r="4" spans="1:7">
      <c r="A4" s="149" t="str">
        <f t="shared" si="0"/>
        <v>Level 2</v>
      </c>
      <c r="B4" s="149" t="s">
        <v>86</v>
      </c>
      <c r="C4" s="149" t="s">
        <v>90</v>
      </c>
      <c r="D4" s="149" t="s">
        <v>91</v>
      </c>
      <c r="E4" s="487" t="s">
        <v>92</v>
      </c>
      <c r="F4" s="149" t="s">
        <v>93</v>
      </c>
    </row>
    <row r="5" spans="1:7">
      <c r="A5" s="217" t="str">
        <f>"Level "&amp;ROW()-2</f>
        <v>Level 3</v>
      </c>
      <c r="B5" s="217" t="s">
        <v>90</v>
      </c>
      <c r="C5" s="217" t="s">
        <v>94</v>
      </c>
      <c r="D5" s="217" t="s">
        <v>95</v>
      </c>
      <c r="E5" s="59" t="s">
        <v>96</v>
      </c>
      <c r="F5" s="217" t="s">
        <v>97</v>
      </c>
      <c r="G5" s="489" t="s">
        <v>98</v>
      </c>
    </row>
    <row r="6" spans="1:7">
      <c r="A6" s="149" t="str">
        <f t="shared" si="0"/>
        <v>Level 4</v>
      </c>
      <c r="B6" s="149" t="s">
        <v>94</v>
      </c>
      <c r="C6" s="149" t="s">
        <v>95</v>
      </c>
      <c r="D6" s="149" t="s">
        <v>99</v>
      </c>
      <c r="E6" s="59" t="s">
        <v>100</v>
      </c>
      <c r="F6" s="149" t="s">
        <v>101</v>
      </c>
      <c r="G6" s="490"/>
    </row>
    <row r="7" spans="1:7">
      <c r="A7" s="149" t="str">
        <f t="shared" si="0"/>
        <v>Level 5</v>
      </c>
      <c r="B7" s="149" t="s">
        <v>85</v>
      </c>
      <c r="C7" s="149" t="s">
        <v>102</v>
      </c>
      <c r="D7" s="149" t="s">
        <v>103</v>
      </c>
      <c r="E7" s="59" t="s">
        <v>104</v>
      </c>
      <c r="F7" s="149" t="s">
        <v>105</v>
      </c>
    </row>
    <row r="8" spans="1:7">
      <c r="A8" s="149" t="str">
        <f t="shared" si="0"/>
        <v>Level 6</v>
      </c>
      <c r="B8" s="149" t="s">
        <v>102</v>
      </c>
      <c r="C8" s="149" t="s">
        <v>106</v>
      </c>
      <c r="D8" s="149" t="s">
        <v>107</v>
      </c>
      <c r="E8" s="59" t="s">
        <v>108</v>
      </c>
      <c r="F8" s="149" t="s">
        <v>109</v>
      </c>
    </row>
    <row r="9" spans="1:7">
      <c r="A9" s="149" t="str">
        <f t="shared" si="0"/>
        <v>Level 7</v>
      </c>
      <c r="B9" s="149" t="s">
        <v>106</v>
      </c>
      <c r="C9" s="149" t="s">
        <v>110</v>
      </c>
      <c r="D9" s="149" t="s">
        <v>111</v>
      </c>
      <c r="E9" s="59" t="s">
        <v>112</v>
      </c>
      <c r="F9" s="149" t="s">
        <v>113</v>
      </c>
    </row>
    <row r="10" spans="1:7">
      <c r="A10" s="149" t="str">
        <f t="shared" si="0"/>
        <v>Level 8</v>
      </c>
      <c r="B10" s="149" t="s">
        <v>110</v>
      </c>
      <c r="C10" s="149" t="s">
        <v>114</v>
      </c>
      <c r="D10" s="149" t="s">
        <v>85</v>
      </c>
      <c r="E10" s="59" t="s">
        <v>115</v>
      </c>
      <c r="F10" s="149" t="s">
        <v>116</v>
      </c>
    </row>
    <row r="12" spans="1:7" ht="191.45" customHeight="1">
      <c r="B12" s="218" t="s">
        <v>117</v>
      </c>
      <c r="C12" s="218" t="s">
        <v>118</v>
      </c>
      <c r="D12" s="218" t="s">
        <v>119</v>
      </c>
      <c r="E12" s="218"/>
    </row>
  </sheetData>
  <mergeCells count="1">
    <mergeCell ref="G5:G6"/>
  </mergeCells>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3342-C2CD-42AE-BA5C-5C71C2A07385}">
  <dimension ref="A1:Z66"/>
  <sheetViews>
    <sheetView topLeftCell="B1" zoomScale="110" zoomScaleNormal="110" workbookViewId="0">
      <pane xSplit="4" ySplit="3" topLeftCell="F27" activePane="bottomRight" state="frozen"/>
      <selection pane="bottomRight" activeCell="E33" sqref="E33"/>
      <selection pane="bottomLeft" activeCell="B4" sqref="B4"/>
      <selection pane="topRight" activeCell="F1" sqref="F1"/>
    </sheetView>
  </sheetViews>
  <sheetFormatPr defaultColWidth="11.42578125" defaultRowHeight="15" customHeight="1"/>
  <cols>
    <col min="1" max="1" width="17.42578125" customWidth="1"/>
    <col min="2" max="2" width="8" customWidth="1"/>
    <col min="3" max="3" width="31.42578125" customWidth="1"/>
    <col min="4" max="4" width="6.42578125" customWidth="1"/>
    <col min="5" max="5" width="25.28515625" customWidth="1"/>
    <col min="6" max="6" width="25" style="3" customWidth="1"/>
    <col min="7" max="7" width="22" customWidth="1"/>
    <col min="8" max="9" width="25.28515625" customWidth="1"/>
    <col min="10" max="10" width="50.7109375" customWidth="1"/>
    <col min="11" max="11" width="50.7109375" style="121" customWidth="1"/>
    <col min="12" max="12" width="50.7109375" customWidth="1"/>
    <col min="13" max="13" width="50.7109375" style="121" customWidth="1"/>
    <col min="14" max="14" width="50.7109375" customWidth="1"/>
    <col min="15" max="15" width="50.7109375" style="170" customWidth="1"/>
    <col min="16" max="23" width="50.7109375" customWidth="1"/>
    <col min="24" max="24" width="12.42578125" customWidth="1"/>
    <col min="25" max="25" width="12.7109375" customWidth="1"/>
  </cols>
  <sheetData>
    <row r="1" spans="1:26" ht="14.45">
      <c r="J1" s="496" t="s">
        <v>120</v>
      </c>
      <c r="K1" s="496"/>
      <c r="L1" s="496"/>
      <c r="M1" s="496"/>
      <c r="N1" s="496"/>
      <c r="O1" s="496"/>
      <c r="P1" s="496"/>
      <c r="Q1" s="496"/>
      <c r="R1" s="496"/>
      <c r="S1" s="496"/>
      <c r="T1" s="496"/>
      <c r="U1" s="496"/>
      <c r="V1" s="496"/>
      <c r="W1" s="496"/>
    </row>
    <row r="2" spans="1:26" ht="14.45">
      <c r="J2" s="507" t="s">
        <v>121</v>
      </c>
      <c r="K2" s="508"/>
      <c r="L2" s="509" t="s">
        <v>122</v>
      </c>
      <c r="M2" s="510"/>
      <c r="N2" s="505" t="s">
        <v>123</v>
      </c>
      <c r="O2" s="505"/>
      <c r="P2" s="497" t="s">
        <v>124</v>
      </c>
      <c r="Q2" s="497"/>
      <c r="R2" s="497"/>
      <c r="S2" s="498"/>
      <c r="T2" s="499" t="s">
        <v>125</v>
      </c>
      <c r="U2" s="499"/>
      <c r="V2" s="499"/>
      <c r="W2" s="500"/>
      <c r="X2" s="5"/>
      <c r="Y2" s="5"/>
      <c r="Z2" s="5"/>
    </row>
    <row r="3" spans="1:26" ht="14.45">
      <c r="A3" s="2" t="s">
        <v>60</v>
      </c>
      <c r="B3" s="2"/>
      <c r="C3" s="135" t="s">
        <v>126</v>
      </c>
      <c r="D3" s="6"/>
      <c r="E3" s="7" t="s">
        <v>127</v>
      </c>
      <c r="F3" s="143" t="s">
        <v>128</v>
      </c>
      <c r="G3" s="132" t="s">
        <v>129</v>
      </c>
      <c r="H3" s="132" t="s">
        <v>130</v>
      </c>
      <c r="I3" s="132" t="s">
        <v>131</v>
      </c>
      <c r="J3" s="10" t="s">
        <v>86</v>
      </c>
      <c r="K3" s="112" t="s">
        <v>132</v>
      </c>
      <c r="L3" s="4" t="s">
        <v>90</v>
      </c>
      <c r="M3" s="112" t="s">
        <v>133</v>
      </c>
      <c r="N3" s="4" t="s">
        <v>94</v>
      </c>
      <c r="O3" s="162" t="s">
        <v>134</v>
      </c>
      <c r="P3" s="4" t="s">
        <v>135</v>
      </c>
      <c r="Q3" s="4" t="s">
        <v>136</v>
      </c>
      <c r="R3" s="4" t="s">
        <v>137</v>
      </c>
      <c r="S3" s="11" t="s">
        <v>138</v>
      </c>
      <c r="T3" s="4" t="s">
        <v>102</v>
      </c>
      <c r="U3" s="4" t="s">
        <v>106</v>
      </c>
      <c r="V3" s="4" t="s">
        <v>110</v>
      </c>
      <c r="W3" s="11" t="s">
        <v>114</v>
      </c>
      <c r="X3" s="6"/>
    </row>
    <row r="4" spans="1:26" ht="44.25" customHeight="1">
      <c r="A4" s="2"/>
      <c r="B4" s="2"/>
      <c r="C4" s="7"/>
      <c r="D4" s="6"/>
      <c r="E4" s="7"/>
      <c r="J4" s="82" t="s">
        <v>139</v>
      </c>
      <c r="K4" s="113" t="s">
        <v>140</v>
      </c>
      <c r="L4" s="157" t="s">
        <v>141</v>
      </c>
      <c r="M4" s="113" t="s">
        <v>142</v>
      </c>
      <c r="N4" s="157" t="s">
        <v>143</v>
      </c>
      <c r="O4" s="163" t="s">
        <v>144</v>
      </c>
      <c r="P4" s="157" t="s">
        <v>145</v>
      </c>
      <c r="Q4" s="82" t="s">
        <v>146</v>
      </c>
      <c r="R4" s="82" t="s">
        <v>147</v>
      </c>
      <c r="S4" s="82" t="s">
        <v>148</v>
      </c>
      <c r="T4" s="82" t="s">
        <v>149</v>
      </c>
      <c r="U4" s="82" t="s">
        <v>150</v>
      </c>
      <c r="V4" s="82" t="s">
        <v>151</v>
      </c>
      <c r="W4" s="82" t="s">
        <v>152</v>
      </c>
      <c r="X4" s="6"/>
    </row>
    <row r="5" spans="1:26" ht="70.5" customHeight="1">
      <c r="A5" s="60" t="s">
        <v>64</v>
      </c>
      <c r="B5" s="63" t="s">
        <v>153</v>
      </c>
      <c r="C5" s="66" t="s">
        <v>154</v>
      </c>
      <c r="D5" s="66" t="s">
        <v>155</v>
      </c>
      <c r="E5" s="67" t="s">
        <v>156</v>
      </c>
      <c r="F5" s="133" t="s">
        <v>157</v>
      </c>
      <c r="G5" s="133" t="s">
        <v>158</v>
      </c>
      <c r="H5" s="128" t="s">
        <v>157</v>
      </c>
      <c r="I5" s="128" t="s">
        <v>159</v>
      </c>
      <c r="J5" s="142" t="s">
        <v>160</v>
      </c>
      <c r="K5" s="226" t="s">
        <v>161</v>
      </c>
      <c r="L5" s="227" t="s">
        <v>162</v>
      </c>
      <c r="M5" s="114" t="s">
        <v>163</v>
      </c>
      <c r="N5" s="141" t="s">
        <v>164</v>
      </c>
      <c r="O5" s="228" t="s">
        <v>165</v>
      </c>
      <c r="P5" s="158" t="s">
        <v>166</v>
      </c>
      <c r="Q5" s="142" t="s">
        <v>167</v>
      </c>
      <c r="R5" s="142" t="s">
        <v>168</v>
      </c>
      <c r="S5" s="142" t="s">
        <v>169</v>
      </c>
      <c r="T5" s="142" t="s">
        <v>170</v>
      </c>
      <c r="U5" s="142" t="s">
        <v>171</v>
      </c>
      <c r="V5" s="142" t="s">
        <v>172</v>
      </c>
      <c r="W5" s="142" t="s">
        <v>173</v>
      </c>
      <c r="X5" s="6"/>
    </row>
    <row r="6" spans="1:26" ht="59.25" customHeight="1">
      <c r="A6" s="60"/>
      <c r="B6" s="64" t="s">
        <v>174</v>
      </c>
      <c r="C6" s="65" t="s">
        <v>175</v>
      </c>
      <c r="D6" s="68" t="s">
        <v>176</v>
      </c>
      <c r="E6" s="68" t="s">
        <v>177</v>
      </c>
      <c r="F6" s="133" t="s">
        <v>157</v>
      </c>
      <c r="G6" s="133" t="s">
        <v>178</v>
      </c>
      <c r="H6" s="133" t="s">
        <v>179</v>
      </c>
      <c r="I6" s="133" t="s">
        <v>180</v>
      </c>
      <c r="J6" s="49" t="s">
        <v>181</v>
      </c>
      <c r="K6" s="115" t="s">
        <v>182</v>
      </c>
      <c r="L6" s="124" t="s">
        <v>183</v>
      </c>
      <c r="M6" s="122" t="s">
        <v>184</v>
      </c>
      <c r="N6" s="140" t="s">
        <v>185</v>
      </c>
      <c r="O6" s="164" t="s">
        <v>186</v>
      </c>
      <c r="P6" s="159" t="s">
        <v>187</v>
      </c>
      <c r="Q6" s="111" t="s">
        <v>188</v>
      </c>
      <c r="R6" s="111" t="s">
        <v>189</v>
      </c>
      <c r="S6" s="111" t="s">
        <v>190</v>
      </c>
      <c r="T6" s="111" t="s">
        <v>191</v>
      </c>
      <c r="U6" s="111" t="s">
        <v>192</v>
      </c>
      <c r="V6" s="111" t="s">
        <v>193</v>
      </c>
      <c r="W6" s="111" t="s">
        <v>194</v>
      </c>
      <c r="X6" s="6"/>
    </row>
    <row r="7" spans="1:26" ht="58.5" customHeight="1">
      <c r="A7" s="60"/>
      <c r="B7" s="80" t="s">
        <v>195</v>
      </c>
      <c r="C7" s="493" t="s">
        <v>196</v>
      </c>
      <c r="D7" s="69" t="s">
        <v>197</v>
      </c>
      <c r="E7" s="70" t="s">
        <v>198</v>
      </c>
      <c r="F7" s="133" t="s">
        <v>85</v>
      </c>
      <c r="G7" s="128" t="s">
        <v>85</v>
      </c>
      <c r="H7" s="128" t="s">
        <v>199</v>
      </c>
      <c r="I7" s="133" t="s">
        <v>200</v>
      </c>
      <c r="J7" s="81" t="s">
        <v>201</v>
      </c>
      <c r="K7" s="116" t="s">
        <v>202</v>
      </c>
      <c r="L7" s="501" t="s">
        <v>203</v>
      </c>
      <c r="M7" s="511" t="s">
        <v>204</v>
      </c>
      <c r="N7" s="501" t="s">
        <v>205</v>
      </c>
      <c r="O7" s="503" t="s">
        <v>206</v>
      </c>
      <c r="P7" s="160" t="s">
        <v>207</v>
      </c>
      <c r="Q7" s="139" t="s">
        <v>208</v>
      </c>
      <c r="R7" s="139" t="s">
        <v>209</v>
      </c>
      <c r="S7" s="139" t="s">
        <v>210</v>
      </c>
      <c r="T7" s="111" t="s">
        <v>211</v>
      </c>
      <c r="U7" s="111" t="s">
        <v>212</v>
      </c>
      <c r="V7" s="111" t="s">
        <v>213</v>
      </c>
      <c r="W7" s="111" t="s">
        <v>214</v>
      </c>
      <c r="X7" s="6"/>
    </row>
    <row r="8" spans="1:26" ht="69" customHeight="1">
      <c r="A8" s="60"/>
      <c r="B8" s="80"/>
      <c r="C8" s="493"/>
      <c r="D8" s="69" t="s">
        <v>215</v>
      </c>
      <c r="E8" s="70" t="s">
        <v>216</v>
      </c>
      <c r="F8" s="133" t="s">
        <v>85</v>
      </c>
      <c r="G8" s="128" t="s">
        <v>85</v>
      </c>
      <c r="H8" s="128" t="s">
        <v>199</v>
      </c>
      <c r="I8" s="130" t="s">
        <v>217</v>
      </c>
      <c r="J8" s="82"/>
      <c r="K8" s="113"/>
      <c r="L8" s="502"/>
      <c r="M8" s="512"/>
      <c r="N8" s="502"/>
      <c r="O8" s="504"/>
      <c r="P8" s="159" t="s">
        <v>218</v>
      </c>
      <c r="Q8" s="111" t="s">
        <v>219</v>
      </c>
      <c r="R8" s="111" t="s">
        <v>220</v>
      </c>
      <c r="S8" s="110" t="s">
        <v>221</v>
      </c>
      <c r="T8" s="49" t="s">
        <v>222</v>
      </c>
      <c r="U8" s="49" t="s">
        <v>223</v>
      </c>
      <c r="V8" s="49" t="s">
        <v>224</v>
      </c>
      <c r="W8" s="49" t="s">
        <v>225</v>
      </c>
      <c r="X8" s="6"/>
    </row>
    <row r="9" spans="1:26" ht="78.75" customHeight="1">
      <c r="A9" s="60"/>
      <c r="B9" s="84" t="s">
        <v>226</v>
      </c>
      <c r="C9" s="494" t="s">
        <v>227</v>
      </c>
      <c r="D9" s="71" t="s">
        <v>228</v>
      </c>
      <c r="E9" s="72" t="s">
        <v>229</v>
      </c>
      <c r="F9" s="130" t="s">
        <v>157</v>
      </c>
      <c r="G9" s="129"/>
      <c r="H9" s="129" t="s">
        <v>230</v>
      </c>
      <c r="I9" s="134" t="s">
        <v>231</v>
      </c>
      <c r="J9" s="433" t="s">
        <v>232</v>
      </c>
      <c r="K9" s="434" t="s">
        <v>233</v>
      </c>
      <c r="L9" s="140" t="s">
        <v>234</v>
      </c>
      <c r="M9" s="138" t="s">
        <v>235</v>
      </c>
      <c r="N9" s="438" t="s">
        <v>236</v>
      </c>
      <c r="O9" s="439" t="s">
        <v>237</v>
      </c>
      <c r="P9" s="124" t="s">
        <v>238</v>
      </c>
      <c r="Q9" s="49" t="s">
        <v>239</v>
      </c>
      <c r="R9" s="49" t="s">
        <v>240</v>
      </c>
      <c r="S9" s="49" t="s">
        <v>241</v>
      </c>
      <c r="T9" s="49" t="s">
        <v>242</v>
      </c>
      <c r="U9" s="49" t="s">
        <v>243</v>
      </c>
      <c r="V9" s="49" t="s">
        <v>244</v>
      </c>
      <c r="W9" s="49" t="s">
        <v>245</v>
      </c>
      <c r="X9" s="6"/>
    </row>
    <row r="10" spans="1:26" ht="48" customHeight="1">
      <c r="A10" s="60"/>
      <c r="B10" s="84"/>
      <c r="C10" s="494"/>
      <c r="D10" s="71" t="s">
        <v>246</v>
      </c>
      <c r="E10" s="72" t="s">
        <v>247</v>
      </c>
      <c r="F10" s="130" t="s">
        <v>157</v>
      </c>
      <c r="G10" s="129"/>
      <c r="H10" s="129" t="s">
        <v>230</v>
      </c>
      <c r="I10" s="134" t="s">
        <v>231</v>
      </c>
      <c r="J10" s="50"/>
      <c r="K10" s="117" t="s">
        <v>248</v>
      </c>
      <c r="L10" s="9"/>
      <c r="M10" s="118"/>
      <c r="N10" s="435" t="s">
        <v>249</v>
      </c>
      <c r="P10" s="161" t="s">
        <v>250</v>
      </c>
      <c r="Q10" s="110" t="s">
        <v>251</v>
      </c>
      <c r="R10" s="44"/>
      <c r="S10" s="50"/>
      <c r="T10" s="50"/>
      <c r="U10" s="50"/>
      <c r="V10" s="50"/>
      <c r="W10" s="50"/>
    </row>
    <row r="11" spans="1:26" ht="30.75" customHeight="1">
      <c r="A11" s="60"/>
      <c r="B11" s="84"/>
      <c r="C11" s="494"/>
      <c r="D11" s="71" t="s">
        <v>252</v>
      </c>
      <c r="E11" s="72" t="s">
        <v>253</v>
      </c>
      <c r="F11" s="130" t="s">
        <v>157</v>
      </c>
      <c r="G11" s="129"/>
      <c r="H11" s="129" t="s">
        <v>230</v>
      </c>
      <c r="I11" s="134" t="s">
        <v>231</v>
      </c>
      <c r="J11" s="110" t="s">
        <v>254</v>
      </c>
      <c r="K11" s="117"/>
      <c r="L11" s="127" t="s">
        <v>255</v>
      </c>
      <c r="M11" s="118"/>
      <c r="N11" s="435" t="s">
        <v>249</v>
      </c>
      <c r="O11" s="437"/>
      <c r="P11" s="57"/>
      <c r="Q11" s="44"/>
      <c r="R11" s="44"/>
      <c r="S11" s="50"/>
      <c r="T11" s="50"/>
      <c r="U11" s="50"/>
      <c r="V11" s="50"/>
      <c r="W11" s="50"/>
    </row>
    <row r="12" spans="1:26" ht="44.25" customHeight="1">
      <c r="A12" s="60"/>
      <c r="B12" s="84"/>
      <c r="C12" s="494"/>
      <c r="D12" s="71" t="s">
        <v>256</v>
      </c>
      <c r="E12" s="72" t="s">
        <v>257</v>
      </c>
      <c r="F12" s="130" t="s">
        <v>157</v>
      </c>
      <c r="G12" s="129"/>
      <c r="H12" s="129" t="s">
        <v>230</v>
      </c>
      <c r="I12" s="134" t="s">
        <v>231</v>
      </c>
      <c r="J12" s="50" t="s">
        <v>248</v>
      </c>
      <c r="K12" s="117" t="s">
        <v>248</v>
      </c>
      <c r="L12" s="57"/>
      <c r="M12" s="118"/>
      <c r="N12" s="435" t="s">
        <v>249</v>
      </c>
      <c r="O12" s="437"/>
      <c r="P12" s="161" t="s">
        <v>258</v>
      </c>
      <c r="Q12" s="48" t="s">
        <v>259</v>
      </c>
      <c r="R12" s="48" t="s">
        <v>260</v>
      </c>
      <c r="S12" s="48" t="s">
        <v>261</v>
      </c>
      <c r="T12" s="50"/>
      <c r="U12" s="50"/>
      <c r="V12" s="50"/>
      <c r="W12" s="50"/>
    </row>
    <row r="13" spans="1:26" ht="44.25" customHeight="1">
      <c r="A13" s="60"/>
      <c r="B13" s="84"/>
      <c r="C13" s="494"/>
      <c r="D13" s="71" t="s">
        <v>262</v>
      </c>
      <c r="E13" s="72" t="s">
        <v>263</v>
      </c>
      <c r="F13" s="130"/>
      <c r="G13" s="129"/>
      <c r="H13" s="129"/>
      <c r="I13" s="134"/>
      <c r="J13" s="110" t="s">
        <v>264</v>
      </c>
      <c r="K13" s="290" t="s">
        <v>265</v>
      </c>
      <c r="L13" s="57"/>
      <c r="M13" s="119"/>
      <c r="N13" s="435" t="s">
        <v>249</v>
      </c>
      <c r="O13" s="437"/>
      <c r="P13" s="161"/>
      <c r="Q13" s="48"/>
      <c r="R13" s="48"/>
      <c r="S13" s="48"/>
      <c r="T13" s="50"/>
      <c r="U13" s="50"/>
      <c r="V13" s="50"/>
      <c r="W13" s="50"/>
    </row>
    <row r="14" spans="1:26" ht="54.75" customHeight="1">
      <c r="A14" s="60"/>
      <c r="B14" s="84"/>
      <c r="C14" s="494"/>
      <c r="D14" s="71" t="s">
        <v>266</v>
      </c>
      <c r="E14" s="77" t="s">
        <v>267</v>
      </c>
      <c r="F14" s="130" t="s">
        <v>157</v>
      </c>
      <c r="G14" s="130"/>
      <c r="H14" s="129" t="s">
        <v>230</v>
      </c>
      <c r="I14" s="134" t="s">
        <v>231</v>
      </c>
      <c r="J14" s="50" t="s">
        <v>248</v>
      </c>
      <c r="K14" s="117" t="s">
        <v>248</v>
      </c>
      <c r="L14" s="57"/>
      <c r="M14" s="119"/>
      <c r="N14" s="435" t="s">
        <v>249</v>
      </c>
      <c r="O14" s="436" t="s">
        <v>268</v>
      </c>
      <c r="P14" s="140" t="s">
        <v>269</v>
      </c>
      <c r="Q14" s="48" t="s">
        <v>270</v>
      </c>
      <c r="R14" s="44"/>
      <c r="S14" s="44"/>
      <c r="T14" s="44"/>
      <c r="U14" s="44"/>
      <c r="V14" s="44"/>
      <c r="W14" s="44"/>
    </row>
    <row r="15" spans="1:26" ht="92.25" customHeight="1">
      <c r="A15" s="60"/>
      <c r="B15" s="83" t="s">
        <v>271</v>
      </c>
      <c r="C15" s="495" t="s">
        <v>272</v>
      </c>
      <c r="D15" s="73" t="s">
        <v>273</v>
      </c>
      <c r="E15" s="74" t="s">
        <v>274</v>
      </c>
      <c r="F15" s="130" t="s">
        <v>157</v>
      </c>
      <c r="G15" s="129"/>
      <c r="H15" s="129" t="s">
        <v>275</v>
      </c>
      <c r="I15" s="134" t="s">
        <v>276</v>
      </c>
      <c r="J15" s="50" t="s">
        <v>248</v>
      </c>
      <c r="K15" s="118" t="s">
        <v>248</v>
      </c>
      <c r="L15" s="57"/>
      <c r="M15" s="118"/>
      <c r="N15" s="491" t="s">
        <v>277</v>
      </c>
      <c r="O15" s="165" t="s">
        <v>278</v>
      </c>
      <c r="P15" s="127" t="s">
        <v>279</v>
      </c>
      <c r="Q15" s="45" t="s">
        <v>280</v>
      </c>
      <c r="R15" s="54" t="s">
        <v>281</v>
      </c>
      <c r="S15" s="54" t="s">
        <v>282</v>
      </c>
      <c r="T15" s="137" t="s">
        <v>283</v>
      </c>
      <c r="U15" s="55" t="s">
        <v>284</v>
      </c>
      <c r="V15" s="136" t="s">
        <v>285</v>
      </c>
      <c r="W15" s="45" t="s">
        <v>286</v>
      </c>
    </row>
    <row r="16" spans="1:26" ht="108.75" customHeight="1">
      <c r="A16" s="60"/>
      <c r="B16" s="83"/>
      <c r="C16" s="495"/>
      <c r="D16" s="73" t="s">
        <v>287</v>
      </c>
      <c r="E16" s="74" t="s">
        <v>288</v>
      </c>
      <c r="F16" s="130" t="s">
        <v>157</v>
      </c>
      <c r="G16" s="129"/>
      <c r="H16" s="129" t="s">
        <v>275</v>
      </c>
      <c r="I16" s="134" t="s">
        <v>276</v>
      </c>
      <c r="J16" s="50" t="s">
        <v>248</v>
      </c>
      <c r="K16" s="118" t="s">
        <v>248</v>
      </c>
      <c r="L16" s="57"/>
      <c r="M16" s="118"/>
      <c r="N16" s="492"/>
      <c r="O16" s="166" t="s">
        <v>289</v>
      </c>
      <c r="P16" s="127" t="s">
        <v>279</v>
      </c>
      <c r="Q16" s="58" t="s">
        <v>280</v>
      </c>
      <c r="R16" s="54" t="s">
        <v>281</v>
      </c>
      <c r="S16" s="54" t="s">
        <v>282</v>
      </c>
      <c r="T16" s="109" t="s">
        <v>290</v>
      </c>
      <c r="U16" s="45" t="s">
        <v>291</v>
      </c>
      <c r="V16" s="136" t="s">
        <v>285</v>
      </c>
      <c r="W16" s="45" t="s">
        <v>286</v>
      </c>
    </row>
    <row r="17" spans="1:23" ht="72.599999999999994">
      <c r="A17" s="60"/>
      <c r="B17" s="83"/>
      <c r="C17" s="495"/>
      <c r="D17" s="73" t="s">
        <v>292</v>
      </c>
      <c r="E17" s="74" t="s">
        <v>293</v>
      </c>
      <c r="F17" s="130" t="s">
        <v>157</v>
      </c>
      <c r="G17" s="129"/>
      <c r="H17" s="129" t="s">
        <v>275</v>
      </c>
      <c r="I17" s="134" t="s">
        <v>276</v>
      </c>
      <c r="J17" s="53" t="s">
        <v>294</v>
      </c>
      <c r="K17" s="118"/>
      <c r="L17" s="109" t="s">
        <v>295</v>
      </c>
      <c r="M17" s="118"/>
      <c r="N17" s="492"/>
      <c r="O17" s="167" t="s">
        <v>296</v>
      </c>
      <c r="P17" s="56" t="s">
        <v>297</v>
      </c>
      <c r="Q17" s="54" t="s">
        <v>298</v>
      </c>
      <c r="R17" s="54" t="s">
        <v>281</v>
      </c>
      <c r="S17" s="54" t="s">
        <v>282</v>
      </c>
      <c r="T17" s="54" t="s">
        <v>299</v>
      </c>
      <c r="U17" s="62" t="s">
        <v>300</v>
      </c>
      <c r="V17" s="57"/>
      <c r="W17" s="44"/>
    </row>
    <row r="18" spans="1:23" ht="29.1">
      <c r="A18" s="60"/>
      <c r="B18" s="83"/>
      <c r="C18" s="495"/>
      <c r="D18" s="73" t="s">
        <v>301</v>
      </c>
      <c r="E18" s="75" t="s">
        <v>302</v>
      </c>
      <c r="F18" s="130" t="s">
        <v>157</v>
      </c>
      <c r="G18" s="129"/>
      <c r="H18" s="129" t="s">
        <v>275</v>
      </c>
      <c r="I18" s="134" t="s">
        <v>276</v>
      </c>
      <c r="J18" s="45"/>
      <c r="K18" s="119"/>
      <c r="L18" s="127"/>
      <c r="M18" s="119"/>
      <c r="N18" s="492"/>
      <c r="O18" s="168" t="s">
        <v>303</v>
      </c>
      <c r="P18" s="125"/>
      <c r="Q18" s="54"/>
      <c r="R18" s="54"/>
      <c r="S18" s="54"/>
      <c r="T18" s="62"/>
      <c r="U18" s="62"/>
      <c r="V18" s="57"/>
      <c r="W18" s="44"/>
    </row>
    <row r="19" spans="1:23" ht="26.1">
      <c r="A19" s="60"/>
      <c r="B19" s="83"/>
      <c r="C19" s="495"/>
      <c r="D19" s="76" t="s">
        <v>304</v>
      </c>
      <c r="E19" s="74" t="s">
        <v>305</v>
      </c>
      <c r="F19" s="130" t="s">
        <v>157</v>
      </c>
      <c r="G19" s="129"/>
      <c r="H19" s="129" t="s">
        <v>275</v>
      </c>
      <c r="I19" s="134" t="s">
        <v>276</v>
      </c>
      <c r="J19" s="79" t="s">
        <v>248</v>
      </c>
      <c r="K19" s="120" t="s">
        <v>248</v>
      </c>
      <c r="L19" s="8"/>
      <c r="M19" s="123"/>
      <c r="N19" s="492"/>
      <c r="O19" s="257"/>
      <c r="P19" s="126"/>
      <c r="Q19" s="58"/>
      <c r="R19" s="78"/>
      <c r="S19" s="78"/>
      <c r="T19" s="78"/>
      <c r="U19" s="78"/>
      <c r="V19" s="78"/>
      <c r="W19" s="78"/>
    </row>
    <row r="20" spans="1:23" ht="29.25" customHeight="1">
      <c r="A20" s="60"/>
      <c r="B20" s="83"/>
      <c r="C20" s="495"/>
      <c r="D20" s="76" t="s">
        <v>306</v>
      </c>
      <c r="E20" s="75" t="s">
        <v>307</v>
      </c>
      <c r="F20" s="130" t="s">
        <v>157</v>
      </c>
      <c r="G20" s="130"/>
      <c r="H20" s="129" t="s">
        <v>275</v>
      </c>
      <c r="I20" s="134" t="s">
        <v>276</v>
      </c>
      <c r="J20" s="61"/>
      <c r="K20" s="120"/>
      <c r="L20" s="126"/>
      <c r="M20" s="123"/>
      <c r="N20" s="492"/>
      <c r="O20" s="169"/>
      <c r="P20" s="126"/>
      <c r="Q20" s="58"/>
      <c r="R20" s="78"/>
      <c r="S20" s="78"/>
      <c r="T20" s="78"/>
      <c r="U20" s="78"/>
      <c r="V20" s="78"/>
      <c r="W20" s="78"/>
    </row>
    <row r="21" spans="1:23" ht="24">
      <c r="A21" s="516" t="s">
        <v>73</v>
      </c>
      <c r="B21" s="107" t="s">
        <v>308</v>
      </c>
      <c r="C21" s="105" t="s">
        <v>309</v>
      </c>
      <c r="D21" s="224" t="s">
        <v>310</v>
      </c>
      <c r="E21" s="106" t="s">
        <v>311</v>
      </c>
      <c r="F21" s="131" t="s">
        <v>312</v>
      </c>
      <c r="H21" t="s">
        <v>313</v>
      </c>
      <c r="I21" s="85" t="s">
        <v>314</v>
      </c>
      <c r="J21" s="401" t="s">
        <v>315</v>
      </c>
      <c r="K21" s="402" t="s">
        <v>316</v>
      </c>
      <c r="L21" s="403" t="s">
        <v>317</v>
      </c>
      <c r="M21" s="404" t="s">
        <v>318</v>
      </c>
      <c r="N21" s="405" t="s">
        <v>319</v>
      </c>
      <c r="O21" s="406" t="s">
        <v>320</v>
      </c>
      <c r="P21" s="405" t="s">
        <v>321</v>
      </c>
      <c r="Q21" s="405" t="s">
        <v>322</v>
      </c>
      <c r="R21" s="405" t="s">
        <v>323</v>
      </c>
      <c r="S21" s="405" t="s">
        <v>324</v>
      </c>
      <c r="T21" s="405" t="s">
        <v>325</v>
      </c>
      <c r="U21" s="405" t="s">
        <v>326</v>
      </c>
      <c r="V21" s="405" t="s">
        <v>327</v>
      </c>
      <c r="W21" s="405" t="s">
        <v>328</v>
      </c>
    </row>
    <row r="22" spans="1:23" ht="24">
      <c r="A22" s="516"/>
      <c r="B22" s="104"/>
      <c r="C22" s="104"/>
      <c r="D22" s="224" t="s">
        <v>329</v>
      </c>
      <c r="E22" s="106" t="s">
        <v>330</v>
      </c>
      <c r="F22" s="131" t="s">
        <v>312</v>
      </c>
      <c r="H22" t="s">
        <v>313</v>
      </c>
      <c r="I22" s="85" t="s">
        <v>331</v>
      </c>
      <c r="J22" s="401" t="s">
        <v>332</v>
      </c>
      <c r="K22" s="402" t="s">
        <v>333</v>
      </c>
      <c r="L22" s="403" t="s">
        <v>334</v>
      </c>
      <c r="M22" s="404" t="s">
        <v>335</v>
      </c>
      <c r="N22" s="405" t="s">
        <v>336</v>
      </c>
      <c r="O22" s="406" t="s">
        <v>337</v>
      </c>
      <c r="P22" s="405" t="s">
        <v>338</v>
      </c>
      <c r="Q22" s="405" t="s">
        <v>339</v>
      </c>
      <c r="R22" s="405" t="s">
        <v>340</v>
      </c>
      <c r="S22" s="405" t="s">
        <v>341</v>
      </c>
      <c r="T22" s="405" t="s">
        <v>342</v>
      </c>
      <c r="U22" s="405" t="s">
        <v>343</v>
      </c>
      <c r="V22" s="405" t="s">
        <v>344</v>
      </c>
      <c r="W22" s="405" t="s">
        <v>345</v>
      </c>
    </row>
    <row r="23" spans="1:23" ht="24">
      <c r="A23" s="516"/>
      <c r="B23" s="107" t="s">
        <v>346</v>
      </c>
      <c r="C23" s="473" t="s">
        <v>347</v>
      </c>
      <c r="D23" s="224" t="s">
        <v>348</v>
      </c>
      <c r="E23" s="216" t="s">
        <v>349</v>
      </c>
      <c r="F23" s="131" t="s">
        <v>312</v>
      </c>
      <c r="H23" t="s">
        <v>313</v>
      </c>
      <c r="I23" s="85" t="s">
        <v>350</v>
      </c>
      <c r="J23" s="401" t="s">
        <v>351</v>
      </c>
      <c r="K23" s="402" t="s">
        <v>352</v>
      </c>
      <c r="L23" s="403" t="s">
        <v>353</v>
      </c>
      <c r="M23" s="404" t="s">
        <v>354</v>
      </c>
      <c r="N23" s="405" t="s">
        <v>355</v>
      </c>
      <c r="O23" s="406" t="s">
        <v>356</v>
      </c>
      <c r="P23" s="405" t="s">
        <v>357</v>
      </c>
      <c r="Q23" s="405" t="s">
        <v>358</v>
      </c>
      <c r="R23" s="405" t="s">
        <v>359</v>
      </c>
      <c r="S23" s="405" t="s">
        <v>360</v>
      </c>
      <c r="T23" s="405" t="s">
        <v>361</v>
      </c>
      <c r="U23" s="405" t="s">
        <v>362</v>
      </c>
      <c r="V23" s="405" t="s">
        <v>363</v>
      </c>
      <c r="W23" s="405" t="s">
        <v>364</v>
      </c>
    </row>
    <row r="24" spans="1:23" ht="24">
      <c r="A24" s="516"/>
      <c r="B24" s="475" t="s">
        <v>365</v>
      </c>
      <c r="C24" s="473" t="s">
        <v>366</v>
      </c>
      <c r="D24" s="106" t="s">
        <v>367</v>
      </c>
      <c r="E24" s="216" t="s">
        <v>368</v>
      </c>
      <c r="F24" s="131" t="s">
        <v>312</v>
      </c>
      <c r="H24" t="s">
        <v>313</v>
      </c>
      <c r="I24" s="85" t="s">
        <v>369</v>
      </c>
      <c r="J24" s="401" t="s">
        <v>370</v>
      </c>
      <c r="K24" s="402" t="s">
        <v>371</v>
      </c>
      <c r="L24" s="403" t="s">
        <v>372</v>
      </c>
      <c r="M24" s="404" t="s">
        <v>373</v>
      </c>
      <c r="N24" s="405" t="s">
        <v>374</v>
      </c>
      <c r="O24" s="406" t="s">
        <v>375</v>
      </c>
      <c r="P24" s="405" t="s">
        <v>376</v>
      </c>
      <c r="Q24" s="405" t="s">
        <v>377</v>
      </c>
      <c r="R24" s="405" t="s">
        <v>378</v>
      </c>
      <c r="S24" s="405" t="s">
        <v>379</v>
      </c>
      <c r="T24" s="405" t="s">
        <v>380</v>
      </c>
      <c r="U24" s="405" t="s">
        <v>381</v>
      </c>
      <c r="V24" s="405" t="s">
        <v>382</v>
      </c>
      <c r="W24" s="405" t="s">
        <v>383</v>
      </c>
    </row>
    <row r="25" spans="1:23" ht="24">
      <c r="A25" s="516"/>
      <c r="B25" s="107" t="s">
        <v>384</v>
      </c>
      <c r="C25" s="473" t="s">
        <v>385</v>
      </c>
      <c r="D25" s="106" t="s">
        <v>386</v>
      </c>
      <c r="E25" s="216" t="s">
        <v>387</v>
      </c>
      <c r="F25" s="131" t="s">
        <v>312</v>
      </c>
      <c r="H25" t="s">
        <v>313</v>
      </c>
      <c r="I25" s="85" t="s">
        <v>388</v>
      </c>
      <c r="J25" s="401" t="s">
        <v>389</v>
      </c>
      <c r="K25" s="402" t="s">
        <v>390</v>
      </c>
      <c r="L25" s="403" t="s">
        <v>391</v>
      </c>
      <c r="M25" s="404" t="s">
        <v>392</v>
      </c>
      <c r="N25" s="405" t="s">
        <v>393</v>
      </c>
      <c r="O25" s="406" t="s">
        <v>394</v>
      </c>
      <c r="P25" s="405" t="s">
        <v>395</v>
      </c>
      <c r="Q25" s="405" t="s">
        <v>396</v>
      </c>
      <c r="R25" s="405" t="s">
        <v>397</v>
      </c>
      <c r="S25" s="405" t="s">
        <v>398</v>
      </c>
      <c r="T25" s="405" t="s">
        <v>399</v>
      </c>
      <c r="U25" s="405" t="s">
        <v>400</v>
      </c>
      <c r="V25" s="405" t="s">
        <v>401</v>
      </c>
      <c r="W25" s="405" t="s">
        <v>402</v>
      </c>
    </row>
    <row r="26" spans="1:23" ht="24">
      <c r="A26" s="516"/>
      <c r="B26" s="107" t="s">
        <v>403</v>
      </c>
      <c r="C26" s="104" t="s">
        <v>404</v>
      </c>
      <c r="D26" s="106"/>
      <c r="E26" s="216" t="s">
        <v>405</v>
      </c>
      <c r="F26" s="131" t="s">
        <v>312</v>
      </c>
      <c r="H26" t="s">
        <v>313</v>
      </c>
      <c r="I26" s="85" t="s">
        <v>406</v>
      </c>
      <c r="J26" s="401" t="s">
        <v>407</v>
      </c>
      <c r="K26" s="402" t="s">
        <v>408</v>
      </c>
      <c r="L26" s="403" t="s">
        <v>409</v>
      </c>
      <c r="M26" s="404" t="s">
        <v>410</v>
      </c>
      <c r="N26" s="405" t="s">
        <v>411</v>
      </c>
      <c r="O26" s="406" t="s">
        <v>412</v>
      </c>
      <c r="P26" s="405" t="s">
        <v>413</v>
      </c>
      <c r="Q26" s="405" t="s">
        <v>414</v>
      </c>
      <c r="R26" s="405" t="s">
        <v>415</v>
      </c>
      <c r="S26" s="405" t="s">
        <v>416</v>
      </c>
      <c r="T26" s="405" t="s">
        <v>417</v>
      </c>
      <c r="U26" s="405" t="s">
        <v>418</v>
      </c>
      <c r="V26" s="405" t="s">
        <v>419</v>
      </c>
      <c r="W26" s="405" t="s">
        <v>420</v>
      </c>
    </row>
    <row r="27" spans="1:23">
      <c r="A27" s="516"/>
      <c r="B27" s="107"/>
      <c r="C27" s="104"/>
      <c r="D27" s="106"/>
      <c r="E27" s="216" t="s">
        <v>421</v>
      </c>
      <c r="F27" s="131"/>
      <c r="I27" s="85"/>
      <c r="J27" s="401" t="s">
        <v>422</v>
      </c>
      <c r="K27" s="402" t="s">
        <v>423</v>
      </c>
      <c r="L27" s="403" t="s">
        <v>424</v>
      </c>
      <c r="M27" s="404" t="s">
        <v>425</v>
      </c>
      <c r="N27" s="405" t="s">
        <v>426</v>
      </c>
      <c r="O27" s="406" t="s">
        <v>427</v>
      </c>
      <c r="P27" s="405" t="s">
        <v>428</v>
      </c>
      <c r="Q27" s="405" t="s">
        <v>429</v>
      </c>
      <c r="R27" s="405" t="s">
        <v>430</v>
      </c>
      <c r="S27" s="405" t="s">
        <v>431</v>
      </c>
      <c r="T27" s="405" t="s">
        <v>432</v>
      </c>
      <c r="U27" s="405" t="s">
        <v>433</v>
      </c>
      <c r="V27" s="405" t="s">
        <v>434</v>
      </c>
      <c r="W27" s="405" t="s">
        <v>435</v>
      </c>
    </row>
    <row r="28" spans="1:23" ht="24">
      <c r="A28" s="516"/>
      <c r="B28" s="107" t="s">
        <v>436</v>
      </c>
      <c r="C28" s="104" t="s">
        <v>437</v>
      </c>
      <c r="D28" s="106"/>
      <c r="E28" s="216" t="s">
        <v>438</v>
      </c>
      <c r="F28" s="131" t="s">
        <v>312</v>
      </c>
      <c r="H28" t="s">
        <v>313</v>
      </c>
      <c r="I28" s="85" t="s">
        <v>439</v>
      </c>
      <c r="J28" s="401" t="s">
        <v>440</v>
      </c>
      <c r="K28" s="402" t="s">
        <v>441</v>
      </c>
      <c r="L28" s="403" t="s">
        <v>442</v>
      </c>
      <c r="M28" s="404" t="s">
        <v>443</v>
      </c>
      <c r="N28" s="405" t="s">
        <v>444</v>
      </c>
      <c r="O28" s="406" t="s">
        <v>445</v>
      </c>
      <c r="P28" s="405" t="s">
        <v>446</v>
      </c>
      <c r="Q28" s="405" t="s">
        <v>447</v>
      </c>
      <c r="R28" s="405" t="s">
        <v>448</v>
      </c>
      <c r="S28" s="405" t="s">
        <v>449</v>
      </c>
      <c r="T28" s="405" t="s">
        <v>450</v>
      </c>
      <c r="U28" s="405" t="s">
        <v>451</v>
      </c>
      <c r="V28" s="405" t="s">
        <v>452</v>
      </c>
      <c r="W28" s="405" t="s">
        <v>453</v>
      </c>
    </row>
    <row r="29" spans="1:23" ht="24">
      <c r="A29" s="516"/>
      <c r="B29" s="475" t="s">
        <v>454</v>
      </c>
      <c r="C29" s="104" t="s">
        <v>455</v>
      </c>
      <c r="D29" s="106" t="s">
        <v>456</v>
      </c>
      <c r="E29" s="216" t="s">
        <v>457</v>
      </c>
      <c r="F29" s="131" t="s">
        <v>312</v>
      </c>
      <c r="H29" t="s">
        <v>313</v>
      </c>
      <c r="I29" s="85" t="s">
        <v>458</v>
      </c>
      <c r="J29" s="401" t="s">
        <v>459</v>
      </c>
      <c r="K29" s="402" t="s">
        <v>460</v>
      </c>
      <c r="L29" s="403" t="s">
        <v>461</v>
      </c>
      <c r="M29" s="404" t="s">
        <v>462</v>
      </c>
      <c r="N29" s="405" t="s">
        <v>463</v>
      </c>
      <c r="O29" s="406" t="s">
        <v>464</v>
      </c>
      <c r="P29" s="405" t="s">
        <v>465</v>
      </c>
      <c r="Q29" s="405" t="s">
        <v>466</v>
      </c>
      <c r="R29" s="405" t="s">
        <v>467</v>
      </c>
      <c r="S29" s="405" t="s">
        <v>468</v>
      </c>
      <c r="T29" s="405" t="s">
        <v>469</v>
      </c>
      <c r="U29" s="405" t="s">
        <v>470</v>
      </c>
      <c r="V29" s="405" t="s">
        <v>471</v>
      </c>
      <c r="W29" s="405" t="s">
        <v>472</v>
      </c>
    </row>
    <row r="30" spans="1:23" ht="24">
      <c r="A30" s="516"/>
      <c r="B30" s="107"/>
      <c r="C30" s="104"/>
      <c r="D30" s="106" t="s">
        <v>473</v>
      </c>
      <c r="E30" s="216" t="s">
        <v>474</v>
      </c>
      <c r="F30" s="131" t="s">
        <v>312</v>
      </c>
      <c r="H30" t="s">
        <v>313</v>
      </c>
      <c r="I30" s="85" t="s">
        <v>475</v>
      </c>
      <c r="J30" s="401" t="s">
        <v>476</v>
      </c>
      <c r="K30" s="402" t="s">
        <v>477</v>
      </c>
      <c r="L30" s="403" t="s">
        <v>478</v>
      </c>
      <c r="M30" s="404" t="s">
        <v>479</v>
      </c>
      <c r="N30" s="405" t="s">
        <v>480</v>
      </c>
      <c r="O30" s="406" t="s">
        <v>481</v>
      </c>
      <c r="P30" s="405" t="s">
        <v>482</v>
      </c>
      <c r="Q30" s="405" t="s">
        <v>483</v>
      </c>
      <c r="R30" s="405" t="s">
        <v>484</v>
      </c>
      <c r="S30" s="405" t="s">
        <v>485</v>
      </c>
      <c r="T30" s="405" t="s">
        <v>486</v>
      </c>
      <c r="U30" s="405" t="s">
        <v>487</v>
      </c>
      <c r="V30" s="405" t="s">
        <v>488</v>
      </c>
      <c r="W30" s="405" t="s">
        <v>489</v>
      </c>
    </row>
    <row r="31" spans="1:23" ht="24">
      <c r="A31" s="516"/>
      <c r="B31" s="107" t="s">
        <v>490</v>
      </c>
      <c r="C31" s="104" t="s">
        <v>491</v>
      </c>
      <c r="D31" s="106"/>
      <c r="E31" s="216" t="s">
        <v>491</v>
      </c>
      <c r="F31" s="131" t="s">
        <v>492</v>
      </c>
      <c r="H31" s="131" t="s">
        <v>492</v>
      </c>
      <c r="J31" s="401" t="s">
        <v>493</v>
      </c>
      <c r="K31" s="402" t="s">
        <v>494</v>
      </c>
      <c r="L31" s="403" t="s">
        <v>495</v>
      </c>
      <c r="M31" s="404" t="s">
        <v>496</v>
      </c>
      <c r="N31" s="405" t="s">
        <v>497</v>
      </c>
      <c r="O31" s="406" t="s">
        <v>498</v>
      </c>
      <c r="P31" s="405" t="s">
        <v>499</v>
      </c>
      <c r="Q31" s="405" t="s">
        <v>500</v>
      </c>
      <c r="R31" s="405" t="s">
        <v>501</v>
      </c>
      <c r="S31" s="405" t="s">
        <v>502</v>
      </c>
      <c r="T31" s="405" t="s">
        <v>503</v>
      </c>
      <c r="U31" s="405" t="s">
        <v>504</v>
      </c>
      <c r="V31" s="405" t="s">
        <v>505</v>
      </c>
      <c r="W31" s="405" t="s">
        <v>506</v>
      </c>
    </row>
    <row r="32" spans="1:23" ht="24">
      <c r="A32" s="516"/>
      <c r="B32" s="107" t="s">
        <v>507</v>
      </c>
      <c r="C32" s="104" t="s">
        <v>508</v>
      </c>
      <c r="D32" s="106"/>
      <c r="E32" s="216" t="s">
        <v>509</v>
      </c>
      <c r="F32" s="131" t="s">
        <v>492</v>
      </c>
      <c r="H32" s="131" t="s">
        <v>492</v>
      </c>
      <c r="J32" s="401" t="s">
        <v>510</v>
      </c>
      <c r="K32" s="402" t="s">
        <v>511</v>
      </c>
      <c r="L32" s="403" t="s">
        <v>512</v>
      </c>
      <c r="M32" s="404" t="s">
        <v>513</v>
      </c>
      <c r="N32" s="405" t="s">
        <v>514</v>
      </c>
      <c r="O32" s="406" t="s">
        <v>515</v>
      </c>
      <c r="P32" s="405" t="s">
        <v>516</v>
      </c>
      <c r="Q32" s="405" t="s">
        <v>517</v>
      </c>
      <c r="R32" s="405" t="s">
        <v>518</v>
      </c>
      <c r="S32" s="405" t="s">
        <v>519</v>
      </c>
      <c r="T32" s="405" t="s">
        <v>520</v>
      </c>
      <c r="U32" s="405" t="s">
        <v>521</v>
      </c>
      <c r="V32" s="405" t="s">
        <v>522</v>
      </c>
      <c r="W32" s="405" t="s">
        <v>523</v>
      </c>
    </row>
    <row r="33" spans="1:23" ht="24">
      <c r="A33" s="516"/>
      <c r="B33" s="107" t="s">
        <v>524</v>
      </c>
      <c r="C33" s="104" t="s">
        <v>525</v>
      </c>
      <c r="D33" s="106"/>
      <c r="E33" s="216" t="s">
        <v>526</v>
      </c>
      <c r="F33" s="131" t="s">
        <v>492</v>
      </c>
      <c r="H33" s="131" t="s">
        <v>492</v>
      </c>
      <c r="J33" s="401" t="s">
        <v>527</v>
      </c>
      <c r="K33" s="402" t="s">
        <v>528</v>
      </c>
      <c r="L33" s="403" t="s">
        <v>529</v>
      </c>
      <c r="M33" s="404" t="s">
        <v>530</v>
      </c>
      <c r="N33" s="405" t="s">
        <v>531</v>
      </c>
      <c r="O33" s="406" t="s">
        <v>532</v>
      </c>
      <c r="P33" s="405" t="s">
        <v>533</v>
      </c>
      <c r="Q33" s="405" t="s">
        <v>534</v>
      </c>
      <c r="R33" s="405" t="s">
        <v>535</v>
      </c>
      <c r="S33" s="405" t="s">
        <v>536</v>
      </c>
      <c r="T33" s="405" t="s">
        <v>537</v>
      </c>
      <c r="U33" s="405" t="s">
        <v>538</v>
      </c>
      <c r="V33" s="405" t="s">
        <v>539</v>
      </c>
      <c r="W33" s="405" t="s">
        <v>540</v>
      </c>
    </row>
    <row r="34" spans="1:23" ht="24">
      <c r="A34" s="516"/>
      <c r="B34" s="107" t="s">
        <v>541</v>
      </c>
      <c r="C34" s="104" t="s">
        <v>542</v>
      </c>
      <c r="D34" s="106"/>
      <c r="E34" s="216" t="s">
        <v>543</v>
      </c>
      <c r="F34" s="131" t="s">
        <v>312</v>
      </c>
      <c r="H34" t="s">
        <v>313</v>
      </c>
      <c r="J34" s="401" t="s">
        <v>544</v>
      </c>
      <c r="K34" s="402" t="s">
        <v>545</v>
      </c>
      <c r="L34" s="403" t="s">
        <v>546</v>
      </c>
      <c r="M34" s="404" t="s">
        <v>547</v>
      </c>
      <c r="N34" s="405" t="s">
        <v>548</v>
      </c>
      <c r="O34" s="406" t="s">
        <v>549</v>
      </c>
      <c r="P34" s="405" t="s">
        <v>550</v>
      </c>
      <c r="Q34" s="405" t="s">
        <v>551</v>
      </c>
      <c r="R34" s="405" t="s">
        <v>552</v>
      </c>
      <c r="S34" s="405" t="s">
        <v>553</v>
      </c>
      <c r="T34" s="405" t="s">
        <v>554</v>
      </c>
      <c r="U34" s="405" t="s">
        <v>555</v>
      </c>
      <c r="V34" s="405" t="s">
        <v>556</v>
      </c>
      <c r="W34" s="405" t="s">
        <v>557</v>
      </c>
    </row>
    <row r="35" spans="1:23" ht="24">
      <c r="A35" s="516"/>
      <c r="B35" s="107" t="s">
        <v>558</v>
      </c>
      <c r="C35" s="104" t="s">
        <v>559</v>
      </c>
      <c r="D35" s="106"/>
      <c r="E35" s="216" t="s">
        <v>560</v>
      </c>
      <c r="F35" s="131" t="s">
        <v>492</v>
      </c>
      <c r="H35" s="131" t="s">
        <v>492</v>
      </c>
      <c r="J35" s="401" t="s">
        <v>561</v>
      </c>
      <c r="K35" s="402" t="s">
        <v>562</v>
      </c>
      <c r="L35" s="403" t="s">
        <v>563</v>
      </c>
      <c r="M35" s="404" t="s">
        <v>564</v>
      </c>
      <c r="N35" s="405" t="s">
        <v>565</v>
      </c>
      <c r="O35" s="406" t="s">
        <v>566</v>
      </c>
      <c r="P35" s="405" t="s">
        <v>567</v>
      </c>
      <c r="Q35" s="405" t="s">
        <v>568</v>
      </c>
      <c r="R35" s="405" t="s">
        <v>569</v>
      </c>
      <c r="S35" s="405" t="s">
        <v>570</v>
      </c>
      <c r="T35" s="405" t="s">
        <v>571</v>
      </c>
      <c r="U35" s="405" t="s">
        <v>572</v>
      </c>
      <c r="V35" s="405" t="s">
        <v>573</v>
      </c>
      <c r="W35" s="405" t="s">
        <v>574</v>
      </c>
    </row>
    <row r="36" spans="1:23" ht="50.25" customHeight="1">
      <c r="A36" s="513" t="s">
        <v>575</v>
      </c>
      <c r="B36" s="517" t="s">
        <v>102</v>
      </c>
      <c r="C36" s="518" t="s">
        <v>576</v>
      </c>
      <c r="D36" s="97" t="s">
        <v>577</v>
      </c>
      <c r="E36" s="97" t="s">
        <v>578</v>
      </c>
      <c r="F36" s="3" t="s">
        <v>492</v>
      </c>
      <c r="G36" s="411" t="s">
        <v>579</v>
      </c>
      <c r="H36" t="s">
        <v>580</v>
      </c>
      <c r="I36" s="411" t="s">
        <v>581</v>
      </c>
      <c r="J36" s="337" t="s">
        <v>582</v>
      </c>
      <c r="K36" s="333" t="s">
        <v>583</v>
      </c>
      <c r="L36" s="334" t="s">
        <v>584</v>
      </c>
      <c r="M36" s="333" t="s">
        <v>585</v>
      </c>
      <c r="N36" s="334" t="s">
        <v>586</v>
      </c>
      <c r="O36" s="335" t="s">
        <v>587</v>
      </c>
      <c r="P36" s="334" t="s">
        <v>588</v>
      </c>
      <c r="Q36" s="332" t="s">
        <v>589</v>
      </c>
      <c r="R36" s="338" t="s">
        <v>587</v>
      </c>
      <c r="S36" s="332" t="s">
        <v>587</v>
      </c>
      <c r="T36" s="332" t="s">
        <v>590</v>
      </c>
      <c r="U36" s="332" t="s">
        <v>587</v>
      </c>
      <c r="V36" t="s">
        <v>587</v>
      </c>
      <c r="W36" s="332" t="s">
        <v>591</v>
      </c>
    </row>
    <row r="37" spans="1:23" ht="50.25" customHeight="1">
      <c r="A37" s="513"/>
      <c r="B37" s="517"/>
      <c r="C37" s="518"/>
      <c r="D37" s="97" t="s">
        <v>592</v>
      </c>
      <c r="E37" s="97" t="s">
        <v>593</v>
      </c>
      <c r="F37" s="3" t="s">
        <v>492</v>
      </c>
      <c r="G37" s="411" t="s">
        <v>594</v>
      </c>
      <c r="H37" t="s">
        <v>580</v>
      </c>
      <c r="I37" s="411" t="s">
        <v>595</v>
      </c>
      <c r="J37" s="339" t="s">
        <v>587</v>
      </c>
      <c r="K37" s="333" t="s">
        <v>596</v>
      </c>
      <c r="L37" s="334" t="s">
        <v>597</v>
      </c>
      <c r="M37" s="333" t="s">
        <v>598</v>
      </c>
      <c r="N37" s="334" t="s">
        <v>599</v>
      </c>
      <c r="O37" s="335" t="s">
        <v>587</v>
      </c>
      <c r="P37" s="332" t="s">
        <v>600</v>
      </c>
      <c r="Q37" s="338" t="s">
        <v>587</v>
      </c>
      <c r="R37" s="332" t="s">
        <v>601</v>
      </c>
      <c r="S37" s="332" t="s">
        <v>602</v>
      </c>
      <c r="T37" s="332" t="s">
        <v>603</v>
      </c>
      <c r="U37" s="332" t="s">
        <v>587</v>
      </c>
      <c r="V37" s="332" t="s">
        <v>604</v>
      </c>
      <c r="W37" s="340" t="s">
        <v>587</v>
      </c>
    </row>
    <row r="38" spans="1:23" ht="50.25" customHeight="1">
      <c r="A38" s="513"/>
      <c r="B38" s="517"/>
      <c r="C38" s="518"/>
      <c r="D38" s="97" t="s">
        <v>605</v>
      </c>
      <c r="E38" s="102" t="s">
        <v>606</v>
      </c>
      <c r="F38" s="3" t="s">
        <v>492</v>
      </c>
      <c r="G38" s="412" t="s">
        <v>607</v>
      </c>
      <c r="H38" s="3" t="s">
        <v>580</v>
      </c>
      <c r="I38" s="412" t="s">
        <v>608</v>
      </c>
      <c r="J38" s="333" t="s">
        <v>609</v>
      </c>
      <c r="K38" s="341" t="s">
        <v>587</v>
      </c>
      <c r="L38" s="334" t="s">
        <v>610</v>
      </c>
      <c r="M38" s="333" t="s">
        <v>587</v>
      </c>
      <c r="N38" s="334" t="s">
        <v>587</v>
      </c>
      <c r="O38" s="335" t="s">
        <v>611</v>
      </c>
      <c r="P38" s="338" t="s">
        <v>587</v>
      </c>
      <c r="Q38" s="334" t="s">
        <v>612</v>
      </c>
      <c r="R38" s="332" t="s">
        <v>613</v>
      </c>
      <c r="S38" s="332" t="s">
        <v>614</v>
      </c>
      <c r="T38" s="332" t="s">
        <v>587</v>
      </c>
      <c r="U38" s="332" t="s">
        <v>587</v>
      </c>
      <c r="V38" s="342" t="s">
        <v>587</v>
      </c>
      <c r="W38" s="343" t="s">
        <v>587</v>
      </c>
    </row>
    <row r="39" spans="1:23" ht="50.25" customHeight="1">
      <c r="A39" s="513"/>
      <c r="B39" s="519" t="s">
        <v>106</v>
      </c>
      <c r="C39" s="520" t="s">
        <v>615</v>
      </c>
      <c r="D39" s="98" t="s">
        <v>616</v>
      </c>
      <c r="E39" s="98" t="s">
        <v>617</v>
      </c>
      <c r="F39" s="3" t="s">
        <v>492</v>
      </c>
      <c r="G39" s="411" t="s">
        <v>618</v>
      </c>
      <c r="H39" t="s">
        <v>619</v>
      </c>
      <c r="I39" s="411" t="s">
        <v>620</v>
      </c>
      <c r="J39" s="344" t="s">
        <v>621</v>
      </c>
      <c r="K39" s="345" t="s">
        <v>622</v>
      </c>
      <c r="L39" t="s">
        <v>587</v>
      </c>
      <c r="M39" s="345" t="s">
        <v>623</v>
      </c>
      <c r="N39" s="346" t="s">
        <v>624</v>
      </c>
      <c r="O39" s="346" t="s">
        <v>625</v>
      </c>
      <c r="P39" s="346" t="s">
        <v>626</v>
      </c>
      <c r="Q39" s="346" t="s">
        <v>627</v>
      </c>
      <c r="R39" s="344" t="s">
        <v>628</v>
      </c>
      <c r="S39" s="344" t="s">
        <v>587</v>
      </c>
      <c r="T39" s="344" t="s">
        <v>629</v>
      </c>
      <c r="U39" s="344" t="s">
        <v>587</v>
      </c>
      <c r="V39" s="344" t="s">
        <v>630</v>
      </c>
      <c r="W39" s="348" t="s">
        <v>587</v>
      </c>
    </row>
    <row r="40" spans="1:23" ht="50.25" customHeight="1">
      <c r="A40" s="513"/>
      <c r="B40" s="519"/>
      <c r="C40" s="520"/>
      <c r="D40" s="98" t="s">
        <v>631</v>
      </c>
      <c r="E40" s="103" t="s">
        <v>632</v>
      </c>
      <c r="F40" s="3" t="s">
        <v>492</v>
      </c>
      <c r="G40" s="412" t="s">
        <v>633</v>
      </c>
      <c r="H40" s="3" t="s">
        <v>619</v>
      </c>
      <c r="I40" s="411" t="s">
        <v>620</v>
      </c>
      <c r="J40" s="344" t="s">
        <v>634</v>
      </c>
      <c r="K40" s="345" t="s">
        <v>635</v>
      </c>
      <c r="L40" s="346" t="s">
        <v>636</v>
      </c>
      <c r="M40" s="345" t="s">
        <v>637</v>
      </c>
      <c r="N40" s="346" t="s">
        <v>638</v>
      </c>
      <c r="O40" s="347" t="s">
        <v>639</v>
      </c>
      <c r="P40" s="346" t="s">
        <v>587</v>
      </c>
      <c r="Q40" s="344" t="s">
        <v>640</v>
      </c>
      <c r="R40" s="344" t="s">
        <v>587</v>
      </c>
      <c r="S40" s="348" t="s">
        <v>641</v>
      </c>
      <c r="T40" s="344" t="s">
        <v>642</v>
      </c>
      <c r="U40" s="344" t="s">
        <v>587</v>
      </c>
      <c r="V40" s="344" t="s">
        <v>643</v>
      </c>
      <c r="W40" s="348" t="s">
        <v>644</v>
      </c>
    </row>
    <row r="41" spans="1:23" ht="50.25" customHeight="1">
      <c r="A41" s="513"/>
      <c r="B41" s="521" t="s">
        <v>110</v>
      </c>
      <c r="C41" s="522" t="s">
        <v>645</v>
      </c>
      <c r="D41" s="99" t="s">
        <v>646</v>
      </c>
      <c r="E41" s="99" t="s">
        <v>647</v>
      </c>
      <c r="F41" s="3" t="s">
        <v>492</v>
      </c>
      <c r="G41" s="411" t="s">
        <v>648</v>
      </c>
      <c r="H41" s="3" t="s">
        <v>619</v>
      </c>
      <c r="I41" s="411" t="s">
        <v>620</v>
      </c>
      <c r="J41" s="332" t="s">
        <v>649</v>
      </c>
      <c r="K41" s="333" t="s">
        <v>650</v>
      </c>
      <c r="L41" s="334" t="s">
        <v>651</v>
      </c>
      <c r="M41" s="336" t="s">
        <v>587</v>
      </c>
      <c r="N41" s="3" t="s">
        <v>652</v>
      </c>
      <c r="O41" s="336" t="s">
        <v>653</v>
      </c>
      <c r="P41" s="334" t="s">
        <v>654</v>
      </c>
      <c r="Q41" s="332" t="s">
        <v>655</v>
      </c>
      <c r="R41" s="332" t="s">
        <v>656</v>
      </c>
      <c r="S41" s="336" t="s">
        <v>657</v>
      </c>
      <c r="T41" s="332" t="s">
        <v>658</v>
      </c>
      <c r="U41" s="332" t="s">
        <v>587</v>
      </c>
      <c r="V41" s="332" t="s">
        <v>659</v>
      </c>
      <c r="W41" s="332" t="s">
        <v>587</v>
      </c>
    </row>
    <row r="42" spans="1:23" ht="50.25" customHeight="1">
      <c r="A42" s="513"/>
      <c r="B42" s="521"/>
      <c r="C42" s="522"/>
      <c r="D42" s="352" t="s">
        <v>660</v>
      </c>
      <c r="E42" s="353" t="s">
        <v>661</v>
      </c>
      <c r="F42" s="3" t="s">
        <v>492</v>
      </c>
      <c r="G42" s="413" t="s">
        <v>662</v>
      </c>
      <c r="H42" s="3" t="s">
        <v>619</v>
      </c>
      <c r="I42" s="411" t="s">
        <v>620</v>
      </c>
      <c r="J42" s="344" t="s">
        <v>663</v>
      </c>
      <c r="K42" s="345" t="s">
        <v>664</v>
      </c>
      <c r="L42" s="345" t="s">
        <v>665</v>
      </c>
      <c r="M42" s="346" t="s">
        <v>666</v>
      </c>
      <c r="N42" s="344" t="s">
        <v>667</v>
      </c>
      <c r="O42" s="347" t="s">
        <v>587</v>
      </c>
      <c r="P42" s="346" t="s">
        <v>668</v>
      </c>
      <c r="Q42" s="344" t="s">
        <v>669</v>
      </c>
      <c r="R42" s="344" t="s">
        <v>670</v>
      </c>
      <c r="S42" s="344" t="s">
        <v>671</v>
      </c>
      <c r="T42" s="344" t="s">
        <v>672</v>
      </c>
      <c r="U42" s="344" t="s">
        <v>587</v>
      </c>
      <c r="V42" s="344" t="s">
        <v>673</v>
      </c>
      <c r="W42" s="344"/>
    </row>
    <row r="43" spans="1:23" ht="50.25" customHeight="1">
      <c r="A43" s="513"/>
      <c r="B43" s="514" t="s">
        <v>114</v>
      </c>
      <c r="C43" s="515" t="s">
        <v>674</v>
      </c>
      <c r="D43" s="100" t="s">
        <v>675</v>
      </c>
      <c r="E43" s="101" t="s">
        <v>676</v>
      </c>
      <c r="F43" s="3" t="s">
        <v>492</v>
      </c>
      <c r="G43" s="413" t="s">
        <v>677</v>
      </c>
      <c r="H43" s="205" t="s">
        <v>619</v>
      </c>
      <c r="I43" s="413" t="s">
        <v>678</v>
      </c>
      <c r="J43" s="344" t="s">
        <v>679</v>
      </c>
      <c r="K43" s="443" t="s">
        <v>680</v>
      </c>
      <c r="L43" s="346" t="s">
        <v>681</v>
      </c>
      <c r="M43" s="345" t="s">
        <v>587</v>
      </c>
      <c r="N43" s="440" t="s">
        <v>682</v>
      </c>
      <c r="O43" s="347" t="s">
        <v>587</v>
      </c>
      <c r="P43" s="346" t="s">
        <v>683</v>
      </c>
      <c r="Q43" s="344" t="s">
        <v>684</v>
      </c>
      <c r="R43" s="344" t="s">
        <v>685</v>
      </c>
      <c r="S43" s="348" t="s">
        <v>686</v>
      </c>
      <c r="T43" s="344" t="s">
        <v>687</v>
      </c>
      <c r="U43" s="344" t="s">
        <v>587</v>
      </c>
      <c r="V43" s="344" t="s">
        <v>688</v>
      </c>
      <c r="W43" s="348" t="s">
        <v>85</v>
      </c>
    </row>
    <row r="44" spans="1:23" ht="50.25" customHeight="1">
      <c r="A44" s="513"/>
      <c r="B44" s="514"/>
      <c r="C44" s="515"/>
      <c r="D44" s="100" t="s">
        <v>689</v>
      </c>
      <c r="E44" s="101" t="s">
        <v>690</v>
      </c>
      <c r="F44" s="3" t="s">
        <v>492</v>
      </c>
      <c r="G44" s="413" t="s">
        <v>691</v>
      </c>
      <c r="H44" s="205" t="s">
        <v>619</v>
      </c>
      <c r="I44" s="413" t="s">
        <v>678</v>
      </c>
      <c r="J44" s="444" t="s">
        <v>692</v>
      </c>
      <c r="K44" s="345" t="s">
        <v>587</v>
      </c>
      <c r="L44" s="349" t="s">
        <v>693</v>
      </c>
      <c r="M44" s="442" t="s">
        <v>694</v>
      </c>
      <c r="N44" s="441" t="s">
        <v>695</v>
      </c>
      <c r="O44" s="347" t="s">
        <v>696</v>
      </c>
      <c r="Q44" s="349" t="s">
        <v>697</v>
      </c>
      <c r="R44" s="350" t="s">
        <v>698</v>
      </c>
      <c r="S44" s="351" t="s">
        <v>699</v>
      </c>
      <c r="T44" s="350" t="s">
        <v>700</v>
      </c>
      <c r="U44" s="350" t="s">
        <v>587</v>
      </c>
      <c r="V44" s="350" t="s">
        <v>701</v>
      </c>
      <c r="W44" s="351" t="s">
        <v>85</v>
      </c>
    </row>
    <row r="45" spans="1:23" ht="14.45"/>
    <row r="46" spans="1:23" ht="14.45"/>
    <row r="47" spans="1:23"/>
    <row r="48" spans="1:23" ht="14.45"/>
    <row r="49" spans="1:3" ht="14.45">
      <c r="A49" s="506" t="s">
        <v>702</v>
      </c>
      <c r="B49" s="205"/>
      <c r="C49" s="205"/>
    </row>
    <row r="50" spans="1:3" ht="14.45">
      <c r="A50" s="506"/>
      <c r="B50" s="205"/>
      <c r="C50" s="205"/>
    </row>
    <row r="51" spans="1:3" ht="14.45">
      <c r="A51" s="506"/>
      <c r="B51" s="205"/>
      <c r="C51" s="205"/>
    </row>
    <row r="52" spans="1:3" ht="14.45">
      <c r="A52" s="506"/>
      <c r="B52" s="205"/>
      <c r="C52" s="205"/>
    </row>
    <row r="53" spans="1:3" ht="14.45">
      <c r="A53" s="506"/>
      <c r="B53" s="205"/>
      <c r="C53" s="205"/>
    </row>
    <row r="54" spans="1:3" ht="14.45">
      <c r="A54" s="506"/>
      <c r="B54" s="205"/>
      <c r="C54" s="205"/>
    </row>
    <row r="55" spans="1:3" ht="14.45">
      <c r="A55" s="506"/>
    </row>
    <row r="56" spans="1:3" ht="14.45">
      <c r="A56" s="506"/>
    </row>
    <row r="57" spans="1:3" ht="14.45">
      <c r="A57" s="506"/>
    </row>
    <row r="58" spans="1:3" ht="14.45">
      <c r="A58" s="506"/>
      <c r="B58" s="1"/>
    </row>
    <row r="59" spans="1:3" ht="14.45">
      <c r="A59" s="506"/>
      <c r="B59" s="1"/>
    </row>
    <row r="60" spans="1:3" ht="14.45">
      <c r="A60" s="506"/>
      <c r="B60" s="1"/>
    </row>
    <row r="61" spans="1:3" ht="14.45">
      <c r="A61" s="506"/>
      <c r="B61" s="1"/>
    </row>
    <row r="62" spans="1:3" ht="14.45">
      <c r="A62" s="506"/>
      <c r="B62" s="1"/>
    </row>
    <row r="63" spans="1:3" ht="14.45">
      <c r="A63" s="506"/>
      <c r="B63" s="1"/>
    </row>
    <row r="64" spans="1:3" ht="14.45">
      <c r="A64" s="506"/>
      <c r="B64" s="1"/>
    </row>
    <row r="65" ht="14.45"/>
    <row r="66" ht="14.45"/>
  </sheetData>
  <mergeCells count="25">
    <mergeCell ref="A49:A64"/>
    <mergeCell ref="J2:K2"/>
    <mergeCell ref="L2:M2"/>
    <mergeCell ref="M7:M8"/>
    <mergeCell ref="L7:L8"/>
    <mergeCell ref="A36:A44"/>
    <mergeCell ref="B43:B44"/>
    <mergeCell ref="C43:C44"/>
    <mergeCell ref="A21:A35"/>
    <mergeCell ref="B36:B38"/>
    <mergeCell ref="C36:C38"/>
    <mergeCell ref="B39:B40"/>
    <mergeCell ref="C39:C40"/>
    <mergeCell ref="B41:B42"/>
    <mergeCell ref="C41:C42"/>
    <mergeCell ref="N15:N20"/>
    <mergeCell ref="C7:C8"/>
    <mergeCell ref="C9:C14"/>
    <mergeCell ref="C15:C20"/>
    <mergeCell ref="J1:W1"/>
    <mergeCell ref="P2:S2"/>
    <mergeCell ref="T2:W2"/>
    <mergeCell ref="N7:N8"/>
    <mergeCell ref="O7:O8"/>
    <mergeCell ref="N2:O2"/>
  </mergeCells>
  <pageMargins left="0.7" right="0.7" top="0.78740157499999996" bottom="0.78740157499999996"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4FBB-F32F-42B3-A6CA-A452B80215B9}">
  <dimension ref="A1:BB479"/>
  <sheetViews>
    <sheetView zoomScale="115" zoomScaleNormal="100" workbookViewId="0">
      <pane ySplit="2" topLeftCell="C318" activePane="bottomLeft" state="frozen"/>
      <selection pane="bottomLeft" activeCell="C309" sqref="C309"/>
    </sheetView>
  </sheetViews>
  <sheetFormatPr defaultColWidth="8.85546875" defaultRowHeight="15" customHeight="1"/>
  <cols>
    <col min="1" max="1" width="0" hidden="1" customWidth="1"/>
    <col min="2" max="2" width="24.42578125" style="2" hidden="1" customWidth="1"/>
    <col min="3" max="3" width="15" customWidth="1"/>
    <col min="4" max="4" width="11.140625" hidden="1" customWidth="1"/>
    <col min="5" max="5" width="9.85546875" hidden="1" customWidth="1"/>
    <col min="6" max="6" width="21.7109375" style="204" customWidth="1"/>
    <col min="7" max="7" width="14" style="109" hidden="1" customWidth="1"/>
    <col min="8" max="8" width="17.85546875" style="205" hidden="1" customWidth="1"/>
    <col min="9" max="9" width="15.7109375" style="205" hidden="1" customWidth="1"/>
    <col min="10" max="10" width="14.140625" style="205" hidden="1" customWidth="1"/>
    <col min="11" max="11" width="6.7109375" style="2" customWidth="1"/>
    <col min="12" max="12" width="47.140625" style="2" customWidth="1"/>
    <col min="13" max="13" width="18.7109375" hidden="1" customWidth="1"/>
    <col min="14" max="14" width="54.85546875" hidden="1" customWidth="1"/>
    <col min="15" max="15" width="54.85546875" customWidth="1"/>
    <col min="16" max="16" width="25.7109375" customWidth="1"/>
    <col min="17" max="17" width="54.85546875" customWidth="1"/>
    <col min="18" max="18" width="25" customWidth="1"/>
    <col min="19" max="19" width="28.28515625" bestFit="1" customWidth="1"/>
    <col min="20" max="20" width="4.5703125" bestFit="1" customWidth="1"/>
    <col min="21" max="21" width="2.42578125" customWidth="1"/>
    <col min="22" max="24" width="15" customWidth="1"/>
    <col min="25" max="25" width="19.85546875" customWidth="1"/>
    <col min="26" max="26" width="11.7109375" customWidth="1"/>
    <col min="27" max="27" width="17.42578125" customWidth="1"/>
    <col min="28" max="28" width="9.7109375" customWidth="1"/>
    <col min="30" max="30" width="14.85546875" customWidth="1"/>
    <col min="31" max="31" width="15.42578125" customWidth="1"/>
  </cols>
  <sheetData>
    <row r="1" spans="1:54">
      <c r="V1" s="523"/>
      <c r="W1" s="524"/>
      <c r="X1" s="525"/>
      <c r="Z1" s="526" t="s">
        <v>703</v>
      </c>
      <c r="AA1" s="527"/>
      <c r="AB1" s="528"/>
    </row>
    <row r="2" spans="1:54" s="44" customFormat="1" ht="43.5" customHeight="1">
      <c r="A2" s="206" t="s">
        <v>704</v>
      </c>
      <c r="B2" s="207" t="s">
        <v>705</v>
      </c>
      <c r="C2" s="208" t="s">
        <v>706</v>
      </c>
      <c r="D2" s="208" t="s">
        <v>120</v>
      </c>
      <c r="E2" s="208" t="s">
        <v>707</v>
      </c>
      <c r="F2" s="243" t="s">
        <v>708</v>
      </c>
      <c r="G2" s="207" t="s">
        <v>709</v>
      </c>
      <c r="H2" s="207" t="s">
        <v>710</v>
      </c>
      <c r="I2" s="207" t="s">
        <v>711</v>
      </c>
      <c r="J2" s="207" t="s">
        <v>712</v>
      </c>
      <c r="K2" s="208" t="s">
        <v>713</v>
      </c>
      <c r="L2" s="208" t="s">
        <v>714</v>
      </c>
      <c r="M2" s="208" t="s">
        <v>715</v>
      </c>
      <c r="N2" s="208" t="s">
        <v>716</v>
      </c>
      <c r="O2" s="208" t="s">
        <v>717</v>
      </c>
      <c r="P2" s="208" t="s">
        <v>718</v>
      </c>
      <c r="Q2" s="208" t="s">
        <v>719</v>
      </c>
      <c r="R2" s="208" t="s">
        <v>720</v>
      </c>
      <c r="S2" s="208" t="s">
        <v>721</v>
      </c>
      <c r="T2" s="207" t="s">
        <v>722</v>
      </c>
      <c r="U2" s="207" t="s">
        <v>723</v>
      </c>
      <c r="V2" s="209" t="s">
        <v>724</v>
      </c>
      <c r="W2" s="210" t="s">
        <v>725</v>
      </c>
      <c r="X2" s="211" t="s">
        <v>726</v>
      </c>
      <c r="Y2" s="207" t="s">
        <v>727</v>
      </c>
      <c r="Z2" s="209" t="s">
        <v>728</v>
      </c>
      <c r="AA2" s="210" t="s">
        <v>729</v>
      </c>
      <c r="AB2" s="211" t="s">
        <v>730</v>
      </c>
      <c r="AC2" s="208" t="s">
        <v>731</v>
      </c>
      <c r="AD2" s="208" t="s">
        <v>732</v>
      </c>
      <c r="AE2" s="212" t="s">
        <v>733</v>
      </c>
      <c r="AF2" s="57"/>
    </row>
    <row r="3" spans="1:54" s="44" customFormat="1" ht="57.75">
      <c r="A3" s="213" t="s">
        <v>734</v>
      </c>
      <c r="B3" s="175" t="s">
        <v>153</v>
      </c>
      <c r="C3" s="176" t="s">
        <v>155</v>
      </c>
      <c r="D3" s="177" t="s">
        <v>735</v>
      </c>
      <c r="E3" s="174">
        <v>1</v>
      </c>
      <c r="F3" s="240" t="str">
        <f>""&amp;Table12[[#This Row],[TTM Stage]]&amp;Table12[[#This Row],[Task No.]]&amp;"-"&amp;Table12[[#This Row],[Type of activity]]&amp;"-"&amp;Table12[[#This Row],[TargetGroup]]</f>
        <v>PC1-PA1 - A-Young</v>
      </c>
      <c r="G3" s="178" t="s">
        <v>736</v>
      </c>
      <c r="H3" s="179"/>
      <c r="I3" s="179"/>
      <c r="J3" s="179"/>
      <c r="K3" s="271" t="s">
        <v>737</v>
      </c>
      <c r="L3" s="271"/>
      <c r="M3" s="174" t="s">
        <v>65</v>
      </c>
      <c r="N3" s="180" t="s">
        <v>738</v>
      </c>
      <c r="O3" s="180"/>
      <c r="P3" s="180"/>
      <c r="Q3" s="180"/>
      <c r="R3" s="180" t="s">
        <v>739</v>
      </c>
      <c r="S3" s="180"/>
      <c r="T3" s="174">
        <v>1</v>
      </c>
      <c r="U3" s="174">
        <v>1</v>
      </c>
      <c r="V3" s="174"/>
      <c r="W3" s="174"/>
      <c r="X3" s="174"/>
      <c r="Y3" s="174"/>
      <c r="Z3" s="174"/>
      <c r="AA3" s="174"/>
      <c r="AB3" s="174"/>
      <c r="AC3" s="174"/>
      <c r="AD3" s="174"/>
      <c r="AE3" s="181"/>
      <c r="AF3" s="57"/>
      <c r="BB3" s="57"/>
    </row>
    <row r="4" spans="1:54" s="44" customFormat="1" ht="72.75">
      <c r="A4" s="213"/>
      <c r="B4" s="175" t="s">
        <v>153</v>
      </c>
      <c r="C4" s="176" t="s">
        <v>155</v>
      </c>
      <c r="D4" s="177" t="s">
        <v>735</v>
      </c>
      <c r="E4" s="174">
        <v>2</v>
      </c>
      <c r="F4" s="240" t="str">
        <f>""&amp;Table12[[#This Row],[TTM Stage]]&amp;Table12[[#This Row],[Task No.]]&amp;"-"&amp;Table12[[#This Row],[Type of activity]]&amp;"-"&amp;Table12[[#This Row],[TargetGroup]]</f>
        <v>PC2-PA1 - A-Young</v>
      </c>
      <c r="G4" s="178" t="s">
        <v>736</v>
      </c>
      <c r="H4" s="179"/>
      <c r="I4" s="179"/>
      <c r="J4" s="179"/>
      <c r="K4" s="272" t="s">
        <v>740</v>
      </c>
      <c r="L4" s="272"/>
      <c r="M4" s="174" t="s">
        <v>65</v>
      </c>
      <c r="N4" s="180" t="s">
        <v>741</v>
      </c>
      <c r="O4" s="180"/>
      <c r="P4" s="180"/>
      <c r="Q4" s="180"/>
      <c r="R4" s="180" t="s">
        <v>742</v>
      </c>
      <c r="S4" s="180"/>
      <c r="T4" s="174">
        <v>1</v>
      </c>
      <c r="U4" s="174">
        <v>1</v>
      </c>
      <c r="V4" s="174"/>
      <c r="W4" s="174"/>
      <c r="X4" s="174"/>
      <c r="Y4" s="174"/>
      <c r="Z4" s="174"/>
      <c r="AA4" s="174"/>
      <c r="AB4" s="174"/>
      <c r="AC4" s="174"/>
      <c r="AD4" s="174"/>
      <c r="AE4" s="181"/>
      <c r="AF4" s="57"/>
      <c r="BB4" s="57"/>
    </row>
    <row r="5" spans="1:54" s="44" customFormat="1">
      <c r="A5" s="213"/>
      <c r="B5" s="175" t="s">
        <v>153</v>
      </c>
      <c r="C5" s="176" t="s">
        <v>155</v>
      </c>
      <c r="D5" s="182" t="s">
        <v>743</v>
      </c>
      <c r="E5" s="174">
        <v>1</v>
      </c>
      <c r="F5" s="240" t="str">
        <f>""&amp;Table12[[#This Row],[TTM Stage]]&amp;Table12[[#This Row],[Task No.]]&amp;"-"&amp;Table12[[#This Row],[Type of activity]]&amp;"-"&amp;Table12[[#This Row],[TargetGroup]]</f>
        <v>C1-PA1 - A-Young</v>
      </c>
      <c r="G5" s="178" t="s">
        <v>744</v>
      </c>
      <c r="H5" s="179"/>
      <c r="I5" s="178"/>
      <c r="J5" s="179"/>
      <c r="K5" s="271" t="s">
        <v>745</v>
      </c>
      <c r="L5" s="271"/>
      <c r="M5" s="174" t="s">
        <v>65</v>
      </c>
      <c r="N5" s="180" t="s">
        <v>746</v>
      </c>
      <c r="O5" s="180"/>
      <c r="P5" s="180"/>
      <c r="Q5" s="180"/>
      <c r="R5" s="180"/>
      <c r="S5" s="180"/>
      <c r="T5" s="174">
        <v>1</v>
      </c>
      <c r="U5" s="174">
        <v>1</v>
      </c>
      <c r="V5" s="174"/>
      <c r="W5" s="174"/>
      <c r="X5" s="174"/>
      <c r="Y5" s="174"/>
      <c r="Z5" s="174"/>
      <c r="AA5" s="174"/>
      <c r="AB5" s="174"/>
      <c r="AC5" s="174"/>
      <c r="AD5" s="174"/>
      <c r="AE5" s="181"/>
      <c r="AF5" s="57"/>
      <c r="BB5" s="57"/>
    </row>
    <row r="6" spans="1:54" s="44" customFormat="1" ht="119.25" customHeight="1">
      <c r="A6" s="213"/>
      <c r="B6" s="175" t="s">
        <v>153</v>
      </c>
      <c r="C6" s="176" t="s">
        <v>155</v>
      </c>
      <c r="D6" s="182" t="s">
        <v>743</v>
      </c>
      <c r="E6" s="174">
        <v>2</v>
      </c>
      <c r="F6" s="240" t="str">
        <f>""&amp;Table12[[#This Row],[TTM Stage]]&amp;Table12[[#This Row],[Task No.]]&amp;"-"&amp;Table12[[#This Row],[Type of activity]]&amp;"-"&amp;Table12[[#This Row],[TargetGroup]]</f>
        <v>C2-PA1 - A-Young</v>
      </c>
      <c r="G6" s="178" t="s">
        <v>747</v>
      </c>
      <c r="H6" s="179"/>
      <c r="I6" s="179"/>
      <c r="J6" s="179"/>
      <c r="K6" s="271" t="s">
        <v>748</v>
      </c>
      <c r="L6" s="271"/>
      <c r="M6" s="174" t="s">
        <v>65</v>
      </c>
      <c r="N6" s="180" t="s">
        <v>749</v>
      </c>
      <c r="O6" s="180"/>
      <c r="P6" s="180"/>
      <c r="Q6" s="180"/>
      <c r="R6" s="180"/>
      <c r="S6" s="180"/>
      <c r="T6" s="174">
        <v>1</v>
      </c>
      <c r="U6" s="174">
        <v>1</v>
      </c>
      <c r="V6" s="174"/>
      <c r="W6" s="174" t="s">
        <v>587</v>
      </c>
      <c r="X6" s="174"/>
      <c r="Y6" s="174"/>
      <c r="Z6" s="174"/>
      <c r="AA6" s="174"/>
      <c r="AB6" s="174"/>
      <c r="AC6" s="174"/>
      <c r="AD6" s="174"/>
      <c r="AE6" s="181"/>
      <c r="AF6" s="57"/>
      <c r="BB6" s="57"/>
    </row>
    <row r="7" spans="1:54" s="44" customFormat="1" ht="29.25">
      <c r="A7" s="213"/>
      <c r="B7" s="175" t="s">
        <v>153</v>
      </c>
      <c r="C7" s="176" t="s">
        <v>155</v>
      </c>
      <c r="D7" s="183" t="s">
        <v>750</v>
      </c>
      <c r="E7" s="174">
        <v>1</v>
      </c>
      <c r="F7" s="240" t="str">
        <f>""&amp;Table12[[#This Row],[TTM Stage]]&amp;Table12[[#This Row],[Task No.]]&amp;"-"&amp;Table12[[#This Row],[Type of activity]]&amp;"-"&amp;Table12[[#This Row],[TargetGroup]]</f>
        <v>P1-PA1 - A-Young</v>
      </c>
      <c r="G7" s="178" t="s">
        <v>751</v>
      </c>
      <c r="H7" s="178"/>
      <c r="I7" s="178"/>
      <c r="J7" s="178"/>
      <c r="K7" s="271" t="s">
        <v>752</v>
      </c>
      <c r="L7" s="271"/>
      <c r="M7" s="174" t="s">
        <v>65</v>
      </c>
      <c r="N7" s="180" t="s">
        <v>753</v>
      </c>
      <c r="O7" s="180"/>
      <c r="P7" s="180"/>
      <c r="Q7" s="180"/>
      <c r="R7" s="180" t="s">
        <v>754</v>
      </c>
      <c r="S7" s="180"/>
      <c r="T7" s="174">
        <v>1</v>
      </c>
      <c r="U7" s="174">
        <v>1</v>
      </c>
      <c r="V7" s="174"/>
      <c r="W7" s="174"/>
      <c r="X7" s="174" t="s">
        <v>755</v>
      </c>
      <c r="Y7" s="174"/>
      <c r="Z7" s="174"/>
      <c r="AA7" s="174"/>
      <c r="AB7" s="174"/>
      <c r="AC7" s="174"/>
      <c r="AD7" s="174"/>
      <c r="AE7" s="181"/>
      <c r="AF7" s="57"/>
      <c r="BB7" s="57"/>
    </row>
    <row r="8" spans="1:54" s="44" customFormat="1" ht="29.25">
      <c r="A8" s="213"/>
      <c r="B8" s="175" t="s">
        <v>153</v>
      </c>
      <c r="C8" s="176" t="s">
        <v>155</v>
      </c>
      <c r="D8" s="183" t="s">
        <v>750</v>
      </c>
      <c r="E8" s="174">
        <v>2</v>
      </c>
      <c r="F8" s="240" t="str">
        <f>""&amp;Table12[[#This Row],[TTM Stage]]&amp;Table12[[#This Row],[Task No.]]&amp;"-"&amp;Table12[[#This Row],[Type of activity]]&amp;"-"&amp;Table12[[#This Row],[TargetGroup]]</f>
        <v>P2-PA1 - A-Young</v>
      </c>
      <c r="G8" s="178" t="s">
        <v>756</v>
      </c>
      <c r="H8" s="179"/>
      <c r="I8" s="178" t="s">
        <v>757</v>
      </c>
      <c r="J8" s="179"/>
      <c r="K8" s="271" t="s">
        <v>758</v>
      </c>
      <c r="L8" s="271"/>
      <c r="M8" s="174" t="s">
        <v>65</v>
      </c>
      <c r="N8" s="180" t="s">
        <v>759</v>
      </c>
      <c r="O8" s="180"/>
      <c r="P8" s="180"/>
      <c r="Q8" s="180"/>
      <c r="R8" s="180"/>
      <c r="S8" s="180"/>
      <c r="T8" s="174">
        <v>1</v>
      </c>
      <c r="U8" s="174">
        <v>1</v>
      </c>
      <c r="V8" s="174"/>
      <c r="W8" s="174"/>
      <c r="X8" s="174"/>
      <c r="Y8" s="180" t="s">
        <v>760</v>
      </c>
      <c r="Z8" s="174" t="s">
        <v>761</v>
      </c>
      <c r="AA8" s="180" t="s">
        <v>762</v>
      </c>
      <c r="AB8" s="174">
        <v>99</v>
      </c>
      <c r="AC8" s="174"/>
      <c r="AD8" s="174" t="s">
        <v>763</v>
      </c>
      <c r="AE8" s="181"/>
      <c r="AF8" s="57"/>
      <c r="BB8" s="57"/>
    </row>
    <row r="9" spans="1:54" s="44" customFormat="1" ht="57.75">
      <c r="A9" s="213"/>
      <c r="B9" s="175" t="s">
        <v>153</v>
      </c>
      <c r="C9" s="176" t="s">
        <v>155</v>
      </c>
      <c r="D9" s="184" t="s">
        <v>764</v>
      </c>
      <c r="E9" s="174">
        <v>1</v>
      </c>
      <c r="F9" s="240" t="str">
        <f>""&amp;Table12[[#This Row],[TTM Stage]]&amp;Table12[[#This Row],[Task No.]]&amp;"-"&amp;Table12[[#This Row],[Type of activity]]&amp;"-"&amp;Table12[[#This Row],[TargetGroup]]</f>
        <v>A1-PA1 - A-Young</v>
      </c>
      <c r="G9" s="178" t="s">
        <v>756</v>
      </c>
      <c r="H9" s="179"/>
      <c r="I9" s="178" t="s">
        <v>757</v>
      </c>
      <c r="J9" s="179"/>
      <c r="K9" s="271" t="s">
        <v>765</v>
      </c>
      <c r="L9" s="271"/>
      <c r="M9" s="174" t="s">
        <v>65</v>
      </c>
      <c r="N9" s="180" t="s">
        <v>766</v>
      </c>
      <c r="O9" s="180"/>
      <c r="P9" s="180"/>
      <c r="Q9" s="180"/>
      <c r="R9" s="180" t="s">
        <v>767</v>
      </c>
      <c r="S9" s="180"/>
      <c r="T9" s="174" t="s">
        <v>768</v>
      </c>
      <c r="U9" s="174" t="s">
        <v>768</v>
      </c>
      <c r="V9" s="174"/>
      <c r="W9" s="174"/>
      <c r="X9" s="174"/>
      <c r="Y9" s="180" t="s">
        <v>760</v>
      </c>
      <c r="Z9" s="174" t="s">
        <v>761</v>
      </c>
      <c r="AA9" s="180" t="s">
        <v>762</v>
      </c>
      <c r="AB9" s="174">
        <v>3999</v>
      </c>
      <c r="AC9" s="174"/>
      <c r="AD9" s="174" t="s">
        <v>763</v>
      </c>
      <c r="AE9" s="181"/>
      <c r="AF9" s="57"/>
      <c r="BB9" s="57"/>
    </row>
    <row r="10" spans="1:54" s="44" customFormat="1" ht="87">
      <c r="A10" s="213"/>
      <c r="B10" s="175" t="s">
        <v>153</v>
      </c>
      <c r="C10" s="176" t="s">
        <v>155</v>
      </c>
      <c r="D10" s="184" t="s">
        <v>764</v>
      </c>
      <c r="E10" s="174">
        <v>2</v>
      </c>
      <c r="F10" s="240" t="str">
        <f>""&amp;Table12[[#This Row],[TTM Stage]]&amp;Table12[[#This Row],[Task No.]]&amp;"-"&amp;Table12[[#This Row],[Type of activity]]&amp;"-"&amp;Table12[[#This Row],[TargetGroup]]</f>
        <v>A2-PA1 - A-Young</v>
      </c>
      <c r="G10" s="178" t="s">
        <v>756</v>
      </c>
      <c r="H10" s="179"/>
      <c r="I10" s="178" t="s">
        <v>757</v>
      </c>
      <c r="J10" s="179"/>
      <c r="K10" s="271" t="s">
        <v>769</v>
      </c>
      <c r="L10" s="271"/>
      <c r="M10" s="174" t="s">
        <v>65</v>
      </c>
      <c r="N10" s="180" t="s">
        <v>770</v>
      </c>
      <c r="O10" s="180"/>
      <c r="P10" s="180"/>
      <c r="Q10" s="180"/>
      <c r="R10" s="180" t="s">
        <v>771</v>
      </c>
      <c r="S10" s="180"/>
      <c r="T10" s="174" t="s">
        <v>768</v>
      </c>
      <c r="U10" s="174" t="s">
        <v>768</v>
      </c>
      <c r="V10" s="174"/>
      <c r="W10" s="174"/>
      <c r="X10" s="174"/>
      <c r="Y10" s="180" t="s">
        <v>760</v>
      </c>
      <c r="Z10" s="174" t="s">
        <v>761</v>
      </c>
      <c r="AA10" s="180" t="s">
        <v>762</v>
      </c>
      <c r="AB10" s="174">
        <v>5999</v>
      </c>
      <c r="AC10" s="174"/>
      <c r="AD10" s="174" t="s">
        <v>763</v>
      </c>
      <c r="AE10" s="181"/>
      <c r="AF10" s="57"/>
      <c r="BB10" s="57"/>
    </row>
    <row r="11" spans="1:54" s="44" customFormat="1" ht="72.75">
      <c r="A11" s="213"/>
      <c r="B11" s="175" t="s">
        <v>153</v>
      </c>
      <c r="C11" s="176" t="s">
        <v>155</v>
      </c>
      <c r="D11" s="184" t="s">
        <v>764</v>
      </c>
      <c r="E11" s="174">
        <v>3</v>
      </c>
      <c r="F11" s="240" t="str">
        <f>""&amp;Table12[[#This Row],[TTM Stage]]&amp;Table12[[#This Row],[Task No.]]&amp;"-"&amp;Table12[[#This Row],[Type of activity]]&amp;"-"&amp;Table12[[#This Row],[TargetGroup]]</f>
        <v>A3-PA1 - A-Young</v>
      </c>
      <c r="G11" s="178" t="s">
        <v>756</v>
      </c>
      <c r="H11" s="179"/>
      <c r="I11" s="178" t="s">
        <v>757</v>
      </c>
      <c r="J11" s="179"/>
      <c r="K11" s="271" t="s">
        <v>772</v>
      </c>
      <c r="L11" s="271"/>
      <c r="M11" s="174" t="s">
        <v>65</v>
      </c>
      <c r="N11" s="180" t="s">
        <v>773</v>
      </c>
      <c r="O11" s="180"/>
      <c r="P11" s="180"/>
      <c r="Q11" s="180"/>
      <c r="R11" s="180" t="s">
        <v>774</v>
      </c>
      <c r="S11" s="180"/>
      <c r="T11" s="174" t="s">
        <v>768</v>
      </c>
      <c r="U11" s="174" t="s">
        <v>768</v>
      </c>
      <c r="V11" s="174"/>
      <c r="W11" s="174"/>
      <c r="X11" s="174"/>
      <c r="Y11" s="180" t="s">
        <v>760</v>
      </c>
      <c r="Z11" s="174" t="s">
        <v>761</v>
      </c>
      <c r="AA11" s="180" t="s">
        <v>762</v>
      </c>
      <c r="AB11" s="174">
        <v>7999</v>
      </c>
      <c r="AC11" s="174"/>
      <c r="AD11" s="174" t="s">
        <v>763</v>
      </c>
      <c r="AE11" s="181"/>
      <c r="AF11" s="57"/>
      <c r="BB11" s="57"/>
    </row>
    <row r="12" spans="1:54" s="44" customFormat="1" ht="72.75">
      <c r="A12" s="213"/>
      <c r="B12" s="175" t="s">
        <v>153</v>
      </c>
      <c r="C12" s="176" t="s">
        <v>155</v>
      </c>
      <c r="D12" s="184" t="s">
        <v>764</v>
      </c>
      <c r="E12" s="174">
        <v>4</v>
      </c>
      <c r="F12" s="240" t="str">
        <f>""&amp;Table12[[#This Row],[TTM Stage]]&amp;Table12[[#This Row],[Task No.]]&amp;"-"&amp;Table12[[#This Row],[Type of activity]]&amp;"-"&amp;Table12[[#This Row],[TargetGroup]]</f>
        <v>A4-PA1 - A-Young</v>
      </c>
      <c r="G12" s="178" t="s">
        <v>756</v>
      </c>
      <c r="H12" s="179"/>
      <c r="I12" s="178" t="s">
        <v>757</v>
      </c>
      <c r="J12" s="179"/>
      <c r="K12" s="271" t="s">
        <v>775</v>
      </c>
      <c r="L12" s="271"/>
      <c r="M12" s="174" t="s">
        <v>65</v>
      </c>
      <c r="N12" s="180" t="s">
        <v>776</v>
      </c>
      <c r="O12" s="180"/>
      <c r="P12" s="180"/>
      <c r="Q12" s="180"/>
      <c r="R12" s="180" t="s">
        <v>777</v>
      </c>
      <c r="S12" s="180"/>
      <c r="T12" s="174" t="s">
        <v>768</v>
      </c>
      <c r="U12" s="174" t="s">
        <v>768</v>
      </c>
      <c r="V12" s="174"/>
      <c r="W12" s="174"/>
      <c r="X12" s="174"/>
      <c r="Y12" s="180" t="s">
        <v>760</v>
      </c>
      <c r="Z12" s="174" t="s">
        <v>761</v>
      </c>
      <c r="AA12" s="180" t="s">
        <v>762</v>
      </c>
      <c r="AB12" s="174">
        <v>8999</v>
      </c>
      <c r="AC12" s="174"/>
      <c r="AD12" s="174" t="s">
        <v>763</v>
      </c>
      <c r="AE12" s="181"/>
      <c r="AF12" s="57"/>
      <c r="BB12" s="57"/>
    </row>
    <row r="13" spans="1:54" s="44" customFormat="1" ht="72.75">
      <c r="A13" s="213"/>
      <c r="B13" s="175" t="s">
        <v>153</v>
      </c>
      <c r="C13" s="176" t="s">
        <v>155</v>
      </c>
      <c r="D13" s="185" t="s">
        <v>778</v>
      </c>
      <c r="E13" s="174">
        <v>1</v>
      </c>
      <c r="F13" s="240" t="str">
        <f>""&amp;Table12[[#This Row],[TTM Stage]]&amp;Table12[[#This Row],[Task No.]]&amp;"-"&amp;Table12[[#This Row],[Type of activity]]&amp;"-"&amp;Table12[[#This Row],[TargetGroup]]</f>
        <v>M1-PA1 - A-Young</v>
      </c>
      <c r="G13" s="178" t="s">
        <v>756</v>
      </c>
      <c r="H13" s="179"/>
      <c r="I13" s="178" t="s">
        <v>757</v>
      </c>
      <c r="J13" s="179"/>
      <c r="K13" s="271" t="s">
        <v>779</v>
      </c>
      <c r="L13" s="271"/>
      <c r="M13" s="174" t="s">
        <v>65</v>
      </c>
      <c r="N13" s="180" t="s">
        <v>780</v>
      </c>
      <c r="O13" s="180"/>
      <c r="P13" s="180"/>
      <c r="Q13" s="180"/>
      <c r="R13" s="180" t="s">
        <v>781</v>
      </c>
      <c r="S13" s="180"/>
      <c r="T13" s="174">
        <v>5</v>
      </c>
      <c r="U13" s="174">
        <v>7</v>
      </c>
      <c r="V13" s="174"/>
      <c r="W13" s="174"/>
      <c r="X13" s="174"/>
      <c r="Y13" s="180" t="s">
        <v>760</v>
      </c>
      <c r="Z13" s="174" t="s">
        <v>761</v>
      </c>
      <c r="AA13" s="180" t="s">
        <v>762</v>
      </c>
      <c r="AB13" s="174">
        <v>3999</v>
      </c>
      <c r="AC13" s="174"/>
      <c r="AD13" s="174" t="s">
        <v>763</v>
      </c>
      <c r="AE13" s="181"/>
      <c r="AF13" s="57"/>
      <c r="BB13" s="57"/>
    </row>
    <row r="14" spans="1:54" s="44" customFormat="1" ht="57.75">
      <c r="A14" s="213"/>
      <c r="B14" s="175" t="s">
        <v>153</v>
      </c>
      <c r="C14" s="176" t="s">
        <v>155</v>
      </c>
      <c r="D14" s="185" t="s">
        <v>778</v>
      </c>
      <c r="E14" s="174">
        <v>2</v>
      </c>
      <c r="F14" s="240" t="str">
        <f>""&amp;Table12[[#This Row],[TTM Stage]]&amp;Table12[[#This Row],[Task No.]]&amp;"-"&amp;Table12[[#This Row],[Type of activity]]&amp;"-"&amp;Table12[[#This Row],[TargetGroup]]</f>
        <v>M2-PA1 - A-Young</v>
      </c>
      <c r="G14" s="178" t="s">
        <v>756</v>
      </c>
      <c r="H14" s="179"/>
      <c r="I14" s="178" t="s">
        <v>757</v>
      </c>
      <c r="J14" s="179"/>
      <c r="K14" s="271" t="s">
        <v>782</v>
      </c>
      <c r="L14" s="271"/>
      <c r="M14" s="174" t="s">
        <v>65</v>
      </c>
      <c r="N14" s="180" t="s">
        <v>783</v>
      </c>
      <c r="O14" s="180"/>
      <c r="P14" s="180"/>
      <c r="Q14" s="180"/>
      <c r="R14" s="180" t="s">
        <v>784</v>
      </c>
      <c r="S14" s="180"/>
      <c r="T14" s="174">
        <v>5</v>
      </c>
      <c r="U14" s="174">
        <v>7</v>
      </c>
      <c r="V14" s="174"/>
      <c r="W14" s="174"/>
      <c r="X14" s="174"/>
      <c r="Y14" s="180" t="s">
        <v>760</v>
      </c>
      <c r="Z14" s="174" t="s">
        <v>761</v>
      </c>
      <c r="AA14" s="180" t="s">
        <v>762</v>
      </c>
      <c r="AB14" s="174">
        <v>5999</v>
      </c>
      <c r="AC14" s="174"/>
      <c r="AD14" s="174" t="s">
        <v>763</v>
      </c>
      <c r="AE14" s="181"/>
      <c r="AF14" s="57"/>
      <c r="BB14" s="57"/>
    </row>
    <row r="15" spans="1:54" s="44" customFormat="1" ht="72.75">
      <c r="A15" s="213"/>
      <c r="B15" s="175" t="s">
        <v>153</v>
      </c>
      <c r="C15" s="176" t="s">
        <v>155</v>
      </c>
      <c r="D15" s="185" t="s">
        <v>778</v>
      </c>
      <c r="E15" s="174">
        <v>3</v>
      </c>
      <c r="F15" s="240" t="str">
        <f>""&amp;Table12[[#This Row],[TTM Stage]]&amp;Table12[[#This Row],[Task No.]]&amp;"-"&amp;Table12[[#This Row],[Type of activity]]&amp;"-"&amp;Table12[[#This Row],[TargetGroup]]</f>
        <v>M3-PA1 - A-Young</v>
      </c>
      <c r="G15" s="178" t="s">
        <v>756</v>
      </c>
      <c r="H15" s="179"/>
      <c r="I15" s="178" t="s">
        <v>757</v>
      </c>
      <c r="J15" s="179"/>
      <c r="K15" s="271" t="s">
        <v>785</v>
      </c>
      <c r="L15" s="271"/>
      <c r="M15" s="174" t="s">
        <v>65</v>
      </c>
      <c r="N15" s="180" t="s">
        <v>786</v>
      </c>
      <c r="O15" s="180"/>
      <c r="P15" s="180"/>
      <c r="Q15" s="180"/>
      <c r="R15" s="180" t="s">
        <v>787</v>
      </c>
      <c r="S15" s="180"/>
      <c r="T15" s="174">
        <v>5</v>
      </c>
      <c r="U15" s="174">
        <v>7</v>
      </c>
      <c r="V15" s="174"/>
      <c r="W15" s="174"/>
      <c r="X15" s="174"/>
      <c r="Y15" s="180" t="s">
        <v>760</v>
      </c>
      <c r="Z15" s="174" t="s">
        <v>761</v>
      </c>
      <c r="AA15" s="180" t="s">
        <v>762</v>
      </c>
      <c r="AB15" s="174">
        <v>7999</v>
      </c>
      <c r="AC15" s="174"/>
      <c r="AD15" s="174" t="s">
        <v>763</v>
      </c>
      <c r="AE15" s="181"/>
      <c r="AF15" s="57"/>
      <c r="BB15" s="57"/>
    </row>
    <row r="16" spans="1:54" s="78" customFormat="1" ht="72.75">
      <c r="A16" s="259"/>
      <c r="B16" s="175" t="s">
        <v>153</v>
      </c>
      <c r="C16" s="186" t="s">
        <v>155</v>
      </c>
      <c r="D16" s="187" t="s">
        <v>778</v>
      </c>
      <c r="E16" s="188">
        <v>4</v>
      </c>
      <c r="F16" s="241" t="str">
        <f>""&amp;Table12[[#This Row],[TTM Stage]]&amp;Table12[[#This Row],[Task No.]]&amp;"-"&amp;Table12[[#This Row],[Type of activity]]&amp;"-"&amp;Table12[[#This Row],[TargetGroup]]</f>
        <v>M4-PA1 - A-Young</v>
      </c>
      <c r="G16" s="189" t="s">
        <v>756</v>
      </c>
      <c r="H16" s="190"/>
      <c r="I16" s="189" t="s">
        <v>757</v>
      </c>
      <c r="J16" s="190"/>
      <c r="K16" s="273" t="s">
        <v>788</v>
      </c>
      <c r="L16" s="273"/>
      <c r="M16" s="174" t="s">
        <v>65</v>
      </c>
      <c r="N16" s="191" t="s">
        <v>789</v>
      </c>
      <c r="O16" s="191"/>
      <c r="P16" s="191"/>
      <c r="Q16" s="191"/>
      <c r="R16" s="191" t="s">
        <v>790</v>
      </c>
      <c r="S16" s="191"/>
      <c r="T16" s="188">
        <v>3</v>
      </c>
      <c r="U16" s="188">
        <v>7</v>
      </c>
      <c r="V16" s="188"/>
      <c r="W16" s="188"/>
      <c r="X16" s="188"/>
      <c r="Y16" s="191" t="s">
        <v>760</v>
      </c>
      <c r="Z16" s="188" t="s">
        <v>761</v>
      </c>
      <c r="AA16" s="191" t="s">
        <v>762</v>
      </c>
      <c r="AB16" s="188">
        <v>8999</v>
      </c>
      <c r="AC16" s="188"/>
      <c r="AD16" s="188" t="s">
        <v>763</v>
      </c>
      <c r="AE16" s="192"/>
      <c r="AF16" s="126"/>
      <c r="BB16" s="126"/>
    </row>
    <row r="17" spans="1:45" s="258" customFormat="1" ht="51" customHeight="1">
      <c r="A17" s="260"/>
      <c r="B17" s="281" t="s">
        <v>791</v>
      </c>
      <c r="C17" s="261" t="s">
        <v>792</v>
      </c>
      <c r="D17" s="262" t="s">
        <v>735</v>
      </c>
      <c r="E17" s="263">
        <v>1</v>
      </c>
      <c r="F17" s="264" t="str">
        <f>""&amp;Table12[[#This Row],[TTM Stage]]&amp;Table12[[#This Row],[Task No.]]&amp;"-"&amp;Table12[[#This Row],[Type of activity]]&amp;"-"&amp;Table12[[#This Row],[TargetGroup]]</f>
        <v>PC1-PA2 - A-Young</v>
      </c>
      <c r="G17" s="265" t="s">
        <v>793</v>
      </c>
      <c r="H17" s="266"/>
      <c r="I17" s="266"/>
      <c r="J17" s="266"/>
      <c r="K17" s="274" t="s">
        <v>794</v>
      </c>
      <c r="L17" s="428"/>
      <c r="M17" s="174" t="s">
        <v>65</v>
      </c>
      <c r="N17" s="267" t="s">
        <v>795</v>
      </c>
      <c r="O17" s="267"/>
      <c r="P17" s="267"/>
      <c r="Q17" s="267"/>
      <c r="R17" s="263"/>
      <c r="S17" s="263"/>
      <c r="T17" s="263"/>
      <c r="U17" s="263"/>
      <c r="V17" s="263"/>
      <c r="W17" s="263"/>
      <c r="X17" s="263"/>
      <c r="Y17" s="263"/>
      <c r="Z17" s="263"/>
      <c r="AA17" s="267"/>
      <c r="AB17" s="263"/>
      <c r="AC17" s="263"/>
      <c r="AD17" s="263"/>
      <c r="AE17" s="268"/>
      <c r="AF17" s="269"/>
      <c r="AG17" s="270"/>
      <c r="AH17" s="270"/>
      <c r="AI17" s="270"/>
      <c r="AJ17" s="270"/>
      <c r="AK17" s="270"/>
      <c r="AL17" s="270"/>
      <c r="AM17" s="270"/>
      <c r="AN17" s="270"/>
      <c r="AO17" s="270"/>
      <c r="AP17" s="270"/>
      <c r="AQ17" s="270"/>
      <c r="AR17" s="270"/>
      <c r="AS17" s="270"/>
    </row>
    <row r="18" spans="1:45" ht="72.75">
      <c r="A18" s="214"/>
      <c r="B18" s="282" t="s">
        <v>791</v>
      </c>
      <c r="C18" s="193" t="s">
        <v>792</v>
      </c>
      <c r="D18" s="194" t="s">
        <v>735</v>
      </c>
      <c r="E18" s="195">
        <v>2</v>
      </c>
      <c r="F18" s="242" t="str">
        <f>""&amp;Table12[[#This Row],[TTM Stage]]&amp;Table12[[#This Row],[Task No.]]&amp;"-"&amp;Table12[[#This Row],[Type of activity]]&amp;"-"&amp;Table12[[#This Row],[TargetGroup]]</f>
        <v>PC2-PA2 - A-Young</v>
      </c>
      <c r="G18" s="196" t="s">
        <v>736</v>
      </c>
      <c r="H18" s="197"/>
      <c r="I18" s="197"/>
      <c r="J18" s="197"/>
      <c r="K18" s="275" t="s">
        <v>796</v>
      </c>
      <c r="L18" s="275"/>
      <c r="M18" s="174" t="s">
        <v>65</v>
      </c>
      <c r="N18" s="195" t="s">
        <v>797</v>
      </c>
      <c r="O18" s="195"/>
      <c r="P18" s="195"/>
      <c r="Q18" s="195"/>
      <c r="R18" s="198" t="s">
        <v>798</v>
      </c>
      <c r="S18" s="198"/>
      <c r="T18" s="195"/>
      <c r="U18" s="195"/>
      <c r="V18" s="195"/>
      <c r="W18" s="195"/>
      <c r="X18" s="195"/>
      <c r="Y18" s="195"/>
      <c r="Z18" s="195"/>
      <c r="AA18" s="198"/>
      <c r="AB18" s="195"/>
      <c r="AC18" s="195"/>
      <c r="AD18" s="195"/>
      <c r="AE18" s="199"/>
      <c r="AF18" s="9"/>
      <c r="AG18" s="42"/>
      <c r="AH18" s="42"/>
      <c r="AI18" s="42"/>
      <c r="AJ18" s="42"/>
      <c r="AK18" s="42"/>
      <c r="AL18" s="42"/>
      <c r="AM18" s="42"/>
      <c r="AN18" s="42"/>
      <c r="AO18" s="42"/>
      <c r="AP18" s="42"/>
      <c r="AQ18" s="42"/>
      <c r="AR18" s="42"/>
      <c r="AS18" s="42"/>
    </row>
    <row r="19" spans="1:45" ht="29.25">
      <c r="A19" s="214"/>
      <c r="B19" s="283" t="s">
        <v>791</v>
      </c>
      <c r="C19" s="200" t="s">
        <v>792</v>
      </c>
      <c r="D19" s="182" t="s">
        <v>743</v>
      </c>
      <c r="E19" s="174">
        <v>1</v>
      </c>
      <c r="F19" s="240" t="str">
        <f>""&amp;Table12[[#This Row],[TTM Stage]]&amp;Table12[[#This Row],[Task No.]]&amp;"-"&amp;Table12[[#This Row],[Type of activity]]&amp;"-"&amp;Table12[[#This Row],[TargetGroup]]</f>
        <v>C1-PA2 - A-Young</v>
      </c>
      <c r="G19" s="178" t="s">
        <v>744</v>
      </c>
      <c r="H19" s="179"/>
      <c r="I19" s="179"/>
      <c r="J19" s="179"/>
      <c r="K19" s="272" t="s">
        <v>799</v>
      </c>
      <c r="L19" s="272"/>
      <c r="M19" s="174" t="s">
        <v>65</v>
      </c>
      <c r="N19" s="174" t="s">
        <v>800</v>
      </c>
      <c r="O19" s="174"/>
      <c r="P19" s="174"/>
      <c r="Q19" s="174"/>
      <c r="R19" s="180"/>
      <c r="S19" s="180"/>
      <c r="T19" s="174"/>
      <c r="U19" s="174"/>
      <c r="V19" s="174"/>
      <c r="W19" s="174"/>
      <c r="X19" s="174"/>
      <c r="Y19" s="174"/>
      <c r="Z19" s="174"/>
      <c r="AA19" s="180"/>
      <c r="AB19" s="174"/>
      <c r="AC19" s="174"/>
      <c r="AD19" s="174"/>
      <c r="AE19" s="181"/>
      <c r="AF19" s="57"/>
      <c r="AG19" s="44"/>
      <c r="AH19" s="44"/>
      <c r="AI19" s="44"/>
      <c r="AJ19" s="44"/>
      <c r="AK19" s="44"/>
      <c r="AL19" s="44"/>
      <c r="AM19" s="44"/>
      <c r="AN19" s="44"/>
      <c r="AO19" s="44"/>
      <c r="AP19" s="44"/>
      <c r="AQ19" s="44"/>
      <c r="AR19" s="44"/>
      <c r="AS19" s="44"/>
    </row>
    <row r="20" spans="1:45" ht="90" customHeight="1">
      <c r="A20" s="214"/>
      <c r="B20" s="283" t="s">
        <v>791</v>
      </c>
      <c r="C20" s="200" t="s">
        <v>792</v>
      </c>
      <c r="D20" s="182" t="s">
        <v>743</v>
      </c>
      <c r="E20" s="174">
        <v>2</v>
      </c>
      <c r="F20" s="240" t="str">
        <f>""&amp;Table12[[#This Row],[TTM Stage]]&amp;Table12[[#This Row],[Task No.]]&amp;"-"&amp;Table12[[#This Row],[Type of activity]]&amp;"-"&amp;Table12[[#This Row],[TargetGroup]]</f>
        <v>C2-PA2 - A-Young</v>
      </c>
      <c r="G20" s="178" t="s">
        <v>744</v>
      </c>
      <c r="H20" s="179"/>
      <c r="I20" s="179"/>
      <c r="J20" s="179"/>
      <c r="K20" s="272" t="s">
        <v>801</v>
      </c>
      <c r="L20" s="272"/>
      <c r="M20" s="174" t="s">
        <v>65</v>
      </c>
      <c r="N20" s="180" t="s">
        <v>802</v>
      </c>
      <c r="O20" s="180"/>
      <c r="P20" s="180"/>
      <c r="Q20" s="180"/>
      <c r="R20" s="180" t="s">
        <v>803</v>
      </c>
      <c r="S20" s="180"/>
      <c r="T20" s="174"/>
      <c r="U20" s="174"/>
      <c r="V20" s="174"/>
      <c r="W20" s="174"/>
      <c r="X20" s="174"/>
      <c r="Y20" s="174"/>
      <c r="Z20" s="174"/>
      <c r="AA20" s="180"/>
      <c r="AB20" s="174"/>
      <c r="AC20" s="174"/>
      <c r="AD20" s="174"/>
      <c r="AE20" s="181"/>
      <c r="AF20" s="57"/>
      <c r="AG20" s="44"/>
      <c r="AH20" s="44"/>
      <c r="AI20" s="44"/>
      <c r="AJ20" s="44"/>
      <c r="AK20" s="44"/>
      <c r="AL20" s="44"/>
      <c r="AM20" s="44"/>
      <c r="AN20" s="44"/>
      <c r="AO20" s="44"/>
      <c r="AP20" s="44"/>
      <c r="AQ20" s="44"/>
      <c r="AR20" s="44"/>
      <c r="AS20" s="44"/>
    </row>
    <row r="21" spans="1:45">
      <c r="A21" s="214"/>
      <c r="B21" s="283" t="s">
        <v>791</v>
      </c>
      <c r="C21" s="200" t="s">
        <v>792</v>
      </c>
      <c r="D21" s="183" t="s">
        <v>750</v>
      </c>
      <c r="E21" s="174">
        <v>1</v>
      </c>
      <c r="F21" s="240" t="str">
        <f>""&amp;Table12[[#This Row],[TTM Stage]]&amp;Table12[[#This Row],[Task No.]]&amp;"-"&amp;Table12[[#This Row],[Type of activity]]&amp;"-"&amp;Table12[[#This Row],[TargetGroup]]</f>
        <v>P1-PA2 - A-Young</v>
      </c>
      <c r="G21" s="178" t="s">
        <v>804</v>
      </c>
      <c r="H21" s="179"/>
      <c r="I21" s="179"/>
      <c r="J21" s="179"/>
      <c r="K21" s="276" t="s">
        <v>805</v>
      </c>
      <c r="L21" s="276"/>
      <c r="M21" s="174" t="s">
        <v>65</v>
      </c>
      <c r="N21" s="180" t="s">
        <v>806</v>
      </c>
      <c r="O21" s="180"/>
      <c r="P21" s="180"/>
      <c r="Q21" s="180"/>
      <c r="R21" s="180"/>
      <c r="S21" s="180"/>
      <c r="T21" s="174"/>
      <c r="U21" s="174"/>
      <c r="V21" s="174"/>
      <c r="W21" s="174"/>
      <c r="X21" s="174"/>
      <c r="Y21" s="174"/>
      <c r="Z21" s="174"/>
      <c r="AA21" s="180"/>
      <c r="AB21" s="174"/>
      <c r="AC21" s="174"/>
      <c r="AD21" s="174"/>
      <c r="AE21" s="181"/>
      <c r="AF21" s="57"/>
      <c r="AG21" s="44"/>
      <c r="AH21" s="44"/>
      <c r="AI21" s="44"/>
      <c r="AJ21" s="44"/>
      <c r="AK21" s="44"/>
      <c r="AL21" s="44"/>
      <c r="AM21" s="44"/>
      <c r="AN21" s="44"/>
      <c r="AO21" s="44"/>
      <c r="AP21" s="44"/>
      <c r="AQ21" s="44"/>
      <c r="AR21" s="44"/>
      <c r="AS21" s="44"/>
    </row>
    <row r="22" spans="1:45">
      <c r="A22" s="214"/>
      <c r="B22" s="283" t="s">
        <v>791</v>
      </c>
      <c r="C22" s="200" t="s">
        <v>792</v>
      </c>
      <c r="D22" s="183" t="s">
        <v>750</v>
      </c>
      <c r="E22" s="174">
        <v>2</v>
      </c>
      <c r="F22" s="240" t="str">
        <f>""&amp;Table12[[#This Row],[TTM Stage]]&amp;Table12[[#This Row],[Task No.]]&amp;"-"&amp;Table12[[#This Row],[Type of activity]]&amp;"-"&amp;Table12[[#This Row],[TargetGroup]]</f>
        <v>P2-PA2 - A-Young</v>
      </c>
      <c r="G22" s="178" t="s">
        <v>804</v>
      </c>
      <c r="H22" s="179"/>
      <c r="I22" s="179"/>
      <c r="J22" s="179"/>
      <c r="K22" s="276" t="s">
        <v>807</v>
      </c>
      <c r="L22" s="276"/>
      <c r="M22" s="174" t="s">
        <v>65</v>
      </c>
      <c r="N22" s="180" t="s">
        <v>808</v>
      </c>
      <c r="O22" s="180"/>
      <c r="P22" s="180"/>
      <c r="Q22" s="180"/>
      <c r="R22" s="180"/>
      <c r="S22" s="180"/>
      <c r="T22" s="174"/>
      <c r="U22" s="174"/>
      <c r="V22" s="174"/>
      <c r="W22" s="174"/>
      <c r="X22" s="174"/>
      <c r="Y22" s="174"/>
      <c r="Z22" s="174"/>
      <c r="AA22" s="180"/>
      <c r="AB22" s="174"/>
      <c r="AC22" s="174"/>
      <c r="AD22" s="174"/>
      <c r="AE22" s="181"/>
      <c r="AF22" s="57"/>
      <c r="AG22" s="44"/>
      <c r="AH22" s="44"/>
      <c r="AI22" s="44"/>
      <c r="AJ22" s="44"/>
      <c r="AK22" s="44"/>
      <c r="AL22" s="44"/>
      <c r="AM22" s="44"/>
      <c r="AN22" s="44"/>
      <c r="AO22" s="44"/>
      <c r="AP22" s="44"/>
      <c r="AQ22" s="44"/>
      <c r="AR22" s="44"/>
      <c r="AS22" s="44"/>
    </row>
    <row r="23" spans="1:45">
      <c r="A23" s="214"/>
      <c r="B23" s="283" t="s">
        <v>791</v>
      </c>
      <c r="C23" s="200" t="s">
        <v>792</v>
      </c>
      <c r="D23" s="184" t="s">
        <v>764</v>
      </c>
      <c r="E23" s="174">
        <v>1</v>
      </c>
      <c r="F23" s="240" t="str">
        <f>""&amp;Table12[[#This Row],[TTM Stage]]&amp;Table12[[#This Row],[Task No.]]&amp;"-"&amp;Table12[[#This Row],[Type of activity]]&amp;"-"&amp;Table12[[#This Row],[TargetGroup]]</f>
        <v>A1-PA2 - A-Young</v>
      </c>
      <c r="G23" s="178" t="s">
        <v>809</v>
      </c>
      <c r="H23" s="179"/>
      <c r="I23" s="179"/>
      <c r="J23" s="179"/>
      <c r="K23" s="276" t="s">
        <v>810</v>
      </c>
      <c r="L23" s="276"/>
      <c r="M23" s="174" t="s">
        <v>65</v>
      </c>
      <c r="N23" s="180" t="s">
        <v>811</v>
      </c>
      <c r="O23" s="180"/>
      <c r="P23" s="180"/>
      <c r="Q23" s="180"/>
      <c r="R23" s="174"/>
      <c r="S23" s="174"/>
      <c r="T23" s="174"/>
      <c r="U23" s="174"/>
      <c r="V23" s="174"/>
      <c r="W23" s="174"/>
      <c r="X23" s="174"/>
      <c r="Y23" s="174"/>
      <c r="Z23" s="174"/>
      <c r="AA23" s="180"/>
      <c r="AB23" s="174"/>
      <c r="AC23" s="174"/>
      <c r="AD23" s="174"/>
      <c r="AE23" s="181"/>
      <c r="AF23" s="57"/>
      <c r="AG23" s="44"/>
      <c r="AH23" s="44"/>
      <c r="AI23" s="44"/>
      <c r="AJ23" s="44"/>
      <c r="AK23" s="44"/>
      <c r="AL23" s="44"/>
      <c r="AM23" s="44"/>
      <c r="AN23" s="44"/>
      <c r="AO23" s="44"/>
      <c r="AP23" s="44"/>
      <c r="AQ23" s="44"/>
      <c r="AR23" s="44"/>
      <c r="AS23" s="44"/>
    </row>
    <row r="24" spans="1:45">
      <c r="A24" s="214"/>
      <c r="B24" s="283" t="s">
        <v>791</v>
      </c>
      <c r="C24" s="293" t="s">
        <v>792</v>
      </c>
      <c r="D24" s="294" t="s">
        <v>764</v>
      </c>
      <c r="E24" s="188">
        <v>2</v>
      </c>
      <c r="F24" s="241" t="str">
        <f>""&amp;Table12[[#This Row],[TTM Stage]]&amp;Table12[[#This Row],[Task No.]]&amp;"-"&amp;Table12[[#This Row],[Type of activity]]&amp;"-"&amp;Table12[[#This Row],[TargetGroup]]</f>
        <v>A2-PA2 - A-Young</v>
      </c>
      <c r="G24" s="189" t="s">
        <v>809</v>
      </c>
      <c r="H24" s="190"/>
      <c r="I24" s="190"/>
      <c r="J24" s="190"/>
      <c r="K24" s="291" t="s">
        <v>812</v>
      </c>
      <c r="L24" s="291"/>
      <c r="M24" s="188" t="s">
        <v>65</v>
      </c>
      <c r="N24" s="191" t="s">
        <v>813</v>
      </c>
      <c r="O24" s="191"/>
      <c r="P24" s="191"/>
      <c r="Q24" s="191"/>
      <c r="R24" s="191"/>
      <c r="S24" s="191"/>
      <c r="T24" s="188"/>
      <c r="U24" s="188"/>
      <c r="V24" s="188"/>
      <c r="W24" s="188"/>
      <c r="X24" s="188"/>
      <c r="Y24" s="188"/>
      <c r="Z24" s="188"/>
      <c r="AA24" s="191"/>
      <c r="AB24" s="188"/>
      <c r="AC24" s="188"/>
      <c r="AD24" s="188"/>
      <c r="AE24" s="192"/>
      <c r="AF24" s="126"/>
      <c r="AG24" s="78"/>
      <c r="AH24" s="78"/>
      <c r="AI24" s="78"/>
      <c r="AJ24" s="78"/>
      <c r="AK24" s="78"/>
      <c r="AL24" s="78"/>
      <c r="AM24" s="78"/>
      <c r="AN24" s="78"/>
      <c r="AO24" s="78"/>
      <c r="AP24" s="78"/>
      <c r="AQ24" s="78"/>
      <c r="AR24" s="78"/>
      <c r="AS24" s="78"/>
    </row>
    <row r="25" spans="1:45" s="44" customFormat="1">
      <c r="A25" s="174"/>
      <c r="B25" s="292" t="s">
        <v>791</v>
      </c>
      <c r="C25" s="200" t="s">
        <v>792</v>
      </c>
      <c r="D25" s="184" t="s">
        <v>764</v>
      </c>
      <c r="E25" s="174">
        <v>3</v>
      </c>
      <c r="F25" s="240" t="str">
        <f>""&amp;Table12[[#This Row],[TTM Stage]]&amp;Table12[[#This Row],[Task No.]]&amp;"-"&amp;Table12[[#This Row],[Type of activity]]&amp;"-"&amp;Table12[[#This Row],[TargetGroup]]</f>
        <v>A3-PA2 - A-Young</v>
      </c>
      <c r="G25" s="178" t="s">
        <v>809</v>
      </c>
      <c r="H25" s="287"/>
      <c r="I25" s="179"/>
      <c r="J25" s="296"/>
      <c r="K25" s="297" t="s">
        <v>814</v>
      </c>
      <c r="L25" s="297"/>
      <c r="M25" s="213" t="s">
        <v>65</v>
      </c>
      <c r="N25" s="180" t="s">
        <v>815</v>
      </c>
      <c r="O25" s="180"/>
      <c r="P25" s="180"/>
      <c r="Q25" s="180"/>
      <c r="R25" s="180"/>
      <c r="S25" s="180"/>
      <c r="T25" s="174"/>
      <c r="U25" s="174"/>
      <c r="V25" s="174"/>
      <c r="W25" s="174"/>
      <c r="X25" s="174"/>
      <c r="Y25" s="174"/>
      <c r="Z25" s="174"/>
      <c r="AA25" s="180"/>
      <c r="AB25" s="174"/>
      <c r="AC25" s="174"/>
      <c r="AD25" s="174"/>
      <c r="AE25" s="174"/>
    </row>
    <row r="26" spans="1:45">
      <c r="A26" s="214"/>
      <c r="B26" s="282" t="s">
        <v>791</v>
      </c>
      <c r="C26" s="193" t="s">
        <v>792</v>
      </c>
      <c r="D26" s="295" t="s">
        <v>764</v>
      </c>
      <c r="E26" s="195">
        <v>4</v>
      </c>
      <c r="F26" s="242" t="str">
        <f>""&amp;Table12[[#This Row],[TTM Stage]]&amp;Table12[[#This Row],[Task No.]]&amp;"-"&amp;Table12[[#This Row],[Type of activity]]&amp;"-"&amp;Table12[[#This Row],[TargetGroup]]</f>
        <v>A4-PA2 - A-Young</v>
      </c>
      <c r="G26" s="196" t="s">
        <v>809</v>
      </c>
      <c r="H26" s="197"/>
      <c r="I26" s="197"/>
      <c r="J26" s="197"/>
      <c r="K26" s="275" t="s">
        <v>816</v>
      </c>
      <c r="L26" s="275"/>
      <c r="M26" s="195" t="s">
        <v>65</v>
      </c>
      <c r="N26" s="198" t="s">
        <v>817</v>
      </c>
      <c r="O26" s="198"/>
      <c r="P26" s="198"/>
      <c r="Q26" s="198"/>
      <c r="R26" s="198"/>
      <c r="S26" s="198"/>
      <c r="T26" s="195"/>
      <c r="U26" s="195"/>
      <c r="V26" s="195"/>
      <c r="W26" s="195"/>
      <c r="X26" s="195"/>
      <c r="Y26" s="195"/>
      <c r="Z26" s="195"/>
      <c r="AA26" s="198"/>
      <c r="AB26" s="195"/>
      <c r="AC26" s="195"/>
      <c r="AD26" s="195"/>
      <c r="AE26" s="199"/>
      <c r="AF26" s="9"/>
      <c r="AG26" s="42"/>
      <c r="AH26" s="42"/>
      <c r="AI26" s="42"/>
      <c r="AJ26" s="42"/>
      <c r="AK26" s="42"/>
      <c r="AL26" s="42"/>
      <c r="AM26" s="42"/>
      <c r="AN26" s="42"/>
      <c r="AO26" s="42"/>
      <c r="AP26" s="42"/>
      <c r="AQ26" s="42"/>
      <c r="AR26" s="42"/>
      <c r="AS26" s="42"/>
    </row>
    <row r="27" spans="1:45" ht="87">
      <c r="A27" s="214"/>
      <c r="B27" s="283" t="s">
        <v>791</v>
      </c>
      <c r="C27" s="200" t="s">
        <v>792</v>
      </c>
      <c r="D27" s="185" t="s">
        <v>778</v>
      </c>
      <c r="E27" s="174">
        <v>1</v>
      </c>
      <c r="F27" s="240" t="str">
        <f>""&amp;Table12[[#This Row],[TTM Stage]]&amp;Table12[[#This Row],[Task No.]]&amp;"-"&amp;Table12[[#This Row],[Type of activity]]&amp;"-"&amp;Table12[[#This Row],[TargetGroup]]</f>
        <v>M1-PA2 - A-Young</v>
      </c>
      <c r="G27" s="178" t="s">
        <v>809</v>
      </c>
      <c r="H27" s="179"/>
      <c r="I27" s="179"/>
      <c r="J27" s="179"/>
      <c r="K27" s="276" t="s">
        <v>818</v>
      </c>
      <c r="L27" s="276"/>
      <c r="M27" s="174" t="s">
        <v>65</v>
      </c>
      <c r="N27" s="180" t="s">
        <v>819</v>
      </c>
      <c r="O27" s="180"/>
      <c r="P27" s="180"/>
      <c r="Q27" s="180"/>
      <c r="R27" s="180" t="s">
        <v>820</v>
      </c>
      <c r="S27" s="180"/>
      <c r="T27" s="174"/>
      <c r="U27" s="174"/>
      <c r="V27" s="174"/>
      <c r="W27" s="174"/>
      <c r="X27" s="174"/>
      <c r="Y27" s="174"/>
      <c r="Z27" s="174"/>
      <c r="AA27" s="180"/>
      <c r="AB27" s="174"/>
      <c r="AC27" s="174"/>
      <c r="AD27" s="174"/>
      <c r="AE27" s="181"/>
      <c r="AF27" s="57"/>
      <c r="AG27" s="44"/>
      <c r="AH27" s="44"/>
      <c r="AI27" s="44"/>
      <c r="AJ27" s="44"/>
      <c r="AK27" s="44"/>
      <c r="AL27" s="44"/>
      <c r="AM27" s="44"/>
      <c r="AN27" s="44"/>
      <c r="AO27" s="44"/>
      <c r="AP27" s="44"/>
      <c r="AQ27" s="44"/>
      <c r="AR27" s="44"/>
      <c r="AS27" s="44"/>
    </row>
    <row r="28" spans="1:45" ht="73.5" customHeight="1">
      <c r="A28" s="214"/>
      <c r="B28" s="283" t="s">
        <v>791</v>
      </c>
      <c r="C28" s="200" t="s">
        <v>792</v>
      </c>
      <c r="D28" s="185" t="s">
        <v>778</v>
      </c>
      <c r="E28" s="174">
        <v>2</v>
      </c>
      <c r="F28" s="240" t="str">
        <f>""&amp;Table12[[#This Row],[TTM Stage]]&amp;Table12[[#This Row],[Task No.]]&amp;"-"&amp;Table12[[#This Row],[Type of activity]]&amp;"-"&amp;Table12[[#This Row],[TargetGroup]]</f>
        <v>M2-PA2 - A-Young</v>
      </c>
      <c r="G28" s="178" t="s">
        <v>809</v>
      </c>
      <c r="H28" s="179"/>
      <c r="I28" s="179"/>
      <c r="J28" s="179"/>
      <c r="K28" s="276" t="s">
        <v>821</v>
      </c>
      <c r="L28" s="276"/>
      <c r="M28" s="174" t="s">
        <v>65</v>
      </c>
      <c r="N28" s="180" t="s">
        <v>822</v>
      </c>
      <c r="O28" s="180"/>
      <c r="P28" s="180"/>
      <c r="Q28" s="180"/>
      <c r="R28" s="180"/>
      <c r="S28" s="180"/>
      <c r="T28" s="174"/>
      <c r="U28" s="174"/>
      <c r="V28" s="174"/>
      <c r="W28" s="174"/>
      <c r="X28" s="174"/>
      <c r="Y28" s="174"/>
      <c r="Z28" s="174"/>
      <c r="AA28" s="180"/>
      <c r="AB28" s="174"/>
      <c r="AC28" s="174"/>
      <c r="AD28" s="174"/>
      <c r="AE28" s="181"/>
      <c r="AF28" s="57"/>
      <c r="AG28" s="44"/>
      <c r="AH28" s="44"/>
      <c r="AI28" s="44"/>
      <c r="AJ28" s="44"/>
      <c r="AK28" s="44"/>
      <c r="AL28" s="44"/>
      <c r="AM28" s="44"/>
      <c r="AN28" s="44"/>
      <c r="AO28" s="44"/>
      <c r="AP28" s="44"/>
      <c r="AQ28" s="44"/>
      <c r="AR28" s="44"/>
      <c r="AS28" s="44"/>
    </row>
    <row r="29" spans="1:45" ht="72.75">
      <c r="A29" s="214"/>
      <c r="B29" s="283" t="s">
        <v>791</v>
      </c>
      <c r="C29" s="200" t="s">
        <v>792</v>
      </c>
      <c r="D29" s="185" t="s">
        <v>778</v>
      </c>
      <c r="E29" s="174">
        <v>3</v>
      </c>
      <c r="F29" s="240" t="str">
        <f>""&amp;Table12[[#This Row],[TTM Stage]]&amp;Table12[[#This Row],[Task No.]]&amp;"-"&amp;Table12[[#This Row],[Type of activity]]&amp;"-"&amp;Table12[[#This Row],[TargetGroup]]</f>
        <v>M3-PA2 - A-Young</v>
      </c>
      <c r="G29" s="178" t="s">
        <v>809</v>
      </c>
      <c r="H29" s="179"/>
      <c r="I29" s="179"/>
      <c r="J29" s="179"/>
      <c r="K29" s="272" t="s">
        <v>823</v>
      </c>
      <c r="L29" s="272"/>
      <c r="M29" s="174" t="s">
        <v>65</v>
      </c>
      <c r="N29" s="180" t="s">
        <v>824</v>
      </c>
      <c r="O29" s="180"/>
      <c r="P29" s="180"/>
      <c r="Q29" s="180"/>
      <c r="R29" s="180" t="s">
        <v>825</v>
      </c>
      <c r="S29" s="180"/>
      <c r="T29" s="174">
        <v>1</v>
      </c>
      <c r="U29" s="174">
        <v>7</v>
      </c>
      <c r="V29" s="174"/>
      <c r="W29" s="174"/>
      <c r="X29" s="174"/>
      <c r="Y29" s="174"/>
      <c r="Z29" s="174"/>
      <c r="AA29" s="180"/>
      <c r="AB29" s="174"/>
      <c r="AC29" s="174"/>
      <c r="AD29" s="174"/>
      <c r="AE29" s="181"/>
      <c r="AF29" s="57"/>
      <c r="AG29" s="44"/>
      <c r="AH29" s="44"/>
      <c r="AI29" s="44"/>
      <c r="AJ29" s="44"/>
      <c r="AK29" s="44"/>
      <c r="AL29" s="44"/>
      <c r="AM29" s="44"/>
      <c r="AN29" s="44"/>
      <c r="AO29" s="44"/>
      <c r="AP29" s="44"/>
      <c r="AQ29" s="44"/>
      <c r="AR29" s="44"/>
      <c r="AS29" s="44"/>
    </row>
    <row r="30" spans="1:45">
      <c r="A30" s="214"/>
      <c r="B30" s="283" t="s">
        <v>791</v>
      </c>
      <c r="C30" s="200" t="s">
        <v>792</v>
      </c>
      <c r="D30" s="185" t="s">
        <v>778</v>
      </c>
      <c r="E30" s="174">
        <v>4</v>
      </c>
      <c r="F30" s="240" t="str">
        <f>""&amp;Table12[[#This Row],[TTM Stage]]&amp;Table12[[#This Row],[Task No.]]&amp;"-"&amp;Table12[[#This Row],[Type of activity]]&amp;"-"&amp;Table12[[#This Row],[TargetGroup]]</f>
        <v>M4-PA2 - A-Young</v>
      </c>
      <c r="G30" s="178" t="s">
        <v>809</v>
      </c>
      <c r="H30" s="179"/>
      <c r="I30" s="179"/>
      <c r="J30" s="179"/>
      <c r="K30" s="276"/>
      <c r="L30" s="276"/>
      <c r="M30" s="174" t="s">
        <v>65</v>
      </c>
      <c r="N30" s="180" t="s">
        <v>826</v>
      </c>
      <c r="O30" s="180"/>
      <c r="P30" s="180"/>
      <c r="Q30" s="180"/>
      <c r="R30" s="180"/>
      <c r="S30" s="180"/>
      <c r="T30" s="174"/>
      <c r="U30" s="174"/>
      <c r="V30" s="174"/>
      <c r="W30" s="174"/>
      <c r="X30" s="174"/>
      <c r="Y30" s="174"/>
      <c r="Z30" s="174"/>
      <c r="AA30" s="180"/>
      <c r="AB30" s="174"/>
      <c r="AC30" s="174"/>
      <c r="AD30" s="174"/>
      <c r="AE30" s="181"/>
      <c r="AF30" s="57"/>
      <c r="AG30" s="44"/>
      <c r="AH30" s="44"/>
      <c r="AI30" s="44"/>
      <c r="AJ30" s="44"/>
      <c r="AK30" s="44"/>
      <c r="AL30" s="44"/>
      <c r="AM30" s="44"/>
      <c r="AN30" s="44"/>
      <c r="AO30" s="44"/>
      <c r="AP30" s="44"/>
      <c r="AQ30" s="44"/>
      <c r="AR30" s="44"/>
      <c r="AS30" s="44"/>
    </row>
    <row r="31" spans="1:45" ht="29.25">
      <c r="A31" s="214"/>
      <c r="B31" s="284" t="s">
        <v>195</v>
      </c>
      <c r="C31" s="201" t="s">
        <v>827</v>
      </c>
      <c r="D31" s="177" t="s">
        <v>735</v>
      </c>
      <c r="E31" s="174">
        <v>1</v>
      </c>
      <c r="F31" s="240" t="str">
        <f>""&amp;Table12[[#This Row],[TTM Stage]]&amp;Table12[[#This Row],[Task No.]]&amp;"-"&amp;Table12[[#This Row],[Type of activity]]&amp;"-"&amp;Table12[[#This Row],[TargetGroup]]</f>
        <v>PC1-PA3 -Young</v>
      </c>
      <c r="G31" s="178" t="s">
        <v>828</v>
      </c>
      <c r="H31" s="179"/>
      <c r="I31" s="179"/>
      <c r="J31" s="179"/>
      <c r="K31" s="272" t="s">
        <v>829</v>
      </c>
      <c r="L31" s="272"/>
      <c r="M31" s="174" t="s">
        <v>65</v>
      </c>
      <c r="N31" s="180" t="s">
        <v>830</v>
      </c>
      <c r="O31" s="180"/>
      <c r="P31" s="180"/>
      <c r="Q31" s="180"/>
      <c r="R31" s="180" t="s">
        <v>831</v>
      </c>
      <c r="S31" s="180"/>
      <c r="T31" s="174"/>
      <c r="U31" s="174"/>
      <c r="V31" s="174"/>
      <c r="W31" s="174"/>
      <c r="X31" s="174"/>
      <c r="Y31" s="174" t="s">
        <v>832</v>
      </c>
      <c r="Z31" s="174"/>
      <c r="AA31" s="180"/>
      <c r="AB31" s="174"/>
      <c r="AC31" s="174"/>
      <c r="AD31" s="174"/>
      <c r="AE31" s="181"/>
      <c r="AF31" s="57"/>
      <c r="AG31" s="44"/>
      <c r="AH31" s="44"/>
      <c r="AI31" s="44"/>
      <c r="AJ31" s="44"/>
      <c r="AK31" s="44"/>
      <c r="AL31" s="44"/>
      <c r="AM31" s="44"/>
      <c r="AN31" s="44"/>
      <c r="AO31" s="44"/>
      <c r="AP31" s="44"/>
      <c r="AQ31" s="44"/>
      <c r="AR31" s="44"/>
      <c r="AS31" s="44"/>
    </row>
    <row r="32" spans="1:45" ht="57.75">
      <c r="A32" s="214"/>
      <c r="B32" s="284" t="s">
        <v>195</v>
      </c>
      <c r="C32" s="201" t="s">
        <v>827</v>
      </c>
      <c r="D32" s="177" t="s">
        <v>735</v>
      </c>
      <c r="E32" s="174">
        <v>2</v>
      </c>
      <c r="F32" s="240" t="str">
        <f>""&amp;Table12[[#This Row],[TTM Stage]]&amp;Table12[[#This Row],[Task No.]]&amp;"-"&amp;Table12[[#This Row],[Type of activity]]&amp;"-"&amp;Table12[[#This Row],[TargetGroup]]</f>
        <v>PC2-PA3 -Young</v>
      </c>
      <c r="G32" s="178" t="s">
        <v>833</v>
      </c>
      <c r="H32" s="178"/>
      <c r="I32" s="178"/>
      <c r="J32" s="178"/>
      <c r="K32" s="276" t="s">
        <v>834</v>
      </c>
      <c r="L32" s="276"/>
      <c r="M32" s="174" t="s">
        <v>65</v>
      </c>
      <c r="N32" s="180" t="s">
        <v>835</v>
      </c>
      <c r="O32" s="180"/>
      <c r="P32" s="180"/>
      <c r="Q32" s="180"/>
      <c r="R32" s="180" t="s">
        <v>836</v>
      </c>
      <c r="S32" s="180"/>
      <c r="T32" s="174"/>
      <c r="U32" s="174"/>
      <c r="V32" s="174"/>
      <c r="W32" s="174"/>
      <c r="X32" s="174"/>
      <c r="Y32" s="174" t="s">
        <v>832</v>
      </c>
      <c r="Z32" s="174"/>
      <c r="AA32" s="180"/>
      <c r="AB32" s="174"/>
      <c r="AC32" s="174"/>
      <c r="AD32" s="174"/>
      <c r="AE32" s="181"/>
      <c r="AF32" s="57"/>
      <c r="AG32" s="44"/>
      <c r="AH32" s="44"/>
      <c r="AI32" s="44"/>
      <c r="AJ32" s="44"/>
      <c r="AK32" s="44"/>
      <c r="AL32" s="44"/>
      <c r="AM32" s="44"/>
      <c r="AN32" s="44"/>
      <c r="AO32" s="44"/>
      <c r="AP32" s="44"/>
      <c r="AQ32" s="44"/>
      <c r="AR32" s="44"/>
      <c r="AS32" s="44"/>
    </row>
    <row r="33" spans="1:45" ht="177.75" customHeight="1">
      <c r="A33" s="214"/>
      <c r="B33" s="284" t="s">
        <v>195</v>
      </c>
      <c r="C33" s="201" t="s">
        <v>827</v>
      </c>
      <c r="D33" s="182" t="s">
        <v>743</v>
      </c>
      <c r="E33" s="174">
        <v>1</v>
      </c>
      <c r="F33" s="240" t="str">
        <f>""&amp;Table12[[#This Row],[TTM Stage]]&amp;Table12[[#This Row],[Task No.]]&amp;"-"&amp;Table12[[#This Row],[Type of activity]]&amp;"-"&amp;Table12[[#This Row],[TargetGroup]]</f>
        <v>C1-PA3 -Young</v>
      </c>
      <c r="G33" s="178" t="s">
        <v>837</v>
      </c>
      <c r="H33" s="179"/>
      <c r="I33" s="179"/>
      <c r="J33" s="179"/>
      <c r="K33" s="272" t="s">
        <v>838</v>
      </c>
      <c r="L33" s="272"/>
      <c r="M33" s="174" t="s">
        <v>65</v>
      </c>
      <c r="N33" s="180" t="s">
        <v>839</v>
      </c>
      <c r="O33" s="180"/>
      <c r="P33" s="180"/>
      <c r="Q33" s="180"/>
      <c r="R33" s="180"/>
      <c r="S33" s="180"/>
      <c r="T33" s="174"/>
      <c r="U33" s="174"/>
      <c r="V33" s="174"/>
      <c r="W33" s="174"/>
      <c r="X33" s="174"/>
      <c r="Y33" s="174"/>
      <c r="Z33" s="174"/>
      <c r="AA33" s="180"/>
      <c r="AB33" s="174"/>
      <c r="AC33" s="174"/>
      <c r="AD33" s="174"/>
      <c r="AE33" s="181"/>
      <c r="AF33" s="57"/>
      <c r="AG33" s="44"/>
      <c r="AH33" s="44"/>
      <c r="AI33" s="44"/>
      <c r="AJ33" s="44"/>
      <c r="AK33" s="44"/>
      <c r="AL33" s="44"/>
      <c r="AM33" s="44"/>
      <c r="AN33" s="44"/>
      <c r="AO33" s="44"/>
      <c r="AP33" s="44"/>
      <c r="AQ33" s="44"/>
      <c r="AR33" s="44"/>
      <c r="AS33" s="44"/>
    </row>
    <row r="34" spans="1:45" ht="105" customHeight="1">
      <c r="A34" s="214"/>
      <c r="B34" s="284" t="s">
        <v>195</v>
      </c>
      <c r="C34" s="201" t="s">
        <v>197</v>
      </c>
      <c r="D34" s="182" t="s">
        <v>743</v>
      </c>
      <c r="E34" s="174">
        <v>2</v>
      </c>
      <c r="F34" s="240" t="str">
        <f>""&amp;Table12[[#This Row],[TTM Stage]]&amp;Table12[[#This Row],[Task No.]]&amp;"-"&amp;Table12[[#This Row],[Type of activity]]&amp;"-"&amp;Table12[[#This Row],[TargetGroup]]</f>
        <v>C2-PA3 - A-Young</v>
      </c>
      <c r="G34" s="178" t="s">
        <v>840</v>
      </c>
      <c r="H34" s="179"/>
      <c r="I34" s="179"/>
      <c r="J34" s="179"/>
      <c r="K34" s="276" t="s">
        <v>841</v>
      </c>
      <c r="L34" s="276"/>
      <c r="M34" s="174" t="s">
        <v>65</v>
      </c>
      <c r="N34" s="180" t="s">
        <v>842</v>
      </c>
      <c r="O34" s="180"/>
      <c r="P34" s="180"/>
      <c r="Q34" s="180"/>
      <c r="R34" s="180"/>
      <c r="S34" s="180"/>
      <c r="T34" s="174"/>
      <c r="U34" s="174"/>
      <c r="V34" s="174" t="s">
        <v>587</v>
      </c>
      <c r="W34" s="174"/>
      <c r="X34" s="174"/>
      <c r="Y34" s="174"/>
      <c r="Z34" s="174"/>
      <c r="AA34" s="180"/>
      <c r="AB34" s="174"/>
      <c r="AC34" s="174"/>
      <c r="AD34" s="174"/>
      <c r="AE34" s="181"/>
      <c r="AF34" s="57"/>
      <c r="AG34" s="44"/>
      <c r="AH34" s="44"/>
      <c r="AI34" s="44"/>
      <c r="AJ34" s="44"/>
      <c r="AK34" s="44"/>
      <c r="AL34" s="44"/>
      <c r="AM34" s="44"/>
      <c r="AN34" s="44"/>
      <c r="AO34" s="44"/>
      <c r="AP34" s="44"/>
      <c r="AQ34" s="44"/>
      <c r="AR34" s="44"/>
      <c r="AS34" s="44"/>
    </row>
    <row r="35" spans="1:45" ht="48.75" customHeight="1">
      <c r="A35" s="214"/>
      <c r="B35" s="284" t="s">
        <v>195</v>
      </c>
      <c r="C35" s="201" t="s">
        <v>197</v>
      </c>
      <c r="D35" s="202" t="s">
        <v>750</v>
      </c>
      <c r="E35" s="174">
        <v>1</v>
      </c>
      <c r="F35" s="240" t="str">
        <f>""&amp;Table12[[#This Row],[TTM Stage]]&amp;Table12[[#This Row],[Task No.]]&amp;"-"&amp;Table12[[#This Row],[Type of activity]]&amp;"-"&amp;Table12[[#This Row],[TargetGroup]]</f>
        <v>P1-PA3 - A-Young</v>
      </c>
      <c r="G35" s="178" t="s">
        <v>751</v>
      </c>
      <c r="H35" s="178"/>
      <c r="I35" s="178"/>
      <c r="J35" s="178"/>
      <c r="K35" s="272" t="s">
        <v>843</v>
      </c>
      <c r="L35" s="272"/>
      <c r="M35" s="174" t="s">
        <v>65</v>
      </c>
      <c r="N35" s="180" t="s">
        <v>844</v>
      </c>
      <c r="O35" s="180"/>
      <c r="P35" s="180"/>
      <c r="Q35" s="180"/>
      <c r="R35" s="180" t="s">
        <v>845</v>
      </c>
      <c r="S35" s="180"/>
      <c r="T35" s="174"/>
      <c r="U35" s="174"/>
      <c r="V35" s="174"/>
      <c r="W35" s="174"/>
      <c r="X35" s="174"/>
      <c r="Y35" s="174"/>
      <c r="Z35" s="174"/>
      <c r="AA35" s="180"/>
      <c r="AB35" s="174"/>
      <c r="AC35" s="174"/>
      <c r="AD35" s="174"/>
      <c r="AE35" s="181"/>
      <c r="AF35" s="57"/>
      <c r="AG35" s="44"/>
      <c r="AH35" s="44"/>
      <c r="AI35" s="44"/>
      <c r="AJ35" s="44"/>
      <c r="AK35" s="44"/>
      <c r="AL35" s="44"/>
      <c r="AM35" s="44"/>
      <c r="AN35" s="44"/>
      <c r="AO35" s="44"/>
      <c r="AP35" s="44"/>
      <c r="AQ35" s="44"/>
      <c r="AR35" s="44"/>
      <c r="AS35" s="44"/>
    </row>
    <row r="36" spans="1:45" ht="43.5">
      <c r="A36" s="214"/>
      <c r="B36" s="284" t="s">
        <v>195</v>
      </c>
      <c r="C36" s="201" t="s">
        <v>197</v>
      </c>
      <c r="D36" s="202" t="s">
        <v>750</v>
      </c>
      <c r="E36" s="174">
        <v>2</v>
      </c>
      <c r="F36" s="240" t="str">
        <f>""&amp;Table12[[#This Row],[TTM Stage]]&amp;Table12[[#This Row],[Task No.]]&amp;"-"&amp;Table12[[#This Row],[Type of activity]]&amp;"-"&amp;Table12[[#This Row],[TargetGroup]]</f>
        <v>P2-PA3 - A-Young</v>
      </c>
      <c r="G36" s="178"/>
      <c r="H36" s="179"/>
      <c r="I36" s="179"/>
      <c r="J36" s="179"/>
      <c r="K36" s="272" t="s">
        <v>846</v>
      </c>
      <c r="L36" s="276"/>
      <c r="M36" s="174" t="s">
        <v>65</v>
      </c>
      <c r="N36" s="215" t="s">
        <v>847</v>
      </c>
      <c r="O36" s="180"/>
      <c r="P36" s="180"/>
      <c r="Q36" s="180"/>
      <c r="R36" s="180" t="s">
        <v>848</v>
      </c>
      <c r="S36" s="180"/>
      <c r="T36" s="174"/>
      <c r="U36" s="174"/>
      <c r="V36" s="174"/>
      <c r="W36" s="174"/>
      <c r="X36" s="174"/>
      <c r="Y36" s="174"/>
      <c r="Z36" s="174"/>
      <c r="AA36" s="180"/>
      <c r="AB36" s="174"/>
      <c r="AC36" s="174"/>
      <c r="AD36" s="174"/>
      <c r="AE36" s="181"/>
      <c r="AF36" s="57"/>
      <c r="AG36" s="44"/>
      <c r="AH36" s="44"/>
      <c r="AI36" s="44"/>
      <c r="AJ36" s="44"/>
      <c r="AK36" s="44"/>
      <c r="AL36" s="44"/>
      <c r="AM36" s="44"/>
      <c r="AN36" s="44"/>
      <c r="AO36" s="44"/>
      <c r="AP36" s="44"/>
      <c r="AQ36" s="44"/>
      <c r="AR36" s="44"/>
      <c r="AS36" s="44"/>
    </row>
    <row r="37" spans="1:45">
      <c r="A37" s="214"/>
      <c r="B37" s="284" t="s">
        <v>195</v>
      </c>
      <c r="C37" s="201" t="s">
        <v>197</v>
      </c>
      <c r="D37" s="184" t="s">
        <v>764</v>
      </c>
      <c r="E37" s="174">
        <v>1</v>
      </c>
      <c r="F37" s="240" t="str">
        <f>""&amp;Table12[[#This Row],[TTM Stage]]&amp;Table12[[#This Row],[Task No.]]&amp;"-"&amp;Table12[[#This Row],[Type of activity]]&amp;"-"&amp;Table12[[#This Row],[TargetGroup]]</f>
        <v>A1-PA3 - A-Young</v>
      </c>
      <c r="G37" s="178" t="s">
        <v>809</v>
      </c>
      <c r="H37" s="179"/>
      <c r="I37" s="179"/>
      <c r="J37" s="179"/>
      <c r="K37" s="276" t="s">
        <v>849</v>
      </c>
      <c r="L37" s="276"/>
      <c r="M37" s="174" t="s">
        <v>65</v>
      </c>
      <c r="N37" s="180" t="s">
        <v>850</v>
      </c>
      <c r="O37" s="180"/>
      <c r="P37" s="180"/>
      <c r="Q37" s="180"/>
      <c r="R37" s="180" t="s">
        <v>851</v>
      </c>
      <c r="S37" s="180"/>
      <c r="T37" s="174"/>
      <c r="U37" s="174"/>
      <c r="V37" s="174"/>
      <c r="W37" s="174"/>
      <c r="X37" s="174"/>
      <c r="Y37" s="174"/>
      <c r="Z37" s="174"/>
      <c r="AA37" s="180"/>
      <c r="AB37" s="174"/>
      <c r="AC37" s="174"/>
      <c r="AD37" s="174"/>
      <c r="AE37" s="181"/>
      <c r="AF37" s="57"/>
      <c r="AG37" s="44"/>
      <c r="AH37" s="44"/>
      <c r="AI37" s="44"/>
      <c r="AJ37" s="44"/>
      <c r="AK37" s="44"/>
      <c r="AL37" s="44"/>
      <c r="AM37" s="44"/>
      <c r="AN37" s="44"/>
      <c r="AO37" s="44"/>
      <c r="AP37" s="44"/>
      <c r="AQ37" s="44"/>
      <c r="AR37" s="44"/>
      <c r="AS37" s="44"/>
    </row>
    <row r="38" spans="1:45">
      <c r="A38" s="214"/>
      <c r="B38" s="284" t="s">
        <v>195</v>
      </c>
      <c r="C38" s="201" t="s">
        <v>197</v>
      </c>
      <c r="D38" s="184" t="s">
        <v>764</v>
      </c>
      <c r="E38" s="174">
        <v>2</v>
      </c>
      <c r="F38" s="240" t="str">
        <f>""&amp;Table12[[#This Row],[TTM Stage]]&amp;Table12[[#This Row],[Task No.]]&amp;"-"&amp;Table12[[#This Row],[Type of activity]]&amp;"-"&amp;Table12[[#This Row],[TargetGroup]]</f>
        <v>A2-PA3 - A-Young</v>
      </c>
      <c r="G38" s="178" t="s">
        <v>809</v>
      </c>
      <c r="H38" s="179"/>
      <c r="I38" s="179"/>
      <c r="J38" s="179"/>
      <c r="K38" s="276" t="s">
        <v>852</v>
      </c>
      <c r="L38" s="276"/>
      <c r="M38" s="174" t="s">
        <v>65</v>
      </c>
      <c r="N38" s="180" t="s">
        <v>853</v>
      </c>
      <c r="O38" s="180"/>
      <c r="P38" s="180"/>
      <c r="Q38" s="180"/>
      <c r="R38" s="180" t="s">
        <v>851</v>
      </c>
      <c r="S38" s="180"/>
      <c r="T38" s="174"/>
      <c r="U38" s="174"/>
      <c r="V38" s="174"/>
      <c r="W38" s="174"/>
      <c r="X38" s="174"/>
      <c r="Y38" s="174"/>
      <c r="Z38" s="174"/>
      <c r="AA38" s="180"/>
      <c r="AB38" s="174"/>
      <c r="AC38" s="174"/>
      <c r="AD38" s="174"/>
      <c r="AE38" s="181"/>
      <c r="AF38" s="57"/>
      <c r="AG38" s="44"/>
      <c r="AH38" s="44"/>
      <c r="AI38" s="44"/>
      <c r="AJ38" s="44"/>
      <c r="AK38" s="44"/>
      <c r="AL38" s="44"/>
      <c r="AM38" s="44"/>
      <c r="AN38" s="44"/>
      <c r="AO38" s="44"/>
      <c r="AP38" s="44"/>
      <c r="AQ38" s="44"/>
      <c r="AR38" s="44"/>
      <c r="AS38" s="44"/>
    </row>
    <row r="39" spans="1:45" ht="72.75">
      <c r="A39" s="214"/>
      <c r="B39" s="284" t="s">
        <v>195</v>
      </c>
      <c r="C39" s="201" t="s">
        <v>197</v>
      </c>
      <c r="D39" s="184" t="s">
        <v>764</v>
      </c>
      <c r="E39" s="174">
        <v>3</v>
      </c>
      <c r="F39" s="240" t="str">
        <f>""&amp;Table12[[#This Row],[TTM Stage]]&amp;Table12[[#This Row],[Task No.]]&amp;"-"&amp;Table12[[#This Row],[Type of activity]]&amp;"-"&amp;Table12[[#This Row],[TargetGroup]]</f>
        <v>A3-PA3 - A-Young</v>
      </c>
      <c r="G39" s="178" t="s">
        <v>809</v>
      </c>
      <c r="H39" s="179"/>
      <c r="I39" s="179"/>
      <c r="J39" s="179"/>
      <c r="K39" s="276" t="s">
        <v>854</v>
      </c>
      <c r="L39" s="276"/>
      <c r="M39" s="174" t="s">
        <v>65</v>
      </c>
      <c r="N39" s="180" t="s">
        <v>855</v>
      </c>
      <c r="O39" s="180"/>
      <c r="P39" s="180"/>
      <c r="Q39" s="180"/>
      <c r="R39" s="180" t="s">
        <v>856</v>
      </c>
      <c r="S39" s="180"/>
      <c r="T39" s="174"/>
      <c r="U39" s="174"/>
      <c r="V39" s="174"/>
      <c r="W39" s="174"/>
      <c r="X39" s="174"/>
      <c r="Y39" s="174"/>
      <c r="Z39" s="174"/>
      <c r="AA39" s="180"/>
      <c r="AB39" s="174"/>
      <c r="AC39" s="174"/>
      <c r="AD39" s="174"/>
      <c r="AE39" s="181"/>
      <c r="AF39" s="57"/>
      <c r="AG39" s="44"/>
      <c r="AH39" s="44"/>
      <c r="AI39" s="44"/>
      <c r="AJ39" s="44"/>
      <c r="AK39" s="44"/>
      <c r="AL39" s="44"/>
      <c r="AM39" s="44"/>
      <c r="AN39" s="44"/>
      <c r="AO39" s="44"/>
      <c r="AP39" s="44"/>
      <c r="AQ39" s="44"/>
      <c r="AR39" s="44"/>
      <c r="AS39" s="44"/>
    </row>
    <row r="40" spans="1:45">
      <c r="A40" s="214"/>
      <c r="B40" s="284" t="s">
        <v>195</v>
      </c>
      <c r="C40" s="201" t="s">
        <v>197</v>
      </c>
      <c r="D40" s="184" t="s">
        <v>764</v>
      </c>
      <c r="E40" s="174">
        <v>4</v>
      </c>
      <c r="F40" s="240" t="str">
        <f>""&amp;Table12[[#This Row],[TTM Stage]]&amp;Table12[[#This Row],[Task No.]]&amp;"-"&amp;Table12[[#This Row],[Type of activity]]&amp;"-"&amp;Table12[[#This Row],[TargetGroup]]</f>
        <v>A4-PA3 - A-Young</v>
      </c>
      <c r="G40" s="178" t="s">
        <v>809</v>
      </c>
      <c r="H40" s="179"/>
      <c r="I40" s="179"/>
      <c r="J40" s="179"/>
      <c r="K40" s="276" t="s">
        <v>857</v>
      </c>
      <c r="L40" s="276"/>
      <c r="M40" s="174" t="s">
        <v>65</v>
      </c>
      <c r="N40" s="180" t="s">
        <v>858</v>
      </c>
      <c r="O40" s="180"/>
      <c r="P40" s="180"/>
      <c r="Q40" s="180"/>
      <c r="R40" s="180" t="s">
        <v>851</v>
      </c>
      <c r="S40" s="180"/>
      <c r="T40" s="174"/>
      <c r="U40" s="174"/>
      <c r="V40" s="174"/>
      <c r="W40" s="174"/>
      <c r="X40" s="174"/>
      <c r="Y40" s="174"/>
      <c r="Z40" s="174"/>
      <c r="AA40" s="180"/>
      <c r="AB40" s="174"/>
      <c r="AC40" s="174"/>
      <c r="AD40" s="174"/>
      <c r="AE40" s="181"/>
      <c r="AF40" s="57"/>
      <c r="AG40" s="44"/>
      <c r="AH40" s="44"/>
      <c r="AI40" s="44"/>
      <c r="AJ40" s="44"/>
      <c r="AK40" s="44"/>
      <c r="AL40" s="44"/>
      <c r="AM40" s="44"/>
      <c r="AN40" s="44"/>
      <c r="AO40" s="44"/>
      <c r="AP40" s="44"/>
      <c r="AQ40" s="44"/>
      <c r="AR40" s="44"/>
      <c r="AS40" s="44"/>
    </row>
    <row r="41" spans="1:45" ht="43.5">
      <c r="A41" s="214"/>
      <c r="B41" s="284" t="s">
        <v>195</v>
      </c>
      <c r="C41" s="201" t="s">
        <v>197</v>
      </c>
      <c r="D41" s="185" t="s">
        <v>778</v>
      </c>
      <c r="E41" s="174">
        <v>1</v>
      </c>
      <c r="F41" s="240" t="str">
        <f>""&amp;Table12[[#This Row],[TTM Stage]]&amp;Table12[[#This Row],[Task No.]]&amp;"-"&amp;Table12[[#This Row],[Type of activity]]&amp;"-"&amp;Table12[[#This Row],[TargetGroup]]</f>
        <v>M1-PA3 - A-Young</v>
      </c>
      <c r="G41" s="178" t="s">
        <v>809</v>
      </c>
      <c r="H41" s="179"/>
      <c r="I41" s="179"/>
      <c r="J41" s="179"/>
      <c r="K41" s="276" t="s">
        <v>859</v>
      </c>
      <c r="L41" s="276"/>
      <c r="M41" s="174" t="s">
        <v>65</v>
      </c>
      <c r="N41" s="180" t="s">
        <v>860</v>
      </c>
      <c r="O41" s="180"/>
      <c r="P41" s="180"/>
      <c r="Q41" s="180"/>
      <c r="R41" s="180" t="s">
        <v>861</v>
      </c>
      <c r="S41" s="180"/>
      <c r="T41" s="174"/>
      <c r="U41" s="174"/>
      <c r="V41" s="174"/>
      <c r="W41" s="174"/>
      <c r="X41" s="174"/>
      <c r="Y41" s="174"/>
      <c r="Z41" s="174"/>
      <c r="AA41" s="180"/>
      <c r="AB41" s="174"/>
      <c r="AC41" s="174"/>
      <c r="AD41" s="174"/>
      <c r="AE41" s="181"/>
      <c r="AF41" s="57"/>
      <c r="AG41" s="44"/>
      <c r="AH41" s="44"/>
      <c r="AI41" s="44"/>
      <c r="AJ41" s="44"/>
      <c r="AK41" s="44"/>
      <c r="AL41" s="44"/>
      <c r="AM41" s="44"/>
      <c r="AN41" s="44"/>
      <c r="AO41" s="44"/>
      <c r="AP41" s="44"/>
      <c r="AQ41" s="44"/>
      <c r="AR41" s="44"/>
      <c r="AS41" s="44"/>
    </row>
    <row r="42" spans="1:45">
      <c r="A42" s="214"/>
      <c r="B42" s="284" t="s">
        <v>195</v>
      </c>
      <c r="C42" s="201" t="s">
        <v>197</v>
      </c>
      <c r="D42" s="185" t="s">
        <v>778</v>
      </c>
      <c r="E42" s="174">
        <v>2</v>
      </c>
      <c r="F42" s="240" t="str">
        <f>""&amp;Table12[[#This Row],[TTM Stage]]&amp;Table12[[#This Row],[Task No.]]&amp;"-"&amp;Table12[[#This Row],[Type of activity]]&amp;"-"&amp;Table12[[#This Row],[TargetGroup]]</f>
        <v>M2-PA3 - A-Young</v>
      </c>
      <c r="G42" s="178" t="s">
        <v>809</v>
      </c>
      <c r="H42" s="179"/>
      <c r="I42" s="179"/>
      <c r="J42" s="179"/>
      <c r="K42" s="276" t="s">
        <v>862</v>
      </c>
      <c r="L42" s="276"/>
      <c r="M42" s="174" t="s">
        <v>65</v>
      </c>
      <c r="N42" s="180" t="s">
        <v>863</v>
      </c>
      <c r="O42" s="180"/>
      <c r="P42" s="180"/>
      <c r="Q42" s="180"/>
      <c r="R42" s="180"/>
      <c r="S42" s="180"/>
      <c r="T42" s="174"/>
      <c r="U42" s="174"/>
      <c r="V42" s="174"/>
      <c r="W42" s="174"/>
      <c r="X42" s="174"/>
      <c r="Y42" s="174"/>
      <c r="Z42" s="174"/>
      <c r="AA42" s="180"/>
      <c r="AB42" s="174"/>
      <c r="AC42" s="174"/>
      <c r="AD42" s="174"/>
      <c r="AE42" s="181"/>
      <c r="AF42" s="57"/>
      <c r="AG42" s="44"/>
      <c r="AH42" s="44"/>
      <c r="AI42" s="44"/>
      <c r="AJ42" s="44"/>
      <c r="AK42" s="44"/>
      <c r="AL42" s="44"/>
      <c r="AM42" s="44"/>
      <c r="AN42" s="44"/>
      <c r="AO42" s="44"/>
      <c r="AP42" s="44"/>
      <c r="AQ42" s="44"/>
      <c r="AR42" s="44"/>
      <c r="AS42" s="44"/>
    </row>
    <row r="43" spans="1:45">
      <c r="A43" s="214"/>
      <c r="B43" s="284" t="s">
        <v>195</v>
      </c>
      <c r="C43" s="201" t="s">
        <v>197</v>
      </c>
      <c r="D43" s="185" t="s">
        <v>778</v>
      </c>
      <c r="E43" s="174">
        <v>3</v>
      </c>
      <c r="F43" s="240" t="str">
        <f>""&amp;Table12[[#This Row],[TTM Stage]]&amp;Table12[[#This Row],[Task No.]]&amp;"-"&amp;Table12[[#This Row],[Type of activity]]&amp;"-"&amp;Table12[[#This Row],[TargetGroup]]</f>
        <v>M3-PA3 - A-Young</v>
      </c>
      <c r="G43" s="178" t="s">
        <v>809</v>
      </c>
      <c r="H43" s="179"/>
      <c r="I43" s="179"/>
      <c r="J43" s="179"/>
      <c r="K43" s="276" t="s">
        <v>864</v>
      </c>
      <c r="L43" s="276"/>
      <c r="M43" s="174" t="s">
        <v>65</v>
      </c>
      <c r="N43" s="180" t="s">
        <v>865</v>
      </c>
      <c r="O43" s="180"/>
      <c r="P43" s="180"/>
      <c r="Q43" s="180"/>
      <c r="R43" s="180"/>
      <c r="S43" s="180"/>
      <c r="T43" s="174"/>
      <c r="U43" s="174"/>
      <c r="V43" s="174"/>
      <c r="W43" s="174"/>
      <c r="X43" s="174"/>
      <c r="Y43" s="174"/>
      <c r="Z43" s="174"/>
      <c r="AA43" s="180"/>
      <c r="AB43" s="174"/>
      <c r="AC43" s="174"/>
      <c r="AD43" s="174"/>
      <c r="AE43" s="181"/>
      <c r="AF43" s="57"/>
      <c r="AG43" s="44"/>
      <c r="AH43" s="44"/>
      <c r="AI43" s="44"/>
      <c r="AJ43" s="44"/>
      <c r="AK43" s="44"/>
      <c r="AL43" s="44"/>
      <c r="AM43" s="44"/>
      <c r="AN43" s="44"/>
      <c r="AO43" s="44"/>
      <c r="AP43" s="44"/>
      <c r="AQ43" s="44"/>
      <c r="AR43" s="44"/>
      <c r="AS43" s="44"/>
    </row>
    <row r="44" spans="1:45" ht="43.5">
      <c r="A44" s="214"/>
      <c r="B44" s="284" t="s">
        <v>195</v>
      </c>
      <c r="C44" s="201" t="s">
        <v>197</v>
      </c>
      <c r="D44" s="185" t="s">
        <v>778</v>
      </c>
      <c r="E44" s="174">
        <v>4</v>
      </c>
      <c r="F44" s="240" t="str">
        <f>""&amp;Table12[[#This Row],[TTM Stage]]&amp;Table12[[#This Row],[Task No.]]&amp;"-"&amp;Table12[[#This Row],[Type of activity]]&amp;"-"&amp;Table12[[#This Row],[TargetGroup]]</f>
        <v>M4-PA3 - A-Young</v>
      </c>
      <c r="G44" s="178" t="s">
        <v>809</v>
      </c>
      <c r="H44" s="179"/>
      <c r="I44" s="179"/>
      <c r="J44" s="179"/>
      <c r="K44" s="272" t="s">
        <v>866</v>
      </c>
      <c r="L44" s="272"/>
      <c r="M44" s="174" t="s">
        <v>65</v>
      </c>
      <c r="N44" s="180" t="s">
        <v>867</v>
      </c>
      <c r="O44" s="180"/>
      <c r="P44" s="180"/>
      <c r="Q44" s="180"/>
      <c r="R44" s="180" t="s">
        <v>868</v>
      </c>
      <c r="S44" s="180"/>
      <c r="T44" s="174"/>
      <c r="U44" s="174"/>
      <c r="V44" s="174"/>
      <c r="W44" s="174"/>
      <c r="X44" s="174"/>
      <c r="Y44" s="174"/>
      <c r="Z44" s="174"/>
      <c r="AA44" s="180"/>
      <c r="AB44" s="174"/>
      <c r="AC44" s="174"/>
      <c r="AD44" s="174"/>
      <c r="AE44" s="181"/>
      <c r="AF44" s="57"/>
      <c r="AG44" s="44"/>
      <c r="AH44" s="44"/>
      <c r="AI44" s="44"/>
      <c r="AJ44" s="44"/>
      <c r="AK44" s="44"/>
      <c r="AL44" s="44"/>
      <c r="AM44" s="44"/>
      <c r="AN44" s="44"/>
      <c r="AO44" s="44"/>
      <c r="AP44" s="44"/>
      <c r="AQ44" s="44"/>
      <c r="AR44" s="44"/>
      <c r="AS44" s="44"/>
    </row>
    <row r="45" spans="1:45">
      <c r="A45" s="214"/>
      <c r="B45" s="284" t="s">
        <v>195</v>
      </c>
      <c r="C45" s="201" t="s">
        <v>215</v>
      </c>
      <c r="D45" s="184" t="s">
        <v>764</v>
      </c>
      <c r="E45" s="174">
        <v>1</v>
      </c>
      <c r="F45" s="240" t="str">
        <f>""&amp;Table12[[#This Row],[TTM Stage]]&amp;Table12[[#This Row],[Task No.]]&amp;"-"&amp;Table12[[#This Row],[Type of activity]]&amp;"-"&amp;Table12[[#This Row],[TargetGroup]]</f>
        <v>A1-PA3 - B-Young</v>
      </c>
      <c r="G45" s="178" t="s">
        <v>809</v>
      </c>
      <c r="H45" s="179"/>
      <c r="I45" s="179"/>
      <c r="J45" s="179"/>
      <c r="K45" s="276"/>
      <c r="L45" s="276"/>
      <c r="M45" s="174" t="s">
        <v>65</v>
      </c>
      <c r="N45" s="180" t="s">
        <v>869</v>
      </c>
      <c r="O45" s="180"/>
      <c r="P45" s="180"/>
      <c r="Q45" s="180"/>
      <c r="R45" s="180"/>
      <c r="S45" s="180"/>
      <c r="T45" s="174"/>
      <c r="U45" s="174"/>
      <c r="V45" s="174"/>
      <c r="W45" s="174"/>
      <c r="X45" s="174"/>
      <c r="Y45" s="174"/>
      <c r="Z45" s="174"/>
      <c r="AA45" s="180"/>
      <c r="AB45" s="174"/>
      <c r="AC45" s="174"/>
      <c r="AD45" s="174"/>
      <c r="AE45" s="181"/>
      <c r="AF45" s="57"/>
      <c r="AG45" s="44"/>
      <c r="AH45" s="44"/>
      <c r="AI45" s="44"/>
      <c r="AJ45" s="44"/>
      <c r="AK45" s="44"/>
      <c r="AL45" s="44"/>
      <c r="AM45" s="44"/>
      <c r="AN45" s="44"/>
      <c r="AO45" s="44"/>
      <c r="AP45" s="44"/>
      <c r="AQ45" s="44"/>
      <c r="AR45" s="44"/>
      <c r="AS45" s="44"/>
    </row>
    <row r="46" spans="1:45">
      <c r="A46" s="214"/>
      <c r="B46" s="284" t="s">
        <v>195</v>
      </c>
      <c r="C46" s="201" t="s">
        <v>870</v>
      </c>
      <c r="D46" s="184" t="s">
        <v>764</v>
      </c>
      <c r="E46" s="174">
        <v>2</v>
      </c>
      <c r="F46" s="240" t="str">
        <f>""&amp;Table12[[#This Row],[TTM Stage]]&amp;Table12[[#This Row],[Task No.]]&amp;"-"&amp;Table12[[#This Row],[Type of activity]]&amp;"-"&amp;Table12[[#This Row],[TargetGroup]]</f>
        <v>A2-PA3-B-Young</v>
      </c>
      <c r="G46" s="178" t="s">
        <v>809</v>
      </c>
      <c r="H46" s="179"/>
      <c r="I46" s="179"/>
      <c r="J46" s="179"/>
      <c r="K46" s="276"/>
      <c r="L46" s="276"/>
      <c r="M46" s="174" t="s">
        <v>65</v>
      </c>
      <c r="N46" s="180" t="s">
        <v>871</v>
      </c>
      <c r="O46" s="180"/>
      <c r="P46" s="180"/>
      <c r="Q46" s="180"/>
      <c r="R46" s="180"/>
      <c r="S46" s="180"/>
      <c r="T46" s="174"/>
      <c r="U46" s="174"/>
      <c r="V46" s="174"/>
      <c r="W46" s="174"/>
      <c r="X46" s="174"/>
      <c r="Y46" s="174"/>
      <c r="Z46" s="174"/>
      <c r="AA46" s="180"/>
      <c r="AB46" s="174"/>
      <c r="AC46" s="174"/>
      <c r="AD46" s="174"/>
      <c r="AE46" s="181"/>
      <c r="AF46" s="57"/>
      <c r="AG46" s="44"/>
      <c r="AH46" s="44"/>
      <c r="AI46" s="44"/>
      <c r="AJ46" s="44"/>
      <c r="AK46" s="44"/>
      <c r="AL46" s="44"/>
      <c r="AM46" s="44"/>
      <c r="AN46" s="44"/>
      <c r="AO46" s="44"/>
      <c r="AP46" s="44"/>
      <c r="AQ46" s="44"/>
      <c r="AR46" s="44"/>
      <c r="AS46" s="44"/>
    </row>
    <row r="47" spans="1:45">
      <c r="A47" s="214"/>
      <c r="B47" s="284" t="s">
        <v>195</v>
      </c>
      <c r="C47" s="201" t="s">
        <v>870</v>
      </c>
      <c r="D47" s="184" t="s">
        <v>764</v>
      </c>
      <c r="E47" s="174">
        <v>3</v>
      </c>
      <c r="F47" s="240" t="str">
        <f>""&amp;Table12[[#This Row],[TTM Stage]]&amp;Table12[[#This Row],[Task No.]]&amp;"-"&amp;Table12[[#This Row],[Type of activity]]&amp;"-"&amp;Table12[[#This Row],[TargetGroup]]</f>
        <v>A3-PA3-B-Young</v>
      </c>
      <c r="G47" s="178" t="s">
        <v>809</v>
      </c>
      <c r="H47" s="179"/>
      <c r="I47" s="179"/>
      <c r="J47" s="179"/>
      <c r="K47" s="272"/>
      <c r="L47" s="272"/>
      <c r="M47" s="174" t="s">
        <v>65</v>
      </c>
      <c r="N47" s="180" t="s">
        <v>872</v>
      </c>
      <c r="O47" s="180"/>
      <c r="P47" s="180"/>
      <c r="Q47" s="180"/>
      <c r="R47" s="180"/>
      <c r="S47" s="180"/>
      <c r="T47" s="174"/>
      <c r="U47" s="174"/>
      <c r="V47" s="174"/>
      <c r="W47" s="174"/>
      <c r="X47" s="174"/>
      <c r="Y47" s="174"/>
      <c r="Z47" s="174"/>
      <c r="AA47" s="180"/>
      <c r="AB47" s="174"/>
      <c r="AC47" s="174"/>
      <c r="AD47" s="174"/>
      <c r="AE47" s="181"/>
      <c r="AF47" s="57"/>
      <c r="AG47" s="44"/>
      <c r="AH47" s="44"/>
      <c r="AI47" s="44"/>
      <c r="AJ47" s="44"/>
      <c r="AK47" s="44"/>
      <c r="AL47" s="44"/>
      <c r="AM47" s="44"/>
      <c r="AN47" s="44"/>
      <c r="AO47" s="44"/>
      <c r="AP47" s="44"/>
      <c r="AQ47" s="44"/>
      <c r="AR47" s="44"/>
      <c r="AS47" s="44"/>
    </row>
    <row r="48" spans="1:45">
      <c r="A48" s="214"/>
      <c r="B48" s="284" t="s">
        <v>195</v>
      </c>
      <c r="C48" s="201" t="s">
        <v>870</v>
      </c>
      <c r="D48" s="184" t="s">
        <v>764</v>
      </c>
      <c r="E48" s="174">
        <v>4</v>
      </c>
      <c r="F48" s="240" t="str">
        <f>""&amp;Table12[[#This Row],[TTM Stage]]&amp;Table12[[#This Row],[Task No.]]&amp;"-"&amp;Table12[[#This Row],[Type of activity]]&amp;"-"&amp;Table12[[#This Row],[TargetGroup]]</f>
        <v>A4-PA3-B-Young</v>
      </c>
      <c r="G48" s="178" t="s">
        <v>809</v>
      </c>
      <c r="H48" s="179"/>
      <c r="I48" s="179"/>
      <c r="J48" s="179"/>
      <c r="K48" s="272" t="s">
        <v>873</v>
      </c>
      <c r="L48" s="272"/>
      <c r="M48" s="174" t="s">
        <v>65</v>
      </c>
      <c r="N48" s="180" t="s">
        <v>874</v>
      </c>
      <c r="O48" s="180"/>
      <c r="P48" s="180"/>
      <c r="Q48" s="180"/>
      <c r="R48" s="180"/>
      <c r="S48" s="180"/>
      <c r="T48" s="174"/>
      <c r="U48" s="174"/>
      <c r="V48" s="174"/>
      <c r="W48" s="174"/>
      <c r="X48" s="174"/>
      <c r="Y48" s="174"/>
      <c r="Z48" s="174"/>
      <c r="AA48" s="180"/>
      <c r="AB48" s="174"/>
      <c r="AC48" s="174"/>
      <c r="AD48" s="174"/>
      <c r="AE48" s="181"/>
      <c r="AF48" s="57"/>
      <c r="AG48" s="44"/>
      <c r="AH48" s="44"/>
      <c r="AI48" s="44"/>
      <c r="AJ48" s="44"/>
      <c r="AK48" s="44"/>
      <c r="AL48" s="44"/>
      <c r="AM48" s="44"/>
      <c r="AN48" s="44"/>
      <c r="AO48" s="44"/>
      <c r="AP48" s="44"/>
      <c r="AQ48" s="44"/>
      <c r="AR48" s="44"/>
      <c r="AS48" s="44"/>
    </row>
    <row r="49" spans="1:45" ht="29.25">
      <c r="A49" s="214"/>
      <c r="B49" s="284" t="s">
        <v>195</v>
      </c>
      <c r="C49" s="201" t="s">
        <v>870</v>
      </c>
      <c r="D49" s="185" t="s">
        <v>778</v>
      </c>
      <c r="E49" s="174">
        <v>1</v>
      </c>
      <c r="F49" s="240" t="str">
        <f>""&amp;Table12[[#This Row],[TTM Stage]]&amp;Table12[[#This Row],[Task No.]]&amp;"-"&amp;Table12[[#This Row],[Type of activity]]&amp;"-"&amp;Table12[[#This Row],[TargetGroup]]</f>
        <v>M1-PA3-B-Young</v>
      </c>
      <c r="G49" s="178" t="s">
        <v>809</v>
      </c>
      <c r="H49" s="179"/>
      <c r="I49" s="179"/>
      <c r="J49" s="179"/>
      <c r="K49" s="272" t="s">
        <v>875</v>
      </c>
      <c r="L49" s="272"/>
      <c r="M49" s="174" t="s">
        <v>65</v>
      </c>
      <c r="N49" s="180" t="s">
        <v>876</v>
      </c>
      <c r="O49" s="180"/>
      <c r="P49" s="180"/>
      <c r="Q49" s="180"/>
      <c r="R49" s="180" t="s">
        <v>877</v>
      </c>
      <c r="S49" s="180"/>
      <c r="T49" s="174"/>
      <c r="U49" s="174"/>
      <c r="V49" s="174"/>
      <c r="W49" s="174"/>
      <c r="X49" s="174"/>
      <c r="Y49" s="174"/>
      <c r="Z49" s="174"/>
      <c r="AA49" s="180"/>
      <c r="AB49" s="174"/>
      <c r="AC49" s="174"/>
      <c r="AD49" s="174"/>
      <c r="AE49" s="181"/>
      <c r="AF49" s="57"/>
      <c r="AG49" s="44"/>
      <c r="AH49" s="44"/>
      <c r="AI49" s="44"/>
      <c r="AJ49" s="44"/>
      <c r="AK49" s="44"/>
      <c r="AL49" s="44"/>
      <c r="AM49" s="44"/>
      <c r="AN49" s="44"/>
      <c r="AO49" s="44"/>
      <c r="AP49" s="44"/>
      <c r="AQ49" s="44"/>
      <c r="AR49" s="44"/>
      <c r="AS49" s="44"/>
    </row>
    <row r="50" spans="1:45">
      <c r="A50" s="214"/>
      <c r="B50" s="284" t="s">
        <v>195</v>
      </c>
      <c r="C50" s="201" t="s">
        <v>870</v>
      </c>
      <c r="D50" s="185" t="s">
        <v>778</v>
      </c>
      <c r="E50" s="174">
        <v>2</v>
      </c>
      <c r="F50" s="240" t="str">
        <f>""&amp;Table12[[#This Row],[TTM Stage]]&amp;Table12[[#This Row],[Task No.]]&amp;"-"&amp;Table12[[#This Row],[Type of activity]]&amp;"-"&amp;Table12[[#This Row],[TargetGroup]]</f>
        <v>M2-PA3-B-Young</v>
      </c>
      <c r="G50" s="178" t="s">
        <v>809</v>
      </c>
      <c r="H50" s="179"/>
      <c r="I50" s="179"/>
      <c r="J50" s="179"/>
      <c r="K50" s="272" t="s">
        <v>878</v>
      </c>
      <c r="L50" s="272"/>
      <c r="M50" s="174" t="s">
        <v>65</v>
      </c>
      <c r="N50" s="180" t="s">
        <v>879</v>
      </c>
      <c r="O50" s="180"/>
      <c r="P50" s="180"/>
      <c r="Q50" s="180"/>
      <c r="R50" s="180"/>
      <c r="S50" s="180"/>
      <c r="T50" s="174"/>
      <c r="U50" s="174"/>
      <c r="V50" s="174"/>
      <c r="W50" s="174"/>
      <c r="X50" s="174"/>
      <c r="Y50" s="174"/>
      <c r="Z50" s="174"/>
      <c r="AA50" s="180"/>
      <c r="AB50" s="174"/>
      <c r="AC50" s="174"/>
      <c r="AD50" s="174"/>
      <c r="AE50" s="181"/>
      <c r="AF50" s="57"/>
      <c r="AG50" s="44"/>
      <c r="AH50" s="44"/>
      <c r="AI50" s="44"/>
      <c r="AJ50" s="44"/>
      <c r="AK50" s="44"/>
      <c r="AL50" s="44"/>
      <c r="AM50" s="44"/>
      <c r="AN50" s="44"/>
      <c r="AO50" s="44"/>
      <c r="AP50" s="44"/>
      <c r="AQ50" s="44"/>
      <c r="AR50" s="44"/>
      <c r="AS50" s="44"/>
    </row>
    <row r="51" spans="1:45">
      <c r="A51" s="214"/>
      <c r="B51" s="284" t="s">
        <v>195</v>
      </c>
      <c r="C51" s="201" t="s">
        <v>870</v>
      </c>
      <c r="D51" s="185" t="s">
        <v>778</v>
      </c>
      <c r="E51" s="174">
        <v>3</v>
      </c>
      <c r="F51" s="240" t="str">
        <f>""&amp;Table12[[#This Row],[TTM Stage]]&amp;Table12[[#This Row],[Task No.]]&amp;"-"&amp;Table12[[#This Row],[Type of activity]]&amp;"-"&amp;Table12[[#This Row],[TargetGroup]]</f>
        <v>M3-PA3-B-Young</v>
      </c>
      <c r="G51" s="178" t="s">
        <v>809</v>
      </c>
      <c r="H51" s="179"/>
      <c r="I51" s="179"/>
      <c r="J51" s="179"/>
      <c r="K51" s="272"/>
      <c r="L51" s="272"/>
      <c r="M51" s="174" t="s">
        <v>65</v>
      </c>
      <c r="N51" s="180"/>
      <c r="O51" s="180"/>
      <c r="P51" s="180"/>
      <c r="Q51" s="180"/>
      <c r="R51" s="180"/>
      <c r="S51" s="180"/>
      <c r="T51" s="174"/>
      <c r="U51" s="174"/>
      <c r="V51" s="174"/>
      <c r="W51" s="174"/>
      <c r="X51" s="174"/>
      <c r="Y51" s="174"/>
      <c r="Z51" s="174"/>
      <c r="AA51" s="180"/>
      <c r="AB51" s="174"/>
      <c r="AC51" s="174"/>
      <c r="AD51" s="174"/>
      <c r="AE51" s="181"/>
      <c r="AF51" s="57"/>
      <c r="AG51" s="44"/>
      <c r="AH51" s="44"/>
      <c r="AI51" s="44"/>
      <c r="AJ51" s="44"/>
      <c r="AK51" s="44"/>
      <c r="AL51" s="44"/>
      <c r="AM51" s="44"/>
      <c r="AN51" s="44"/>
      <c r="AO51" s="44"/>
      <c r="AP51" s="44"/>
      <c r="AQ51" s="44"/>
      <c r="AR51" s="44"/>
      <c r="AS51" s="44"/>
    </row>
    <row r="52" spans="1:45">
      <c r="A52" s="214"/>
      <c r="B52" s="284" t="s">
        <v>195</v>
      </c>
      <c r="C52" s="201" t="s">
        <v>870</v>
      </c>
      <c r="D52" s="185" t="s">
        <v>778</v>
      </c>
      <c r="E52" s="174">
        <v>4</v>
      </c>
      <c r="F52" s="240" t="str">
        <f>""&amp;Table12[[#This Row],[TTM Stage]]&amp;Table12[[#This Row],[Task No.]]&amp;"-"&amp;Table12[[#This Row],[Type of activity]]&amp;"-"&amp;Table12[[#This Row],[TargetGroup]]</f>
        <v>M4-PA3-B-Young</v>
      </c>
      <c r="G52" s="178" t="s">
        <v>809</v>
      </c>
      <c r="H52" s="179"/>
      <c r="I52" s="179"/>
      <c r="J52" s="179"/>
      <c r="K52" s="272"/>
      <c r="L52" s="272"/>
      <c r="M52" s="174" t="s">
        <v>65</v>
      </c>
      <c r="N52" s="180"/>
      <c r="O52" s="180"/>
      <c r="P52" s="180"/>
      <c r="Q52" s="180"/>
      <c r="R52" s="180"/>
      <c r="S52" s="180"/>
      <c r="T52" s="174"/>
      <c r="U52" s="174"/>
      <c r="V52" s="174"/>
      <c r="W52" s="174"/>
      <c r="X52" s="174"/>
      <c r="Y52" s="174"/>
      <c r="Z52" s="174"/>
      <c r="AA52" s="180"/>
      <c r="AB52" s="174"/>
      <c r="AC52" s="174"/>
      <c r="AD52" s="174"/>
      <c r="AE52" s="181"/>
      <c r="AF52" s="57"/>
      <c r="AG52" s="44"/>
      <c r="AH52" s="44"/>
      <c r="AI52" s="44"/>
      <c r="AJ52" s="44"/>
      <c r="AK52" s="44"/>
      <c r="AL52" s="44"/>
      <c r="AM52" s="44"/>
      <c r="AN52" s="44"/>
      <c r="AO52" s="44"/>
      <c r="AP52" s="44"/>
      <c r="AQ52" s="44"/>
      <c r="AR52" s="44"/>
      <c r="AS52" s="44"/>
    </row>
    <row r="53" spans="1:45">
      <c r="A53" s="214"/>
      <c r="B53" s="280" t="s">
        <v>226</v>
      </c>
      <c r="C53" s="279" t="s">
        <v>228</v>
      </c>
      <c r="D53" s="177" t="s">
        <v>735</v>
      </c>
      <c r="E53" s="174">
        <v>1</v>
      </c>
      <c r="F53" s="240" t="str">
        <f>""&amp;Table12[[#This Row],[TTM Stage]]&amp;Table12[[#This Row],[Task No.]]&amp;"-"&amp;Table12[[#This Row],[Type of activity]]&amp;"-"&amp;Table12[[#This Row],[TargetGroup]]</f>
        <v>PC1-PA4-A-Young</v>
      </c>
      <c r="G53" s="178" t="s">
        <v>793</v>
      </c>
      <c r="H53" s="179"/>
      <c r="I53" s="179"/>
      <c r="J53" s="179"/>
      <c r="K53" s="272" t="s">
        <v>880</v>
      </c>
      <c r="L53" s="272"/>
      <c r="M53" s="174" t="s">
        <v>65</v>
      </c>
      <c r="N53" s="180" t="s">
        <v>881</v>
      </c>
      <c r="O53" s="180"/>
      <c r="P53" s="180"/>
      <c r="Q53" s="180"/>
      <c r="R53" s="180"/>
      <c r="S53" s="180"/>
      <c r="T53" s="174"/>
      <c r="U53" s="174"/>
      <c r="V53" s="174"/>
      <c r="W53" s="174"/>
      <c r="X53" s="174"/>
      <c r="Y53" s="174"/>
      <c r="Z53" s="174"/>
      <c r="AA53" s="180"/>
      <c r="AB53" s="174"/>
      <c r="AC53" s="174"/>
      <c r="AD53" s="174"/>
      <c r="AE53" s="181"/>
      <c r="AF53" s="57"/>
      <c r="AG53" s="44"/>
      <c r="AH53" s="44"/>
      <c r="AI53" s="44"/>
      <c r="AJ53" s="44"/>
      <c r="AK53" s="44"/>
      <c r="AL53" s="44"/>
      <c r="AM53" s="44"/>
      <c r="AN53" s="44"/>
      <c r="AO53" s="44"/>
      <c r="AP53" s="44"/>
      <c r="AQ53" s="44"/>
      <c r="AR53" s="44"/>
      <c r="AS53" s="44"/>
    </row>
    <row r="54" spans="1:45">
      <c r="A54" s="214"/>
      <c r="B54" s="280" t="s">
        <v>226</v>
      </c>
      <c r="C54" s="279" t="s">
        <v>228</v>
      </c>
      <c r="D54" s="177" t="s">
        <v>735</v>
      </c>
      <c r="E54" s="174">
        <v>2</v>
      </c>
      <c r="F54" s="240" t="str">
        <f>""&amp;Table12[[#This Row],[TTM Stage]]&amp;Table12[[#This Row],[Task No.]]&amp;"-"&amp;Table12[[#This Row],[Type of activity]]&amp;"-"&amp;Table12[[#This Row],[TargetGroup]]</f>
        <v>PC2-PA4-A-Young</v>
      </c>
      <c r="G54" s="178" t="s">
        <v>736</v>
      </c>
      <c r="H54" s="178"/>
      <c r="I54" s="179"/>
      <c r="J54" s="287"/>
      <c r="K54" s="272" t="s">
        <v>882</v>
      </c>
      <c r="L54" s="431"/>
      <c r="M54" s="300" t="s">
        <v>65</v>
      </c>
      <c r="N54" s="180" t="s">
        <v>883</v>
      </c>
      <c r="O54" s="191"/>
      <c r="P54" s="191"/>
      <c r="Q54" s="191"/>
      <c r="R54" s="180"/>
      <c r="S54" s="191"/>
      <c r="T54" s="174"/>
      <c r="U54" s="174"/>
      <c r="V54" s="174"/>
      <c r="W54" s="174"/>
      <c r="X54" s="174"/>
      <c r="Y54" s="174"/>
      <c r="Z54" s="174"/>
      <c r="AA54" s="180"/>
      <c r="AB54" s="174"/>
      <c r="AC54" s="174"/>
      <c r="AD54" s="174"/>
      <c r="AE54" s="181"/>
      <c r="AF54" s="57"/>
      <c r="AG54" s="44"/>
      <c r="AH54" s="44"/>
      <c r="AI54" s="44"/>
      <c r="AJ54" s="44"/>
      <c r="AK54" s="44"/>
      <c r="AL54" s="44"/>
      <c r="AM54" s="44"/>
      <c r="AN54" s="44"/>
      <c r="AO54" s="44"/>
      <c r="AP54" s="44"/>
      <c r="AQ54" s="44"/>
      <c r="AR54" s="44"/>
      <c r="AS54" s="44"/>
    </row>
    <row r="55" spans="1:45" ht="29.25">
      <c r="A55" s="214"/>
      <c r="B55" s="280" t="s">
        <v>226</v>
      </c>
      <c r="C55" s="279" t="s">
        <v>228</v>
      </c>
      <c r="D55" s="182" t="s">
        <v>743</v>
      </c>
      <c r="E55" s="174">
        <v>1</v>
      </c>
      <c r="F55" s="240" t="str">
        <f>""&amp;Table12[[#This Row],[TTM Stage]]&amp;Table12[[#This Row],[Task No.]]&amp;"-"&amp;Table12[[#This Row],[Type of activity]]&amp;"-"&amp;Table12[[#This Row],[TargetGroup]]</f>
        <v>C1-PA4-A-Young</v>
      </c>
      <c r="G55" s="178" t="s">
        <v>828</v>
      </c>
      <c r="H55" s="178"/>
      <c r="I55" s="179"/>
      <c r="J55" s="287"/>
      <c r="K55" s="272" t="s">
        <v>884</v>
      </c>
      <c r="L55" s="431"/>
      <c r="M55" s="300" t="s">
        <v>65</v>
      </c>
      <c r="N55" s="180" t="s">
        <v>885</v>
      </c>
      <c r="O55" s="191"/>
      <c r="P55" s="191"/>
      <c r="Q55" s="191"/>
      <c r="R55" s="180" t="s">
        <v>886</v>
      </c>
      <c r="S55" s="191"/>
      <c r="T55" s="174"/>
      <c r="U55" s="174"/>
      <c r="V55" s="174"/>
      <c r="W55" s="174"/>
      <c r="X55" s="174"/>
      <c r="Y55" s="174"/>
      <c r="Z55" s="174"/>
      <c r="AA55" s="180"/>
      <c r="AB55" s="174"/>
      <c r="AC55" s="174"/>
      <c r="AD55" s="174"/>
      <c r="AE55" s="181"/>
      <c r="AF55" s="57"/>
      <c r="AG55" s="44"/>
      <c r="AH55" s="44"/>
      <c r="AI55" s="44"/>
      <c r="AJ55" s="44"/>
      <c r="AK55" s="44"/>
      <c r="AL55" s="44"/>
      <c r="AM55" s="44"/>
      <c r="AN55" s="44"/>
      <c r="AO55" s="44"/>
      <c r="AP55" s="44"/>
      <c r="AQ55" s="44"/>
      <c r="AR55" s="44"/>
      <c r="AS55" s="44"/>
    </row>
    <row r="56" spans="1:45" ht="29.25">
      <c r="A56" s="214"/>
      <c r="B56" s="280" t="s">
        <v>226</v>
      </c>
      <c r="C56" s="279" t="s">
        <v>228</v>
      </c>
      <c r="D56" s="182" t="s">
        <v>743</v>
      </c>
      <c r="E56" s="174">
        <v>2</v>
      </c>
      <c r="F56" s="240" t="str">
        <f>""&amp;Table12[[#This Row],[TTM Stage]]&amp;Table12[[#This Row],[Task No.]]&amp;"-"&amp;Table12[[#This Row],[Type of activity]]&amp;"-"&amp;Table12[[#This Row],[TargetGroup]]</f>
        <v>C2-PA4-A-Young</v>
      </c>
      <c r="G56" s="178" t="s">
        <v>887</v>
      </c>
      <c r="H56" s="178"/>
      <c r="I56" s="179"/>
      <c r="J56" s="287"/>
      <c r="K56" s="272" t="s">
        <v>888</v>
      </c>
      <c r="L56" s="431"/>
      <c r="M56" s="300" t="s">
        <v>65</v>
      </c>
      <c r="N56" s="180" t="s">
        <v>889</v>
      </c>
      <c r="O56" s="191"/>
      <c r="P56" s="191"/>
      <c r="Q56" s="191"/>
      <c r="R56" s="180" t="s">
        <v>851</v>
      </c>
      <c r="S56" s="191"/>
      <c r="T56" s="174"/>
      <c r="U56" s="174"/>
      <c r="V56" s="174"/>
      <c r="W56" s="174"/>
      <c r="X56" s="174"/>
      <c r="Y56" s="174"/>
      <c r="Z56" s="174"/>
      <c r="AA56" s="180"/>
      <c r="AB56" s="174"/>
      <c r="AC56" s="174"/>
      <c r="AD56" s="174"/>
      <c r="AE56" s="181"/>
      <c r="AF56" s="57"/>
      <c r="AG56" s="44"/>
      <c r="AH56" s="44"/>
      <c r="AI56" s="44"/>
      <c r="AJ56" s="44"/>
      <c r="AK56" s="44"/>
      <c r="AL56" s="44"/>
      <c r="AM56" s="44"/>
      <c r="AN56" s="44"/>
      <c r="AO56" s="44"/>
      <c r="AP56" s="44"/>
      <c r="AQ56" s="44"/>
      <c r="AR56" s="44"/>
      <c r="AS56" s="44"/>
    </row>
    <row r="57" spans="1:45">
      <c r="A57" s="214"/>
      <c r="B57" s="280" t="s">
        <v>226</v>
      </c>
      <c r="C57" s="279" t="s">
        <v>228</v>
      </c>
      <c r="D57" s="183" t="s">
        <v>750</v>
      </c>
      <c r="E57" s="174">
        <v>1</v>
      </c>
      <c r="F57" s="240" t="str">
        <f>""&amp;Table12[[#This Row],[TTM Stage]]&amp;Table12[[#This Row],[Task No.]]&amp;"-"&amp;Table12[[#This Row],[Type of activity]]&amp;"-"&amp;Table12[[#This Row],[TargetGroup]]</f>
        <v>P1-PA4-A-Young</v>
      </c>
      <c r="G57" s="178" t="s">
        <v>804</v>
      </c>
      <c r="H57" s="178"/>
      <c r="I57" s="179"/>
      <c r="J57" s="287"/>
      <c r="K57" s="272" t="s">
        <v>890</v>
      </c>
      <c r="L57" s="431"/>
      <c r="M57" s="300" t="s">
        <v>65</v>
      </c>
      <c r="N57" s="203" t="s">
        <v>891</v>
      </c>
      <c r="O57" s="191"/>
      <c r="P57" s="191"/>
      <c r="Q57" s="191"/>
      <c r="R57" s="180"/>
      <c r="S57" s="191"/>
      <c r="T57" s="174"/>
      <c r="U57" s="174"/>
      <c r="V57" s="174"/>
      <c r="W57" s="174"/>
      <c r="X57" s="174"/>
      <c r="Y57" s="174"/>
      <c r="Z57" s="174"/>
      <c r="AA57" s="180"/>
      <c r="AB57" s="174"/>
      <c r="AC57" s="174"/>
      <c r="AD57" s="174"/>
      <c r="AE57" s="181"/>
      <c r="AF57" s="57"/>
      <c r="AG57" s="44"/>
      <c r="AH57" s="44"/>
      <c r="AI57" s="44"/>
      <c r="AJ57" s="44"/>
      <c r="AK57" s="44"/>
      <c r="AL57" s="44"/>
      <c r="AM57" s="44"/>
      <c r="AN57" s="44"/>
      <c r="AO57" s="44"/>
      <c r="AP57" s="44"/>
      <c r="AQ57" s="44"/>
      <c r="AR57" s="44"/>
      <c r="AS57" s="44"/>
    </row>
    <row r="58" spans="1:45">
      <c r="A58" s="214"/>
      <c r="B58" s="280" t="s">
        <v>226</v>
      </c>
      <c r="C58" s="279" t="s">
        <v>228</v>
      </c>
      <c r="D58" s="183" t="s">
        <v>750</v>
      </c>
      <c r="E58" s="174">
        <v>2</v>
      </c>
      <c r="F58" s="240" t="str">
        <f>""&amp;Table12[[#This Row],[TTM Stage]]&amp;Table12[[#This Row],[Task No.]]&amp;"-"&amp;Table12[[#This Row],[Type of activity]]&amp;"-"&amp;Table12[[#This Row],[TargetGroup]]</f>
        <v>P2-PA4-A-Young</v>
      </c>
      <c r="G58" s="178" t="s">
        <v>804</v>
      </c>
      <c r="H58" s="178"/>
      <c r="I58" s="179"/>
      <c r="J58" s="287"/>
      <c r="K58" s="272" t="s">
        <v>892</v>
      </c>
      <c r="L58" s="431"/>
      <c r="M58" s="300" t="s">
        <v>65</v>
      </c>
      <c r="N58" s="180" t="s">
        <v>893</v>
      </c>
      <c r="O58" s="191"/>
      <c r="P58" s="191"/>
      <c r="Q58" s="191"/>
      <c r="R58" s="180"/>
      <c r="S58" s="191"/>
      <c r="T58" s="174"/>
      <c r="U58" s="174"/>
      <c r="V58" s="174"/>
      <c r="W58" s="174"/>
      <c r="X58" s="174"/>
      <c r="Y58" s="174"/>
      <c r="Z58" s="174"/>
      <c r="AA58" s="180"/>
      <c r="AB58" s="174"/>
      <c r="AC58" s="174"/>
      <c r="AD58" s="174"/>
      <c r="AE58" s="181"/>
      <c r="AF58" s="57"/>
      <c r="AG58" s="44"/>
      <c r="AH58" s="44"/>
      <c r="AI58" s="44"/>
      <c r="AJ58" s="44"/>
      <c r="AK58" s="44"/>
      <c r="AL58" s="44"/>
      <c r="AM58" s="44"/>
      <c r="AN58" s="44"/>
      <c r="AO58" s="44"/>
      <c r="AP58" s="44"/>
      <c r="AQ58" s="44"/>
      <c r="AR58" s="44"/>
      <c r="AS58" s="44"/>
    </row>
    <row r="59" spans="1:45">
      <c r="A59" s="214"/>
      <c r="B59" s="280" t="s">
        <v>226</v>
      </c>
      <c r="C59" s="279" t="s">
        <v>228</v>
      </c>
      <c r="D59" s="184" t="s">
        <v>764</v>
      </c>
      <c r="E59" s="174">
        <v>1</v>
      </c>
      <c r="F59" s="240" t="str">
        <f>""&amp;Table12[[#This Row],[TTM Stage]]&amp;Table12[[#This Row],[Task No.]]&amp;"-"&amp;Table12[[#This Row],[Type of activity]]&amp;"-"&amp;Table12[[#This Row],[TargetGroup]]</f>
        <v>A1-PA4-A-Young</v>
      </c>
      <c r="G59" s="178" t="s">
        <v>747</v>
      </c>
      <c r="H59" s="179"/>
      <c r="I59" s="179"/>
      <c r="J59" s="179"/>
      <c r="K59" s="272" t="s">
        <v>894</v>
      </c>
      <c r="L59" s="272"/>
      <c r="M59" s="174" t="s">
        <v>65</v>
      </c>
      <c r="N59" s="180" t="s">
        <v>895</v>
      </c>
      <c r="O59" s="180"/>
      <c r="P59" s="180"/>
      <c r="Q59" s="180"/>
      <c r="R59" s="180"/>
      <c r="S59" s="180"/>
      <c r="T59" s="174"/>
      <c r="U59" s="174"/>
      <c r="V59" s="174"/>
      <c r="W59" s="174"/>
      <c r="X59" s="174"/>
      <c r="Y59" s="174"/>
      <c r="Z59" s="174"/>
      <c r="AA59" s="180"/>
      <c r="AB59" s="174"/>
      <c r="AC59" s="174"/>
      <c r="AD59" s="174"/>
      <c r="AE59" s="181"/>
      <c r="AF59" s="57"/>
      <c r="AG59" s="44"/>
      <c r="AH59" s="44"/>
      <c r="AI59" s="44"/>
      <c r="AJ59" s="44"/>
      <c r="AK59" s="44"/>
      <c r="AL59" s="44"/>
      <c r="AM59" s="44"/>
      <c r="AN59" s="44"/>
      <c r="AO59" s="44"/>
      <c r="AP59" s="44"/>
      <c r="AQ59" s="44"/>
      <c r="AR59" s="44"/>
      <c r="AS59" s="44"/>
    </row>
    <row r="60" spans="1:45">
      <c r="A60" s="214"/>
      <c r="B60" s="280" t="s">
        <v>226</v>
      </c>
      <c r="C60" s="279" t="s">
        <v>228</v>
      </c>
      <c r="D60" s="184" t="s">
        <v>764</v>
      </c>
      <c r="E60" s="174">
        <v>2</v>
      </c>
      <c r="F60" s="240" t="str">
        <f>""&amp;Table12[[#This Row],[TTM Stage]]&amp;Table12[[#This Row],[Task No.]]&amp;"-"&amp;Table12[[#This Row],[Type of activity]]&amp;"-"&amp;Table12[[#This Row],[TargetGroup]]</f>
        <v>A2-PA4-A-Young</v>
      </c>
      <c r="G60" s="178" t="s">
        <v>809</v>
      </c>
      <c r="H60" s="178"/>
      <c r="I60" s="179"/>
      <c r="J60" s="287"/>
      <c r="K60" s="272" t="s">
        <v>896</v>
      </c>
      <c r="L60" s="431"/>
      <c r="M60" s="174" t="s">
        <v>65</v>
      </c>
      <c r="N60" s="180" t="s">
        <v>897</v>
      </c>
      <c r="O60" s="191"/>
      <c r="P60" s="191"/>
      <c r="Q60" s="191"/>
      <c r="R60" s="180"/>
      <c r="S60" s="191"/>
      <c r="T60" s="174"/>
      <c r="U60" s="174"/>
      <c r="V60" s="174"/>
      <c r="W60" s="174"/>
      <c r="X60" s="174"/>
      <c r="Y60" s="174"/>
      <c r="Z60" s="174"/>
      <c r="AA60" s="180"/>
      <c r="AB60" s="174"/>
      <c r="AC60" s="174"/>
      <c r="AD60" s="174"/>
      <c r="AE60" s="181"/>
      <c r="AF60" s="57"/>
      <c r="AG60" s="44"/>
      <c r="AH60" s="44"/>
      <c r="AI60" s="44"/>
      <c r="AJ60" s="44"/>
      <c r="AK60" s="44"/>
      <c r="AL60" s="44"/>
      <c r="AM60" s="44"/>
      <c r="AN60" s="44"/>
      <c r="AO60" s="44"/>
      <c r="AP60" s="44"/>
      <c r="AQ60" s="44"/>
      <c r="AR60" s="44"/>
      <c r="AS60" s="44"/>
    </row>
    <row r="61" spans="1:45">
      <c r="A61" s="214"/>
      <c r="B61" s="280" t="s">
        <v>226</v>
      </c>
      <c r="C61" s="279" t="s">
        <v>228</v>
      </c>
      <c r="D61" s="184" t="s">
        <v>764</v>
      </c>
      <c r="E61" s="174">
        <v>3</v>
      </c>
      <c r="F61" s="240" t="str">
        <f>""&amp;Table12[[#This Row],[TTM Stage]]&amp;Table12[[#This Row],[Task No.]]&amp;"-"&amp;Table12[[#This Row],[Type of activity]]&amp;"-"&amp;Table12[[#This Row],[TargetGroup]]</f>
        <v>A3-PA4-A-Young</v>
      </c>
      <c r="G61" s="178" t="s">
        <v>809</v>
      </c>
      <c r="H61" s="178"/>
      <c r="I61" s="179"/>
      <c r="J61" s="287"/>
      <c r="K61" s="272" t="s">
        <v>898</v>
      </c>
      <c r="L61" s="431"/>
      <c r="M61" s="174" t="s">
        <v>65</v>
      </c>
      <c r="N61" s="180" t="s">
        <v>899</v>
      </c>
      <c r="O61" s="191"/>
      <c r="P61" s="191"/>
      <c r="Q61" s="191"/>
      <c r="R61" s="180"/>
      <c r="S61" s="191"/>
      <c r="T61" s="174"/>
      <c r="U61" s="174"/>
      <c r="V61" s="174"/>
      <c r="W61" s="174"/>
      <c r="X61" s="174"/>
      <c r="Y61" s="174"/>
      <c r="Z61" s="174"/>
      <c r="AA61" s="180"/>
      <c r="AB61" s="174"/>
      <c r="AC61" s="174"/>
      <c r="AD61" s="174"/>
      <c r="AE61" s="181"/>
      <c r="AF61" s="57"/>
      <c r="AG61" s="44"/>
      <c r="AH61" s="44"/>
      <c r="AI61" s="44"/>
      <c r="AJ61" s="44"/>
      <c r="AK61" s="44"/>
      <c r="AL61" s="44"/>
      <c r="AM61" s="44"/>
      <c r="AN61" s="44"/>
      <c r="AO61" s="44"/>
      <c r="AP61" s="44"/>
      <c r="AQ61" s="44"/>
      <c r="AR61" s="44"/>
      <c r="AS61" s="44"/>
    </row>
    <row r="62" spans="1:45">
      <c r="A62" s="214"/>
      <c r="B62" s="280" t="s">
        <v>226</v>
      </c>
      <c r="C62" s="279" t="s">
        <v>228</v>
      </c>
      <c r="D62" s="184" t="s">
        <v>764</v>
      </c>
      <c r="E62" s="174">
        <v>4</v>
      </c>
      <c r="F62" s="240" t="str">
        <f>""&amp;Table12[[#This Row],[TTM Stage]]&amp;Table12[[#This Row],[Task No.]]&amp;"-"&amp;Table12[[#This Row],[Type of activity]]&amp;"-"&amp;Table12[[#This Row],[TargetGroup]]</f>
        <v>A4-PA4-A-Young</v>
      </c>
      <c r="G62" s="178" t="s">
        <v>809</v>
      </c>
      <c r="H62" s="178"/>
      <c r="I62" s="179"/>
      <c r="J62" s="287"/>
      <c r="K62" s="272" t="s">
        <v>900</v>
      </c>
      <c r="L62" s="431"/>
      <c r="M62" s="174" t="s">
        <v>65</v>
      </c>
      <c r="N62" s="180" t="s">
        <v>901</v>
      </c>
      <c r="O62" s="191"/>
      <c r="P62" s="191"/>
      <c r="Q62" s="191"/>
      <c r="R62" s="180"/>
      <c r="S62" s="191"/>
      <c r="T62" s="174"/>
      <c r="U62" s="174"/>
      <c r="V62" s="174"/>
      <c r="W62" s="174"/>
      <c r="X62" s="174"/>
      <c r="Y62" s="174"/>
      <c r="Z62" s="174"/>
      <c r="AA62" s="180"/>
      <c r="AB62" s="174"/>
      <c r="AC62" s="174"/>
      <c r="AD62" s="174"/>
      <c r="AE62" s="181"/>
      <c r="AF62" s="57"/>
      <c r="AG62" s="44"/>
      <c r="AH62" s="44"/>
      <c r="AI62" s="44"/>
      <c r="AJ62" s="44"/>
      <c r="AK62" s="44"/>
      <c r="AL62" s="44"/>
      <c r="AM62" s="44"/>
      <c r="AN62" s="44"/>
      <c r="AO62" s="44"/>
      <c r="AP62" s="44"/>
      <c r="AQ62" s="44"/>
      <c r="AR62" s="44"/>
      <c r="AS62" s="44"/>
    </row>
    <row r="63" spans="1:45" ht="43.5">
      <c r="A63" s="214"/>
      <c r="B63" s="280" t="s">
        <v>226</v>
      </c>
      <c r="C63" s="279" t="s">
        <v>252</v>
      </c>
      <c r="D63" s="177" t="s">
        <v>735</v>
      </c>
      <c r="E63" s="174">
        <v>1</v>
      </c>
      <c r="F63" s="240" t="str">
        <f>""&amp;Table12[[#This Row],[TTM Stage]]&amp;Table12[[#This Row],[Task No.]]&amp;"-"&amp;Table12[[#This Row],[Type of activity]]&amp;"-"&amp;Table12[[#This Row],[TargetGroup]]</f>
        <v>PC1-PA4-C-Young</v>
      </c>
      <c r="G63" s="178" t="s">
        <v>744</v>
      </c>
      <c r="H63" s="179"/>
      <c r="I63" s="179"/>
      <c r="J63" s="179"/>
      <c r="K63" s="278" t="s">
        <v>902</v>
      </c>
      <c r="L63" s="278"/>
      <c r="M63" s="174" t="s">
        <v>65</v>
      </c>
      <c r="N63" s="39" t="s">
        <v>903</v>
      </c>
      <c r="O63" s="39"/>
      <c r="P63" s="39"/>
      <c r="Q63" s="39"/>
      <c r="R63" s="44" t="s">
        <v>851</v>
      </c>
      <c r="S63" s="44"/>
      <c r="T63" s="174"/>
      <c r="U63" s="174"/>
      <c r="V63" s="174"/>
      <c r="W63" s="174"/>
      <c r="X63" s="174"/>
      <c r="Y63" s="174"/>
      <c r="Z63" s="174"/>
      <c r="AA63" s="180"/>
      <c r="AB63" s="174"/>
      <c r="AC63" s="174"/>
      <c r="AD63" s="174"/>
      <c r="AE63" s="181"/>
      <c r="AF63" s="57"/>
      <c r="AG63" s="44"/>
      <c r="AH63" s="44"/>
      <c r="AI63" s="44"/>
      <c r="AJ63" s="44"/>
      <c r="AK63" s="44"/>
      <c r="AL63" s="44"/>
      <c r="AM63" s="44"/>
      <c r="AN63" s="44"/>
      <c r="AO63" s="44"/>
      <c r="AP63" s="44"/>
      <c r="AQ63" s="44"/>
      <c r="AR63" s="44"/>
      <c r="AS63" s="44"/>
    </row>
    <row r="64" spans="1:45" ht="43.5">
      <c r="A64" s="214"/>
      <c r="B64" s="280" t="s">
        <v>226</v>
      </c>
      <c r="C64" s="279" t="s">
        <v>252</v>
      </c>
      <c r="D64" s="177" t="s">
        <v>735</v>
      </c>
      <c r="E64" s="174">
        <v>2</v>
      </c>
      <c r="F64" s="240" t="str">
        <f>""&amp;Table12[[#This Row],[TTM Stage]]&amp;Table12[[#This Row],[Task No.]]&amp;"-"&amp;Table12[[#This Row],[Type of activity]]&amp;"-"&amp;Table12[[#This Row],[TargetGroup]]</f>
        <v>PC2-PA4-C-Young</v>
      </c>
      <c r="G64" s="178" t="s">
        <v>904</v>
      </c>
      <c r="H64" s="178"/>
      <c r="I64" s="179"/>
      <c r="J64" s="287"/>
      <c r="K64" s="278" t="s">
        <v>905</v>
      </c>
      <c r="L64" s="278"/>
      <c r="M64" s="174" t="s">
        <v>65</v>
      </c>
      <c r="N64" s="39" t="s">
        <v>906</v>
      </c>
      <c r="O64" s="39"/>
      <c r="P64" s="39"/>
      <c r="Q64" s="39"/>
      <c r="R64" s="44" t="s">
        <v>886</v>
      </c>
      <c r="S64" s="44"/>
      <c r="T64" s="174"/>
      <c r="U64" s="174"/>
      <c r="V64" s="174"/>
      <c r="W64" s="174"/>
      <c r="X64" s="174"/>
      <c r="Y64" s="174"/>
      <c r="Z64" s="174"/>
      <c r="AA64" s="180"/>
      <c r="AB64" s="174"/>
      <c r="AC64" s="174"/>
      <c r="AD64" s="174"/>
      <c r="AE64" s="181"/>
      <c r="AF64" s="57"/>
      <c r="AG64" s="44"/>
      <c r="AH64" s="44"/>
      <c r="AI64" s="44"/>
      <c r="AJ64" s="44"/>
      <c r="AK64" s="44"/>
      <c r="AL64" s="44"/>
      <c r="AM64" s="44"/>
      <c r="AN64" s="44"/>
      <c r="AO64" s="44"/>
      <c r="AP64" s="44"/>
      <c r="AQ64" s="44"/>
      <c r="AR64" s="44"/>
      <c r="AS64" s="44"/>
    </row>
    <row r="65" spans="1:45" ht="29.25">
      <c r="A65" s="214"/>
      <c r="B65" s="280" t="s">
        <v>226</v>
      </c>
      <c r="C65" s="279" t="s">
        <v>252</v>
      </c>
      <c r="D65" s="182" t="s">
        <v>743</v>
      </c>
      <c r="E65" s="174">
        <v>1</v>
      </c>
      <c r="F65" s="240" t="str">
        <f>""&amp;Table12[[#This Row],[TTM Stage]]&amp;Table12[[#This Row],[Task No.]]&amp;"-"&amp;Table12[[#This Row],[Type of activity]]&amp;"-"&amp;Table12[[#This Row],[TargetGroup]]</f>
        <v>C1-PA4-C-Young</v>
      </c>
      <c r="G65" s="178" t="s">
        <v>744</v>
      </c>
      <c r="H65" s="178"/>
      <c r="I65" s="179"/>
      <c r="J65" s="287"/>
      <c r="K65" s="278" t="s">
        <v>907</v>
      </c>
      <c r="L65" s="278"/>
      <c r="M65" s="174" t="s">
        <v>65</v>
      </c>
      <c r="N65" s="39" t="s">
        <v>908</v>
      </c>
      <c r="O65" s="39"/>
      <c r="P65" s="39"/>
      <c r="Q65" s="39"/>
      <c r="R65" s="44"/>
      <c r="S65" s="44"/>
      <c r="T65" s="174"/>
      <c r="U65" s="174"/>
      <c r="V65" s="174"/>
      <c r="W65" s="174"/>
      <c r="X65" s="174"/>
      <c r="Y65" s="174"/>
      <c r="Z65" s="174"/>
      <c r="AA65" s="180"/>
      <c r="AB65" s="174"/>
      <c r="AC65" s="174"/>
      <c r="AD65" s="174"/>
      <c r="AE65" s="181"/>
      <c r="AF65" s="57"/>
      <c r="AG65" s="44"/>
      <c r="AH65" s="44"/>
      <c r="AI65" s="44"/>
      <c r="AJ65" s="44"/>
      <c r="AK65" s="44"/>
      <c r="AL65" s="44"/>
      <c r="AM65" s="44"/>
      <c r="AN65" s="44"/>
      <c r="AO65" s="44"/>
      <c r="AP65" s="44"/>
      <c r="AQ65" s="44"/>
      <c r="AR65" s="44"/>
      <c r="AS65" s="44"/>
    </row>
    <row r="66" spans="1:45" ht="43.5">
      <c r="A66" s="214"/>
      <c r="B66" s="280" t="s">
        <v>226</v>
      </c>
      <c r="C66" s="279" t="s">
        <v>252</v>
      </c>
      <c r="D66" s="182" t="s">
        <v>743</v>
      </c>
      <c r="E66" s="174">
        <v>2</v>
      </c>
      <c r="F66" s="240" t="str">
        <f>""&amp;Table12[[#This Row],[TTM Stage]]&amp;Table12[[#This Row],[Task No.]]&amp;"-"&amp;Table12[[#This Row],[Type of activity]]&amp;"-"&amp;Table12[[#This Row],[TargetGroup]]</f>
        <v>C2-PA4-C-Young</v>
      </c>
      <c r="G66" s="178" t="s">
        <v>828</v>
      </c>
      <c r="H66" s="178"/>
      <c r="I66" s="179"/>
      <c r="J66" s="287"/>
      <c r="K66" s="278" t="s">
        <v>909</v>
      </c>
      <c r="L66" s="278"/>
      <c r="M66" s="174" t="s">
        <v>65</v>
      </c>
      <c r="N66" s="39" t="s">
        <v>910</v>
      </c>
      <c r="O66" s="39"/>
      <c r="P66" s="39"/>
      <c r="Q66" s="39"/>
      <c r="R66" s="44" t="s">
        <v>911</v>
      </c>
      <c r="S66" s="44"/>
      <c r="T66" s="174"/>
      <c r="U66" s="174"/>
      <c r="V66" s="174"/>
      <c r="W66" s="174"/>
      <c r="X66" s="174"/>
      <c r="Y66" s="174"/>
      <c r="Z66" s="174"/>
      <c r="AA66" s="180"/>
      <c r="AB66" s="174"/>
      <c r="AC66" s="174"/>
      <c r="AD66" s="174"/>
      <c r="AE66" s="181"/>
      <c r="AF66" s="57"/>
      <c r="AG66" s="44"/>
      <c r="AH66" s="44"/>
      <c r="AI66" s="44"/>
      <c r="AJ66" s="44"/>
      <c r="AK66" s="44"/>
      <c r="AL66" s="44"/>
      <c r="AM66" s="44"/>
      <c r="AN66" s="44"/>
      <c r="AO66" s="44"/>
      <c r="AP66" s="44"/>
      <c r="AQ66" s="44"/>
      <c r="AR66" s="44"/>
      <c r="AS66" s="44"/>
    </row>
    <row r="67" spans="1:45" ht="43.5">
      <c r="A67" s="214"/>
      <c r="B67" s="280" t="s">
        <v>226</v>
      </c>
      <c r="C67" s="279" t="s">
        <v>252</v>
      </c>
      <c r="D67" s="183" t="s">
        <v>750</v>
      </c>
      <c r="E67" s="174">
        <v>1</v>
      </c>
      <c r="F67" s="240" t="str">
        <f>""&amp;Table12[[#This Row],[TTM Stage]]&amp;Table12[[#This Row],[Task No.]]&amp;"-"&amp;Table12[[#This Row],[Type of activity]]&amp;"-"&amp;Table12[[#This Row],[TargetGroup]]</f>
        <v>P1-PA4-C-Young</v>
      </c>
      <c r="G67" s="178" t="s">
        <v>751</v>
      </c>
      <c r="H67" s="178"/>
      <c r="I67" s="179"/>
      <c r="J67" s="287"/>
      <c r="K67" s="278" t="s">
        <v>912</v>
      </c>
      <c r="L67" s="278"/>
      <c r="M67" s="174" t="s">
        <v>65</v>
      </c>
      <c r="N67" s="39" t="s">
        <v>913</v>
      </c>
      <c r="O67" s="39"/>
      <c r="P67" s="39"/>
      <c r="Q67" s="39"/>
      <c r="R67" s="44" t="s">
        <v>851</v>
      </c>
      <c r="S67" s="44"/>
      <c r="T67" s="174"/>
      <c r="U67" s="174"/>
      <c r="V67" s="174"/>
      <c r="W67" s="174"/>
      <c r="X67" s="174"/>
      <c r="Y67" s="174"/>
      <c r="Z67" s="174"/>
      <c r="AA67" s="180"/>
      <c r="AB67" s="174"/>
      <c r="AC67" s="174"/>
      <c r="AD67" s="174"/>
      <c r="AE67" s="181"/>
      <c r="AF67" s="57"/>
      <c r="AG67" s="44"/>
      <c r="AH67" s="44"/>
      <c r="AI67" s="44"/>
      <c r="AJ67" s="44"/>
      <c r="AK67" s="44"/>
      <c r="AL67" s="44"/>
      <c r="AM67" s="44"/>
      <c r="AN67" s="44"/>
      <c r="AO67" s="44"/>
      <c r="AP67" s="44"/>
      <c r="AQ67" s="44"/>
      <c r="AR67" s="44"/>
      <c r="AS67" s="44"/>
    </row>
    <row r="68" spans="1:45" ht="29.25">
      <c r="A68" s="214"/>
      <c r="B68" s="280" t="s">
        <v>226</v>
      </c>
      <c r="C68" s="279" t="s">
        <v>252</v>
      </c>
      <c r="D68" s="183" t="s">
        <v>750</v>
      </c>
      <c r="E68" s="174">
        <v>2</v>
      </c>
      <c r="F68" s="240" t="str">
        <f>""&amp;Table12[[#This Row],[TTM Stage]]&amp;Table12[[#This Row],[Task No.]]&amp;"-"&amp;Table12[[#This Row],[Type of activity]]&amp;"-"&amp;Table12[[#This Row],[TargetGroup]]</f>
        <v>P2-PA4-C-Young</v>
      </c>
      <c r="G68" s="178" t="s">
        <v>914</v>
      </c>
      <c r="H68" s="178"/>
      <c r="I68" s="179"/>
      <c r="J68" s="287"/>
      <c r="K68" s="278" t="s">
        <v>915</v>
      </c>
      <c r="L68" s="278"/>
      <c r="M68" s="174" t="s">
        <v>65</v>
      </c>
      <c r="N68" s="39" t="s">
        <v>916</v>
      </c>
      <c r="O68" s="39"/>
      <c r="P68" s="39"/>
      <c r="Q68" s="39"/>
      <c r="R68" s="44" t="s">
        <v>917</v>
      </c>
      <c r="S68" s="44"/>
      <c r="T68" s="174"/>
      <c r="U68" s="174"/>
      <c r="V68" s="174"/>
      <c r="W68" s="174"/>
      <c r="X68" s="174"/>
      <c r="Y68" s="174"/>
      <c r="Z68" s="174"/>
      <c r="AA68" s="180"/>
      <c r="AB68" s="174"/>
      <c r="AC68" s="174"/>
      <c r="AD68" s="174"/>
      <c r="AE68" s="181"/>
      <c r="AF68" s="57"/>
      <c r="AG68" s="44"/>
      <c r="AH68" s="44"/>
      <c r="AI68" s="44"/>
      <c r="AJ68" s="44"/>
      <c r="AK68" s="44"/>
      <c r="AL68" s="44"/>
      <c r="AM68" s="44"/>
      <c r="AN68" s="44"/>
      <c r="AO68" s="44"/>
      <c r="AP68" s="44"/>
      <c r="AQ68" s="44"/>
      <c r="AR68" s="44"/>
      <c r="AS68" s="44"/>
    </row>
    <row r="69" spans="1:45">
      <c r="A69" s="214"/>
      <c r="B69" s="280" t="s">
        <v>226</v>
      </c>
      <c r="C69" s="279" t="s">
        <v>252</v>
      </c>
      <c r="D69" s="184" t="s">
        <v>764</v>
      </c>
      <c r="E69" s="174">
        <v>1</v>
      </c>
      <c r="F69" s="240" t="str">
        <f>""&amp;Table12[[#This Row],[TTM Stage]]&amp;Table12[[#This Row],[Task No.]]&amp;"-"&amp;Table12[[#This Row],[Type of activity]]&amp;"-"&amp;Table12[[#This Row],[TargetGroup]]</f>
        <v>A1-PA4-C-Young</v>
      </c>
      <c r="G69" s="178"/>
      <c r="H69" s="178"/>
      <c r="I69" s="179"/>
      <c r="J69" s="287"/>
      <c r="K69" s="272"/>
      <c r="L69" s="272"/>
      <c r="M69" s="174" t="s">
        <v>65</v>
      </c>
      <c r="N69" s="180"/>
      <c r="O69" s="180"/>
      <c r="P69" s="180"/>
      <c r="Q69" s="180"/>
      <c r="R69" s="180"/>
      <c r="S69" s="180"/>
      <c r="T69" s="174"/>
      <c r="U69" s="174"/>
      <c r="V69" s="174"/>
      <c r="W69" s="174"/>
      <c r="X69" s="174"/>
      <c r="Y69" s="174"/>
      <c r="Z69" s="174"/>
      <c r="AA69" s="180"/>
      <c r="AB69" s="174"/>
      <c r="AC69" s="174"/>
      <c r="AD69" s="174"/>
      <c r="AE69" s="181"/>
      <c r="AF69" s="57"/>
      <c r="AG69" s="44"/>
      <c r="AH69" s="44"/>
      <c r="AI69" s="44"/>
      <c r="AJ69" s="44"/>
      <c r="AK69" s="44"/>
      <c r="AL69" s="44"/>
      <c r="AM69" s="44"/>
      <c r="AN69" s="44"/>
      <c r="AO69" s="44"/>
      <c r="AP69" s="44"/>
      <c r="AQ69" s="44"/>
      <c r="AR69" s="44"/>
      <c r="AS69" s="44"/>
    </row>
    <row r="70" spans="1:45">
      <c r="A70" s="214"/>
      <c r="B70" s="280" t="s">
        <v>226</v>
      </c>
      <c r="C70" s="279" t="s">
        <v>252</v>
      </c>
      <c r="D70" s="184" t="s">
        <v>764</v>
      </c>
      <c r="E70" s="174">
        <v>2</v>
      </c>
      <c r="F70" s="240" t="str">
        <f>""&amp;Table12[[#This Row],[TTM Stage]]&amp;Table12[[#This Row],[Task No.]]&amp;"-"&amp;Table12[[#This Row],[Type of activity]]&amp;"-"&amp;Table12[[#This Row],[TargetGroup]]</f>
        <v>A2-PA4-C-Young</v>
      </c>
      <c r="G70" s="178"/>
      <c r="H70" s="178"/>
      <c r="I70" s="179"/>
      <c r="J70" s="287"/>
      <c r="K70" s="272"/>
      <c r="L70" s="272"/>
      <c r="M70" s="174" t="s">
        <v>65</v>
      </c>
      <c r="N70" s="180"/>
      <c r="O70" s="180"/>
      <c r="P70" s="180"/>
      <c r="Q70" s="180"/>
      <c r="R70" s="180"/>
      <c r="S70" s="180"/>
      <c r="T70" s="174"/>
      <c r="U70" s="174"/>
      <c r="V70" s="174"/>
      <c r="W70" s="174"/>
      <c r="X70" s="174"/>
      <c r="Y70" s="174"/>
      <c r="Z70" s="174"/>
      <c r="AA70" s="180"/>
      <c r="AB70" s="174"/>
      <c r="AC70" s="174"/>
      <c r="AD70" s="174"/>
      <c r="AE70" s="181"/>
      <c r="AF70" s="57"/>
      <c r="AG70" s="44"/>
      <c r="AH70" s="44"/>
      <c r="AI70" s="44"/>
      <c r="AJ70" s="44"/>
      <c r="AK70" s="44"/>
      <c r="AL70" s="44"/>
      <c r="AM70" s="44"/>
      <c r="AN70" s="44"/>
      <c r="AO70" s="44"/>
      <c r="AP70" s="44"/>
      <c r="AQ70" s="44"/>
      <c r="AR70" s="44"/>
      <c r="AS70" s="44"/>
    </row>
    <row r="71" spans="1:45">
      <c r="A71" s="214"/>
      <c r="B71" s="280" t="s">
        <v>226</v>
      </c>
      <c r="C71" s="279" t="s">
        <v>252</v>
      </c>
      <c r="D71" s="184" t="s">
        <v>764</v>
      </c>
      <c r="E71" s="174">
        <v>3</v>
      </c>
      <c r="F71" s="240" t="str">
        <f>""&amp;Table12[[#This Row],[TTM Stage]]&amp;Table12[[#This Row],[Task No.]]&amp;"-"&amp;Table12[[#This Row],[Type of activity]]&amp;"-"&amp;Table12[[#This Row],[TargetGroup]]</f>
        <v>A3-PA4-C-Young</v>
      </c>
      <c r="G71" s="178"/>
      <c r="H71" s="178"/>
      <c r="I71" s="179"/>
      <c r="J71" s="287"/>
      <c r="K71" s="272"/>
      <c r="L71" s="272"/>
      <c r="M71" s="174" t="s">
        <v>65</v>
      </c>
      <c r="N71" s="180"/>
      <c r="O71" s="180"/>
      <c r="P71" s="180"/>
      <c r="Q71" s="180"/>
      <c r="R71" s="180"/>
      <c r="S71" s="180"/>
      <c r="T71" s="174"/>
      <c r="U71" s="174"/>
      <c r="V71" s="174"/>
      <c r="W71" s="174"/>
      <c r="X71" s="174"/>
      <c r="Y71" s="174"/>
      <c r="Z71" s="174"/>
      <c r="AA71" s="180"/>
      <c r="AB71" s="174"/>
      <c r="AC71" s="174"/>
      <c r="AD71" s="174"/>
      <c r="AE71" s="181"/>
      <c r="AF71" s="57"/>
      <c r="AG71" s="44"/>
      <c r="AH71" s="44"/>
      <c r="AI71" s="44"/>
      <c r="AJ71" s="44"/>
      <c r="AK71" s="44"/>
      <c r="AL71" s="44"/>
      <c r="AM71" s="44"/>
      <c r="AN71" s="44"/>
      <c r="AO71" s="44"/>
      <c r="AP71" s="44"/>
      <c r="AQ71" s="44"/>
      <c r="AR71" s="44"/>
      <c r="AS71" s="44"/>
    </row>
    <row r="72" spans="1:45">
      <c r="A72" s="214"/>
      <c r="B72" s="280" t="s">
        <v>226</v>
      </c>
      <c r="C72" s="279" t="s">
        <v>252</v>
      </c>
      <c r="D72" s="184" t="s">
        <v>764</v>
      </c>
      <c r="E72" s="174">
        <v>4</v>
      </c>
      <c r="F72" s="240" t="str">
        <f>""&amp;Table12[[#This Row],[TTM Stage]]&amp;Table12[[#This Row],[Task No.]]&amp;"-"&amp;Table12[[#This Row],[Type of activity]]&amp;"-"&amp;Table12[[#This Row],[TargetGroup]]</f>
        <v>A4-PA4-C-Young</v>
      </c>
      <c r="G72" s="178"/>
      <c r="H72" s="178"/>
      <c r="I72" s="179"/>
      <c r="J72" s="287"/>
      <c r="K72" s="272"/>
      <c r="L72" s="272"/>
      <c r="M72" s="174" t="s">
        <v>65</v>
      </c>
      <c r="N72" s="180"/>
      <c r="O72" s="180"/>
      <c r="P72" s="180"/>
      <c r="Q72" s="180"/>
      <c r="R72" s="180"/>
      <c r="S72" s="180"/>
      <c r="T72" s="174"/>
      <c r="U72" s="174"/>
      <c r="V72" s="174"/>
      <c r="W72" s="174"/>
      <c r="X72" s="174"/>
      <c r="Y72" s="174"/>
      <c r="Z72" s="174"/>
      <c r="AA72" s="180"/>
      <c r="AB72" s="174"/>
      <c r="AC72" s="174"/>
      <c r="AD72" s="174"/>
      <c r="AE72" s="181"/>
      <c r="AF72" s="57"/>
      <c r="AG72" s="44"/>
      <c r="AH72" s="44"/>
      <c r="AI72" s="44"/>
      <c r="AJ72" s="44"/>
      <c r="AK72" s="44"/>
      <c r="AL72" s="44"/>
      <c r="AM72" s="44"/>
      <c r="AN72" s="44"/>
      <c r="AO72" s="44"/>
      <c r="AP72" s="44"/>
      <c r="AQ72" s="44"/>
      <c r="AR72" s="44"/>
      <c r="AS72" s="44"/>
    </row>
    <row r="73" spans="1:45">
      <c r="A73" s="214"/>
      <c r="B73" s="280" t="s">
        <v>226</v>
      </c>
      <c r="C73" s="279" t="s">
        <v>252</v>
      </c>
      <c r="D73" s="185" t="s">
        <v>778</v>
      </c>
      <c r="E73" s="174">
        <v>1</v>
      </c>
      <c r="F73" s="240" t="str">
        <f>""&amp;Table12[[#This Row],[TTM Stage]]&amp;Table12[[#This Row],[Task No.]]&amp;"-"&amp;Table12[[#This Row],[Type of activity]]&amp;"-"&amp;Table12[[#This Row],[TargetGroup]]</f>
        <v>M1-PA4-C-Young</v>
      </c>
      <c r="G73" s="178"/>
      <c r="H73" s="178"/>
      <c r="I73" s="179"/>
      <c r="J73" s="287"/>
      <c r="K73" s="272"/>
      <c r="L73" s="272"/>
      <c r="M73" s="174" t="s">
        <v>65</v>
      </c>
      <c r="N73" s="180"/>
      <c r="O73" s="180"/>
      <c r="P73" s="180"/>
      <c r="Q73" s="180"/>
      <c r="R73" s="180"/>
      <c r="S73" s="180"/>
      <c r="T73" s="174"/>
      <c r="U73" s="174"/>
      <c r="V73" s="174"/>
      <c r="W73" s="174"/>
      <c r="X73" s="174"/>
      <c r="Y73" s="174"/>
      <c r="Z73" s="174"/>
      <c r="AA73" s="180"/>
      <c r="AB73" s="174"/>
      <c r="AC73" s="174"/>
      <c r="AD73" s="174"/>
      <c r="AE73" s="181"/>
      <c r="AF73" s="57"/>
      <c r="AG73" s="44"/>
      <c r="AH73" s="44"/>
      <c r="AI73" s="44"/>
      <c r="AJ73" s="44"/>
      <c r="AK73" s="44"/>
      <c r="AL73" s="44"/>
      <c r="AM73" s="44"/>
      <c r="AN73" s="44"/>
      <c r="AO73" s="44"/>
      <c r="AP73" s="44"/>
      <c r="AQ73" s="44"/>
      <c r="AR73" s="44"/>
      <c r="AS73" s="44"/>
    </row>
    <row r="74" spans="1:45">
      <c r="A74" s="214"/>
      <c r="B74" s="280" t="s">
        <v>226</v>
      </c>
      <c r="C74" s="279" t="s">
        <v>252</v>
      </c>
      <c r="D74" s="185" t="s">
        <v>778</v>
      </c>
      <c r="E74" s="174">
        <v>2</v>
      </c>
      <c r="F74" s="240" t="str">
        <f>""&amp;Table12[[#This Row],[TTM Stage]]&amp;Table12[[#This Row],[Task No.]]&amp;"-"&amp;Table12[[#This Row],[Type of activity]]&amp;"-"&amp;Table12[[#This Row],[TargetGroup]]</f>
        <v>M2-PA4-C-Young</v>
      </c>
      <c r="G74" s="178"/>
      <c r="H74" s="178"/>
      <c r="I74" s="179"/>
      <c r="J74" s="287"/>
      <c r="K74" s="272"/>
      <c r="L74" s="272"/>
      <c r="M74" s="174" t="s">
        <v>65</v>
      </c>
      <c r="N74" s="180"/>
      <c r="O74" s="180"/>
      <c r="P74" s="180"/>
      <c r="Q74" s="180"/>
      <c r="R74" s="180"/>
      <c r="S74" s="180"/>
      <c r="T74" s="174"/>
      <c r="U74" s="174"/>
      <c r="V74" s="174"/>
      <c r="W74" s="174"/>
      <c r="X74" s="174"/>
      <c r="Y74" s="174"/>
      <c r="Z74" s="174"/>
      <c r="AA74" s="180"/>
      <c r="AB74" s="174"/>
      <c r="AC74" s="174"/>
      <c r="AD74" s="174"/>
      <c r="AE74" s="181"/>
      <c r="AF74" s="57"/>
      <c r="AG74" s="44"/>
      <c r="AH74" s="44"/>
      <c r="AI74" s="44"/>
      <c r="AJ74" s="44"/>
      <c r="AK74" s="44"/>
      <c r="AL74" s="44"/>
      <c r="AM74" s="44"/>
      <c r="AN74" s="44"/>
      <c r="AO74" s="44"/>
      <c r="AP74" s="44"/>
      <c r="AQ74" s="44"/>
      <c r="AR74" s="44"/>
      <c r="AS74" s="44"/>
    </row>
    <row r="75" spans="1:45">
      <c r="A75" s="214"/>
      <c r="B75" s="280" t="s">
        <v>226</v>
      </c>
      <c r="C75" s="279" t="s">
        <v>252</v>
      </c>
      <c r="D75" s="185" t="s">
        <v>778</v>
      </c>
      <c r="E75" s="174">
        <v>3</v>
      </c>
      <c r="F75" s="240" t="str">
        <f>""&amp;Table12[[#This Row],[TTM Stage]]&amp;Table12[[#This Row],[Task No.]]&amp;"-"&amp;Table12[[#This Row],[Type of activity]]&amp;"-"&amp;Table12[[#This Row],[TargetGroup]]</f>
        <v>M3-PA4-C-Young</v>
      </c>
      <c r="G75" s="178"/>
      <c r="H75" s="178"/>
      <c r="I75" s="179"/>
      <c r="J75" s="287"/>
      <c r="K75" s="272"/>
      <c r="L75" s="272"/>
      <c r="M75" s="174" t="s">
        <v>65</v>
      </c>
      <c r="N75" s="180"/>
      <c r="O75" s="180"/>
      <c r="P75" s="180"/>
      <c r="Q75" s="180"/>
      <c r="R75" s="180"/>
      <c r="S75" s="180"/>
      <c r="T75" s="174"/>
      <c r="U75" s="174"/>
      <c r="V75" s="174"/>
      <c r="W75" s="174"/>
      <c r="X75" s="174"/>
      <c r="Y75" s="174"/>
      <c r="Z75" s="174"/>
      <c r="AA75" s="180"/>
      <c r="AB75" s="174"/>
      <c r="AC75" s="174"/>
      <c r="AD75" s="174"/>
      <c r="AE75" s="181"/>
      <c r="AF75" s="57"/>
      <c r="AG75" s="44"/>
      <c r="AH75" s="44"/>
      <c r="AI75" s="44"/>
      <c r="AJ75" s="44"/>
      <c r="AK75" s="44"/>
      <c r="AL75" s="44"/>
      <c r="AM75" s="44"/>
      <c r="AN75" s="44"/>
      <c r="AO75" s="44"/>
      <c r="AP75" s="44"/>
      <c r="AQ75" s="44"/>
      <c r="AR75" s="44"/>
      <c r="AS75" s="44"/>
    </row>
    <row r="76" spans="1:45">
      <c r="A76" s="214"/>
      <c r="B76" s="280" t="s">
        <v>226</v>
      </c>
      <c r="C76" s="279" t="s">
        <v>252</v>
      </c>
      <c r="D76" s="185" t="s">
        <v>778</v>
      </c>
      <c r="E76" s="174">
        <v>4</v>
      </c>
      <c r="F76" s="240" t="str">
        <f>""&amp;Table12[[#This Row],[TTM Stage]]&amp;Table12[[#This Row],[Task No.]]&amp;"-"&amp;Table12[[#This Row],[Type of activity]]&amp;"-"&amp;Table12[[#This Row],[TargetGroup]]</f>
        <v>M4-PA4-C-Young</v>
      </c>
      <c r="G76" s="178"/>
      <c r="H76" s="178"/>
      <c r="I76" s="179"/>
      <c r="J76" s="287"/>
      <c r="K76" s="272"/>
      <c r="L76" s="272"/>
      <c r="M76" s="174" t="s">
        <v>65</v>
      </c>
      <c r="N76" s="180"/>
      <c r="O76" s="180"/>
      <c r="P76" s="180"/>
      <c r="Q76" s="180"/>
      <c r="R76" s="180"/>
      <c r="S76" s="180"/>
      <c r="T76" s="174"/>
      <c r="U76" s="174"/>
      <c r="V76" s="174"/>
      <c r="W76" s="174"/>
      <c r="X76" s="174"/>
      <c r="Y76" s="174"/>
      <c r="Z76" s="174"/>
      <c r="AA76" s="180"/>
      <c r="AB76" s="174"/>
      <c r="AC76" s="174"/>
      <c r="AD76" s="174"/>
      <c r="AE76" s="181"/>
      <c r="AF76" s="57"/>
      <c r="AG76" s="44"/>
      <c r="AH76" s="44"/>
      <c r="AI76" s="44"/>
      <c r="AJ76" s="44"/>
      <c r="AK76" s="44"/>
      <c r="AL76" s="44"/>
      <c r="AM76" s="44"/>
      <c r="AN76" s="44"/>
      <c r="AO76" s="44"/>
      <c r="AP76" s="44"/>
      <c r="AQ76" s="44"/>
      <c r="AR76" s="44"/>
      <c r="AS76" s="44"/>
    </row>
    <row r="77" spans="1:45" ht="57.75">
      <c r="A77" s="214"/>
      <c r="B77" s="280" t="s">
        <v>226</v>
      </c>
      <c r="C77" s="279" t="s">
        <v>256</v>
      </c>
      <c r="D77" s="184" t="s">
        <v>764</v>
      </c>
      <c r="E77" s="174">
        <v>1</v>
      </c>
      <c r="F77" s="240" t="str">
        <f>""&amp;Table12[[#This Row],[TTM Stage]]&amp;Table12[[#This Row],[Task No.]]&amp;"-"&amp;Table12[[#This Row],[Type of activity]]&amp;"-"&amp;Table12[[#This Row],[TargetGroup]]</f>
        <v>A1-PA4-D-Young</v>
      </c>
      <c r="G77" s="178" t="s">
        <v>809</v>
      </c>
      <c r="H77" s="179"/>
      <c r="I77" s="179"/>
      <c r="J77" s="179"/>
      <c r="K77" s="272" t="s">
        <v>918</v>
      </c>
      <c r="L77" s="272"/>
      <c r="M77" s="174" t="s">
        <v>65</v>
      </c>
      <c r="N77" s="180" t="s">
        <v>919</v>
      </c>
      <c r="O77" s="180"/>
      <c r="P77" s="180"/>
      <c r="Q77" s="180"/>
      <c r="R77" s="180" t="s">
        <v>920</v>
      </c>
      <c r="S77" s="180"/>
      <c r="T77" s="174"/>
      <c r="U77" s="174"/>
      <c r="V77" s="174"/>
      <c r="W77" s="174"/>
      <c r="X77" s="174"/>
      <c r="Y77" s="174"/>
      <c r="Z77" s="174"/>
      <c r="AA77" s="180"/>
      <c r="AB77" s="174"/>
      <c r="AC77" s="174"/>
      <c r="AD77" s="174"/>
      <c r="AE77" s="181"/>
      <c r="AF77" s="57"/>
      <c r="AG77" s="44"/>
      <c r="AH77" s="44"/>
      <c r="AI77" s="44"/>
      <c r="AJ77" s="44"/>
      <c r="AK77" s="44"/>
      <c r="AL77" s="44"/>
      <c r="AM77" s="44"/>
      <c r="AN77" s="44"/>
      <c r="AO77" s="44"/>
      <c r="AP77" s="44"/>
      <c r="AQ77" s="44"/>
      <c r="AR77" s="44"/>
      <c r="AS77" s="44"/>
    </row>
    <row r="78" spans="1:45" ht="29.25">
      <c r="A78" s="214"/>
      <c r="B78" s="280" t="s">
        <v>226</v>
      </c>
      <c r="C78" s="279" t="s">
        <v>256</v>
      </c>
      <c r="D78" s="184" t="s">
        <v>764</v>
      </c>
      <c r="E78" s="174">
        <v>2</v>
      </c>
      <c r="F78" s="240" t="str">
        <f>""&amp;Table12[[#This Row],[TTM Stage]]&amp;Table12[[#This Row],[Task No.]]&amp;"-"&amp;Table12[[#This Row],[Type of activity]]&amp;"-"&amp;Table12[[#This Row],[TargetGroup]]</f>
        <v>A2-PA4-D-Young</v>
      </c>
      <c r="G78" s="178" t="s">
        <v>809</v>
      </c>
      <c r="H78" s="179"/>
      <c r="I78" s="179"/>
      <c r="J78" s="179"/>
      <c r="K78" s="272" t="s">
        <v>921</v>
      </c>
      <c r="L78" s="272"/>
      <c r="M78" s="174" t="s">
        <v>65</v>
      </c>
      <c r="N78" s="203" t="s">
        <v>922</v>
      </c>
      <c r="O78" s="203"/>
      <c r="P78" s="203"/>
      <c r="Q78" s="203"/>
      <c r="R78" s="180"/>
      <c r="S78" s="180"/>
      <c r="T78" s="174"/>
      <c r="U78" s="174"/>
      <c r="V78" s="174"/>
      <c r="W78" s="174"/>
      <c r="X78" s="174"/>
      <c r="Y78" s="174"/>
      <c r="Z78" s="174"/>
      <c r="AA78" s="180"/>
      <c r="AB78" s="174"/>
      <c r="AC78" s="174"/>
      <c r="AD78" s="174"/>
      <c r="AE78" s="181"/>
      <c r="AF78" s="57"/>
      <c r="AG78" s="44"/>
      <c r="AH78" s="44"/>
      <c r="AI78" s="44"/>
      <c r="AJ78" s="44"/>
      <c r="AK78" s="44"/>
      <c r="AL78" s="44"/>
      <c r="AM78" s="44"/>
      <c r="AN78" s="44"/>
      <c r="AO78" s="44"/>
      <c r="AP78" s="44"/>
      <c r="AQ78" s="44"/>
      <c r="AR78" s="44"/>
      <c r="AS78" s="44"/>
    </row>
    <row r="79" spans="1:45">
      <c r="A79" s="214"/>
      <c r="B79" s="280" t="s">
        <v>226</v>
      </c>
      <c r="C79" s="279" t="s">
        <v>256</v>
      </c>
      <c r="D79" s="184" t="s">
        <v>764</v>
      </c>
      <c r="E79" s="174">
        <v>3</v>
      </c>
      <c r="F79" s="240" t="str">
        <f>""&amp;Table12[[#This Row],[TTM Stage]]&amp;Table12[[#This Row],[Task No.]]&amp;"-"&amp;Table12[[#This Row],[Type of activity]]&amp;"-"&amp;Table12[[#This Row],[TargetGroup]]</f>
        <v>A3-PA4-D-Young</v>
      </c>
      <c r="G79" s="178" t="s">
        <v>809</v>
      </c>
      <c r="H79" s="179"/>
      <c r="I79" s="179"/>
      <c r="J79" s="179"/>
      <c r="K79" s="277" t="s">
        <v>923</v>
      </c>
      <c r="L79" s="277"/>
      <c r="M79" s="174" t="s">
        <v>65</v>
      </c>
      <c r="N79" s="180" t="s">
        <v>924</v>
      </c>
      <c r="O79" s="180"/>
      <c r="P79" s="180"/>
      <c r="Q79" s="180"/>
      <c r="R79" s="180"/>
      <c r="S79" s="180"/>
      <c r="T79" s="174"/>
      <c r="U79" s="174"/>
      <c r="V79" s="174"/>
      <c r="W79" s="174"/>
      <c r="X79" s="174"/>
      <c r="Y79" s="174"/>
      <c r="Z79" s="174"/>
      <c r="AA79" s="180"/>
      <c r="AB79" s="174"/>
      <c r="AC79" s="174"/>
      <c r="AD79" s="174"/>
      <c r="AE79" s="181"/>
      <c r="AF79" s="57"/>
      <c r="AG79" s="44"/>
      <c r="AH79" s="44"/>
      <c r="AI79" s="44"/>
      <c r="AJ79" s="44"/>
      <c r="AK79" s="44"/>
      <c r="AL79" s="44"/>
      <c r="AM79" s="44"/>
      <c r="AN79" s="44"/>
      <c r="AO79" s="44"/>
      <c r="AP79" s="44"/>
      <c r="AQ79" s="44"/>
      <c r="AR79" s="44"/>
      <c r="AS79" s="44"/>
    </row>
    <row r="80" spans="1:45">
      <c r="A80" s="214"/>
      <c r="B80" s="280" t="s">
        <v>226</v>
      </c>
      <c r="C80" s="279" t="s">
        <v>256</v>
      </c>
      <c r="D80" s="184" t="s">
        <v>764</v>
      </c>
      <c r="E80" s="174">
        <v>4</v>
      </c>
      <c r="F80" s="240" t="str">
        <f>""&amp;Table12[[#This Row],[TTM Stage]]&amp;Table12[[#This Row],[Task No.]]&amp;"-"&amp;Table12[[#This Row],[Type of activity]]&amp;"-"&amp;Table12[[#This Row],[TargetGroup]]</f>
        <v>A4-PA4-D-Young</v>
      </c>
      <c r="G80" s="178" t="s">
        <v>809</v>
      </c>
      <c r="H80" s="179"/>
      <c r="I80" s="179"/>
      <c r="J80" s="179"/>
      <c r="K80" s="272" t="s">
        <v>925</v>
      </c>
      <c r="L80" s="272"/>
      <c r="M80" s="174" t="s">
        <v>65</v>
      </c>
      <c r="N80" s="180" t="s">
        <v>926</v>
      </c>
      <c r="O80" s="180"/>
      <c r="P80" s="180"/>
      <c r="Q80" s="180"/>
      <c r="R80" s="180"/>
      <c r="S80" s="180"/>
      <c r="T80" s="174"/>
      <c r="U80" s="174"/>
      <c r="V80" s="174"/>
      <c r="W80" s="174"/>
      <c r="X80" s="174"/>
      <c r="Y80" s="174"/>
      <c r="Z80" s="174"/>
      <c r="AA80" s="180"/>
      <c r="AB80" s="174"/>
      <c r="AC80" s="174"/>
      <c r="AD80" s="174"/>
      <c r="AE80" s="181"/>
      <c r="AF80" s="57"/>
      <c r="AG80" s="44"/>
      <c r="AH80" s="44"/>
      <c r="AI80" s="44"/>
      <c r="AJ80" s="44"/>
      <c r="AK80" s="44"/>
      <c r="AL80" s="44"/>
      <c r="AM80" s="44"/>
      <c r="AN80" s="44"/>
      <c r="AO80" s="44"/>
      <c r="AP80" s="44"/>
      <c r="AQ80" s="44"/>
      <c r="AR80" s="44"/>
      <c r="AS80" s="44"/>
    </row>
    <row r="81" spans="1:45" ht="43.5">
      <c r="A81" s="214"/>
      <c r="B81" s="280" t="s">
        <v>226</v>
      </c>
      <c r="C81" s="286" t="s">
        <v>927</v>
      </c>
      <c r="D81" s="289" t="s">
        <v>735</v>
      </c>
      <c r="E81" s="174">
        <v>1</v>
      </c>
      <c r="F81" s="240" t="str">
        <f>""&amp;Table12[[#This Row],[TTM Stage]]&amp;Table12[[#This Row],[Task No.]]&amp;"-"&amp;Table12[[#This Row],[Type of activity]]&amp;"-"&amp;Table12[[#This Row],[TargetGroup]]</f>
        <v>PC1-PA4 - E-Young</v>
      </c>
      <c r="G81" s="178" t="s">
        <v>887</v>
      </c>
      <c r="H81" s="178"/>
      <c r="I81" s="179"/>
      <c r="J81" s="287"/>
      <c r="K81" s="278" t="s">
        <v>928</v>
      </c>
      <c r="L81" s="278"/>
      <c r="M81" s="174" t="s">
        <v>65</v>
      </c>
      <c r="N81" s="39" t="s">
        <v>929</v>
      </c>
      <c r="O81" s="39"/>
      <c r="P81" s="39"/>
      <c r="Q81" s="39"/>
      <c r="R81" s="44" t="s">
        <v>851</v>
      </c>
      <c r="S81" s="44"/>
      <c r="T81" s="174"/>
      <c r="U81" s="174"/>
      <c r="V81" s="174"/>
      <c r="W81" s="174"/>
      <c r="X81" s="174"/>
      <c r="Y81" s="174"/>
      <c r="Z81" s="174"/>
      <c r="AA81" s="180"/>
      <c r="AB81" s="174"/>
      <c r="AC81" s="174"/>
      <c r="AD81" s="174"/>
      <c r="AE81" s="181"/>
      <c r="AF81" s="57"/>
      <c r="AG81" s="44"/>
      <c r="AH81" s="44"/>
      <c r="AI81" s="44"/>
      <c r="AJ81" s="44"/>
      <c r="AK81" s="44"/>
      <c r="AL81" s="44"/>
      <c r="AM81" s="44"/>
      <c r="AN81" s="44"/>
      <c r="AO81" s="44"/>
      <c r="AP81" s="44"/>
      <c r="AQ81" s="44"/>
      <c r="AR81" s="44"/>
      <c r="AS81" s="44"/>
    </row>
    <row r="82" spans="1:45" ht="57.75">
      <c r="A82" s="214"/>
      <c r="B82" s="280" t="s">
        <v>226</v>
      </c>
      <c r="C82" s="286" t="s">
        <v>927</v>
      </c>
      <c r="D82" s="289" t="s">
        <v>735</v>
      </c>
      <c r="E82" s="174">
        <v>2</v>
      </c>
      <c r="F82" s="240" t="str">
        <f>""&amp;Table12[[#This Row],[TTM Stage]]&amp;Table12[[#This Row],[Task No.]]&amp;"-"&amp;Table12[[#This Row],[Type of activity]]&amp;"-"&amp;Table12[[#This Row],[TargetGroup]]</f>
        <v>PC2-PA4 - E-Young</v>
      </c>
      <c r="G82" s="178" t="s">
        <v>828</v>
      </c>
      <c r="H82" s="178"/>
      <c r="I82" s="179"/>
      <c r="J82" s="287"/>
      <c r="K82" s="278" t="s">
        <v>930</v>
      </c>
      <c r="L82" s="278"/>
      <c r="M82" s="174" t="s">
        <v>65</v>
      </c>
      <c r="N82" s="39" t="s">
        <v>931</v>
      </c>
      <c r="O82" s="39"/>
      <c r="P82" s="39"/>
      <c r="Q82" s="39"/>
      <c r="R82" s="44"/>
      <c r="S82" s="44"/>
      <c r="T82" s="174"/>
      <c r="U82" s="174"/>
      <c r="V82" s="174"/>
      <c r="W82" s="174"/>
      <c r="X82" s="174"/>
      <c r="Y82" s="174"/>
      <c r="Z82" s="174"/>
      <c r="AA82" s="180"/>
      <c r="AB82" s="174"/>
      <c r="AC82" s="174"/>
      <c r="AD82" s="174"/>
      <c r="AE82" s="181"/>
      <c r="AF82" s="57"/>
      <c r="AG82" s="44"/>
      <c r="AH82" s="44"/>
      <c r="AI82" s="44"/>
      <c r="AJ82" s="44"/>
      <c r="AK82" s="44"/>
      <c r="AL82" s="44"/>
      <c r="AM82" s="44"/>
      <c r="AN82" s="44"/>
      <c r="AO82" s="44"/>
      <c r="AP82" s="44"/>
      <c r="AQ82" s="44"/>
      <c r="AR82" s="44"/>
      <c r="AS82" s="44"/>
    </row>
    <row r="83" spans="1:45" ht="43.5">
      <c r="A83" s="214"/>
      <c r="B83" s="285" t="s">
        <v>271</v>
      </c>
      <c r="C83" s="288" t="s">
        <v>292</v>
      </c>
      <c r="D83" s="177" t="s">
        <v>735</v>
      </c>
      <c r="E83" s="174">
        <v>1</v>
      </c>
      <c r="F83" s="240" t="str">
        <f>""&amp;Table12[[#This Row],[TTM Stage]]&amp;Table12[[#This Row],[Task No.]]&amp;"-"&amp;Table12[[#This Row],[Type of activity]]&amp;"-"&amp;Table12[[#This Row],[TargetGroup]]</f>
        <v>PC1-PA5-C-Young</v>
      </c>
      <c r="G83" s="178" t="s">
        <v>744</v>
      </c>
      <c r="H83" s="215" t="s">
        <v>932</v>
      </c>
      <c r="I83" s="179"/>
      <c r="J83" s="179"/>
      <c r="K83" s="272" t="s">
        <v>933</v>
      </c>
      <c r="L83" s="272"/>
      <c r="M83" s="174" t="s">
        <v>65</v>
      </c>
      <c r="N83" s="180" t="s">
        <v>934</v>
      </c>
      <c r="O83" s="180"/>
      <c r="P83" s="180"/>
      <c r="Q83" s="180"/>
      <c r="R83" s="180"/>
      <c r="S83" s="180"/>
      <c r="T83" s="174"/>
      <c r="U83" s="174"/>
      <c r="V83" s="174"/>
      <c r="W83" s="174"/>
      <c r="X83" s="174"/>
      <c r="Y83" s="174"/>
      <c r="Z83" s="174"/>
      <c r="AA83" s="180"/>
      <c r="AB83" s="174"/>
      <c r="AC83" s="174"/>
      <c r="AD83" s="174"/>
      <c r="AE83" s="181"/>
      <c r="AF83" s="57"/>
      <c r="AG83" s="44"/>
      <c r="AH83" s="44"/>
      <c r="AI83" s="44"/>
      <c r="AJ83" s="44"/>
      <c r="AK83" s="44"/>
      <c r="AL83" s="44"/>
      <c r="AM83" s="44"/>
      <c r="AN83" s="44"/>
      <c r="AO83" s="44"/>
      <c r="AP83" s="44"/>
      <c r="AQ83" s="44"/>
      <c r="AR83" s="44"/>
      <c r="AS83" s="44"/>
    </row>
    <row r="84" spans="1:45" ht="43.5">
      <c r="A84" s="214"/>
      <c r="B84" s="285" t="s">
        <v>271</v>
      </c>
      <c r="C84" s="288" t="s">
        <v>292</v>
      </c>
      <c r="D84" s="177" t="s">
        <v>735</v>
      </c>
      <c r="E84" s="174">
        <v>1</v>
      </c>
      <c r="F84" s="240" t="str">
        <f>""&amp;Table12[[#This Row],[TTM Stage]]&amp;Table12[[#This Row],[Task No.]]&amp;"-"&amp;Table12[[#This Row],[Type of activity]]&amp;"-"&amp;Table12[[#This Row],[TargetGroup]]</f>
        <v>PC1-PA5-C-Elderly</v>
      </c>
      <c r="G84" s="178" t="s">
        <v>744</v>
      </c>
      <c r="H84" s="215" t="s">
        <v>932</v>
      </c>
      <c r="I84" s="179"/>
      <c r="J84" s="179"/>
      <c r="K84" s="272" t="s">
        <v>933</v>
      </c>
      <c r="L84" s="272"/>
      <c r="M84" s="174" t="s">
        <v>68</v>
      </c>
      <c r="N84" s="180" t="s">
        <v>934</v>
      </c>
      <c r="O84" s="180"/>
      <c r="P84" s="180"/>
      <c r="Q84" s="180"/>
      <c r="R84" s="180"/>
      <c r="S84" s="180"/>
      <c r="T84" s="174"/>
      <c r="U84" s="174"/>
      <c r="V84" s="174"/>
      <c r="W84" s="174"/>
      <c r="X84" s="174"/>
      <c r="Y84" s="174"/>
      <c r="Z84" s="174"/>
      <c r="AA84" s="180"/>
      <c r="AB84" s="174"/>
      <c r="AC84" s="174"/>
      <c r="AD84" s="174"/>
      <c r="AE84" s="181"/>
      <c r="AF84" s="57"/>
      <c r="AG84" s="44"/>
      <c r="AH84" s="44"/>
      <c r="AI84" s="44"/>
      <c r="AJ84" s="44"/>
      <c r="AK84" s="44"/>
      <c r="AL84" s="44"/>
      <c r="AM84" s="44"/>
      <c r="AN84" s="44"/>
      <c r="AO84" s="44"/>
      <c r="AP84" s="44"/>
      <c r="AQ84" s="44"/>
      <c r="AR84" s="44"/>
      <c r="AS84" s="44"/>
    </row>
    <row r="85" spans="1:45" ht="101.25">
      <c r="A85" s="214"/>
      <c r="B85" s="285" t="s">
        <v>271</v>
      </c>
      <c r="C85" s="288" t="s">
        <v>292</v>
      </c>
      <c r="D85" s="177" t="s">
        <v>735</v>
      </c>
      <c r="E85" s="174">
        <v>2</v>
      </c>
      <c r="F85" s="240" t="str">
        <f>""&amp;Table12[[#This Row],[TTM Stage]]&amp;Table12[[#This Row],[Task No.]]&amp;"-"&amp;Table12[[#This Row],[Type of activity]]&amp;"-"&amp;Table12[[#This Row],[TargetGroup]]</f>
        <v>PC2-PA5-C-Young</v>
      </c>
      <c r="G85" s="178" t="s">
        <v>935</v>
      </c>
      <c r="H85" s="178" t="s">
        <v>932</v>
      </c>
      <c r="I85" s="179"/>
      <c r="J85" s="179"/>
      <c r="K85" s="272" t="s">
        <v>936</v>
      </c>
      <c r="L85" s="272"/>
      <c r="M85" s="174" t="s">
        <v>65</v>
      </c>
      <c r="N85" s="180" t="s">
        <v>937</v>
      </c>
      <c r="O85" s="180"/>
      <c r="P85" s="180"/>
      <c r="Q85" s="180"/>
      <c r="R85" s="180" t="s">
        <v>938</v>
      </c>
      <c r="S85" s="180"/>
      <c r="T85" s="174">
        <v>1</v>
      </c>
      <c r="U85" s="174">
        <v>1</v>
      </c>
      <c r="V85" s="174"/>
      <c r="W85" s="174"/>
      <c r="X85" s="174"/>
      <c r="Y85" s="174"/>
      <c r="Z85" s="174"/>
      <c r="AA85" s="180"/>
      <c r="AB85" s="174"/>
      <c r="AC85" s="174"/>
      <c r="AD85" s="174"/>
      <c r="AE85" s="181"/>
      <c r="AF85" s="57"/>
      <c r="AG85" s="44"/>
      <c r="AH85" s="44"/>
      <c r="AI85" s="44"/>
      <c r="AJ85" s="44"/>
      <c r="AK85" s="44"/>
      <c r="AL85" s="44"/>
      <c r="AM85" s="44"/>
      <c r="AN85" s="44"/>
      <c r="AO85" s="44"/>
      <c r="AP85" s="44"/>
      <c r="AQ85" s="44"/>
      <c r="AR85" s="44"/>
      <c r="AS85" s="44"/>
    </row>
    <row r="86" spans="1:45" ht="101.25">
      <c r="A86" s="214"/>
      <c r="B86" s="285" t="s">
        <v>271</v>
      </c>
      <c r="C86" s="288" t="s">
        <v>292</v>
      </c>
      <c r="D86" s="177" t="s">
        <v>735</v>
      </c>
      <c r="E86" s="174">
        <v>2</v>
      </c>
      <c r="F86" s="240" t="str">
        <f>""&amp;Table12[[#This Row],[TTM Stage]]&amp;Table12[[#This Row],[Task No.]]&amp;"-"&amp;Table12[[#This Row],[Type of activity]]&amp;"-"&amp;Table12[[#This Row],[TargetGroup]]</f>
        <v>PC2-PA5-C-Elderly</v>
      </c>
      <c r="G86" s="178" t="s">
        <v>935</v>
      </c>
      <c r="H86" s="178" t="s">
        <v>932</v>
      </c>
      <c r="I86" s="179"/>
      <c r="J86" s="179"/>
      <c r="K86" s="272" t="s">
        <v>936</v>
      </c>
      <c r="L86" s="272"/>
      <c r="M86" s="174" t="s">
        <v>68</v>
      </c>
      <c r="N86" s="180" t="s">
        <v>937</v>
      </c>
      <c r="O86" s="180"/>
      <c r="P86" s="180"/>
      <c r="Q86" s="180"/>
      <c r="R86" s="180" t="s">
        <v>938</v>
      </c>
      <c r="S86" s="180"/>
      <c r="T86" s="174">
        <v>1</v>
      </c>
      <c r="U86" s="174">
        <v>1</v>
      </c>
      <c r="V86" s="174"/>
      <c r="W86" s="174"/>
      <c r="X86" s="174"/>
      <c r="Y86" s="174"/>
      <c r="Z86" s="174"/>
      <c r="AA86" s="180"/>
      <c r="AB86" s="174"/>
      <c r="AC86" s="174"/>
      <c r="AD86" s="174"/>
      <c r="AE86" s="181"/>
      <c r="AF86" s="57"/>
      <c r="AG86" s="44"/>
      <c r="AH86" s="44"/>
      <c r="AI86" s="44"/>
      <c r="AJ86" s="44"/>
      <c r="AK86" s="44"/>
      <c r="AL86" s="44"/>
      <c r="AM86" s="44"/>
      <c r="AN86" s="44"/>
      <c r="AO86" s="44"/>
      <c r="AP86" s="44"/>
      <c r="AQ86" s="44"/>
      <c r="AR86" s="44"/>
      <c r="AS86" s="44"/>
    </row>
    <row r="87" spans="1:45" ht="29.25">
      <c r="A87" s="214"/>
      <c r="B87" s="285" t="s">
        <v>271</v>
      </c>
      <c r="C87" s="288" t="s">
        <v>292</v>
      </c>
      <c r="D87" s="182" t="s">
        <v>743</v>
      </c>
      <c r="E87" s="174">
        <v>1</v>
      </c>
      <c r="F87" s="240" t="str">
        <f>""&amp;Table12[[#This Row],[TTM Stage]]&amp;Table12[[#This Row],[Task No.]]&amp;"-"&amp;Table12[[#This Row],[Type of activity]]&amp;"-"&amp;Table12[[#This Row],[TargetGroup]]</f>
        <v>C1-PA5-C-Young</v>
      </c>
      <c r="G87" s="178" t="s">
        <v>744</v>
      </c>
      <c r="H87" s="178" t="s">
        <v>932</v>
      </c>
      <c r="I87" s="179"/>
      <c r="J87" s="179"/>
      <c r="K87" s="272" t="s">
        <v>939</v>
      </c>
      <c r="L87" s="272"/>
      <c r="M87" s="174" t="s">
        <v>65</v>
      </c>
      <c r="N87" s="180" t="s">
        <v>940</v>
      </c>
      <c r="O87" s="180"/>
      <c r="P87" s="180"/>
      <c r="Q87" s="180"/>
      <c r="R87" s="174"/>
      <c r="S87" s="174"/>
      <c r="T87" s="174"/>
      <c r="U87" s="174"/>
      <c r="V87" s="174"/>
      <c r="W87" s="174"/>
      <c r="X87" s="174"/>
      <c r="Y87" s="174"/>
      <c r="Z87" s="174"/>
      <c r="AA87" s="174"/>
      <c r="AB87" s="174"/>
      <c r="AC87" s="174"/>
      <c r="AD87" s="174"/>
      <c r="AE87" s="181"/>
      <c r="AF87" s="57"/>
      <c r="AG87" s="44"/>
      <c r="AH87" s="44"/>
      <c r="AI87" s="44"/>
      <c r="AJ87" s="44"/>
      <c r="AK87" s="44"/>
      <c r="AL87" s="44"/>
      <c r="AM87" s="44"/>
      <c r="AN87" s="44"/>
      <c r="AO87" s="44"/>
      <c r="AP87" s="44"/>
      <c r="AQ87" s="44"/>
      <c r="AR87" s="44"/>
      <c r="AS87" s="44"/>
    </row>
    <row r="88" spans="1:45" ht="29.25">
      <c r="A88" s="214"/>
      <c r="B88" s="285" t="s">
        <v>271</v>
      </c>
      <c r="C88" s="288" t="s">
        <v>941</v>
      </c>
      <c r="D88" s="182" t="s">
        <v>743</v>
      </c>
      <c r="E88" s="174">
        <v>1</v>
      </c>
      <c r="F88" s="240" t="str">
        <f>""&amp;Table12[[#This Row],[TTM Stage]]&amp;Table12[[#This Row],[Task No.]]&amp;"-"&amp;Table12[[#This Row],[Type of activity]]&amp;"-"&amp;Table12[[#This Row],[TargetGroup]]</f>
        <v>C1-PA5-E-Elderly</v>
      </c>
      <c r="G88" s="178" t="s">
        <v>744</v>
      </c>
      <c r="H88" s="178" t="s">
        <v>932</v>
      </c>
      <c r="I88" s="179"/>
      <c r="J88" s="179"/>
      <c r="K88" s="272" t="s">
        <v>939</v>
      </c>
      <c r="L88" s="272"/>
      <c r="M88" s="174" t="s">
        <v>68</v>
      </c>
      <c r="N88" s="180" t="s">
        <v>940</v>
      </c>
      <c r="O88" s="180"/>
      <c r="P88" s="180"/>
      <c r="Q88" s="180"/>
      <c r="R88" s="174"/>
      <c r="S88" s="174"/>
      <c r="T88" s="174"/>
      <c r="U88" s="174"/>
      <c r="V88" s="174"/>
      <c r="W88" s="174"/>
      <c r="X88" s="174"/>
      <c r="Y88" s="174"/>
      <c r="Z88" s="174"/>
      <c r="AA88" s="174"/>
      <c r="AB88" s="174"/>
      <c r="AC88" s="174"/>
      <c r="AD88" s="174"/>
      <c r="AE88" s="181"/>
      <c r="AF88" s="57"/>
      <c r="AG88" s="44"/>
      <c r="AH88" s="44"/>
      <c r="AI88" s="44"/>
      <c r="AJ88" s="44"/>
      <c r="AK88" s="44"/>
      <c r="AL88" s="44"/>
      <c r="AM88" s="44"/>
      <c r="AN88" s="44"/>
      <c r="AO88" s="44"/>
      <c r="AP88" s="44"/>
      <c r="AQ88" s="44"/>
      <c r="AR88" s="44"/>
      <c r="AS88" s="44"/>
    </row>
    <row r="89" spans="1:45" ht="159">
      <c r="A89" s="214"/>
      <c r="B89" s="301" t="s">
        <v>271</v>
      </c>
      <c r="C89" s="302" t="s">
        <v>292</v>
      </c>
      <c r="D89" s="303" t="s">
        <v>743</v>
      </c>
      <c r="E89" s="304">
        <v>2</v>
      </c>
      <c r="F89" s="240" t="str">
        <f>""&amp;Table12[[#This Row],[TTM Stage]]&amp;Table12[[#This Row],[Task No.]]&amp;"-"&amp;Table12[[#This Row],[Type of activity]]&amp;"-"&amp;Table12[[#This Row],[TargetGroup]]</f>
        <v>C2-PA5-C-Young</v>
      </c>
      <c r="G89" s="305" t="s">
        <v>736</v>
      </c>
      <c r="H89" s="305"/>
      <c r="I89" s="306"/>
      <c r="J89" s="306"/>
      <c r="K89" s="307" t="s">
        <v>942</v>
      </c>
      <c r="L89" s="307"/>
      <c r="M89" s="308" t="s">
        <v>65</v>
      </c>
      <c r="N89" s="309" t="s">
        <v>943</v>
      </c>
      <c r="O89" s="309"/>
      <c r="P89" s="309"/>
      <c r="Q89" s="309"/>
      <c r="R89" s="309" t="s">
        <v>944</v>
      </c>
      <c r="S89" s="309"/>
      <c r="T89" s="304"/>
      <c r="U89" s="304"/>
      <c r="V89" s="174"/>
      <c r="W89" s="174"/>
      <c r="X89" s="174"/>
      <c r="Y89" s="174"/>
      <c r="Z89" s="174"/>
      <c r="AA89" s="174"/>
      <c r="AB89" s="174"/>
      <c r="AC89" s="174"/>
      <c r="AD89" s="174"/>
      <c r="AE89" s="181"/>
      <c r="AF89" s="57"/>
      <c r="AG89" s="44"/>
      <c r="AH89" s="44"/>
      <c r="AI89" s="44"/>
      <c r="AJ89" s="44"/>
      <c r="AK89" s="44"/>
      <c r="AL89" s="44"/>
      <c r="AM89" s="44"/>
      <c r="AN89" s="44"/>
      <c r="AO89" s="44"/>
      <c r="AP89" s="44"/>
      <c r="AQ89" s="44"/>
      <c r="AR89" s="44"/>
      <c r="AS89" s="44"/>
    </row>
    <row r="90" spans="1:45" ht="159">
      <c r="A90" s="214"/>
      <c r="B90" s="301" t="s">
        <v>271</v>
      </c>
      <c r="C90" s="302" t="s">
        <v>292</v>
      </c>
      <c r="D90" s="303" t="s">
        <v>743</v>
      </c>
      <c r="E90" s="304">
        <v>2</v>
      </c>
      <c r="F90" s="240" t="str">
        <f>""&amp;Table12[[#This Row],[TTM Stage]]&amp;Table12[[#This Row],[Task No.]]&amp;"-"&amp;Table12[[#This Row],[Type of activity]]&amp;"-"&amp;Table12[[#This Row],[TargetGroup]]</f>
        <v>C2-PA5-C-Elderly</v>
      </c>
      <c r="G90" s="305" t="s">
        <v>736</v>
      </c>
      <c r="H90" s="305"/>
      <c r="I90" s="306"/>
      <c r="J90" s="306"/>
      <c r="K90" s="307" t="s">
        <v>942</v>
      </c>
      <c r="L90" s="307"/>
      <c r="M90" s="308" t="s">
        <v>68</v>
      </c>
      <c r="N90" s="309" t="s">
        <v>943</v>
      </c>
      <c r="O90" s="309"/>
      <c r="P90" s="309"/>
      <c r="Q90" s="309"/>
      <c r="R90" s="309" t="s">
        <v>944</v>
      </c>
      <c r="S90" s="309"/>
      <c r="T90" s="304"/>
      <c r="U90" s="304"/>
      <c r="V90" s="174"/>
      <c r="W90" s="174"/>
      <c r="X90" s="174"/>
      <c r="Y90" s="174"/>
      <c r="Z90" s="174"/>
      <c r="AA90" s="174"/>
      <c r="AB90" s="174"/>
      <c r="AC90" s="174"/>
      <c r="AD90" s="174"/>
      <c r="AE90" s="181"/>
      <c r="AF90" s="57"/>
      <c r="AG90" s="44"/>
      <c r="AH90" s="44"/>
      <c r="AI90" s="44"/>
      <c r="AJ90" s="44"/>
      <c r="AK90" s="44"/>
      <c r="AL90" s="44"/>
      <c r="AM90" s="44"/>
      <c r="AN90" s="44"/>
      <c r="AO90" s="44"/>
      <c r="AP90" s="44"/>
      <c r="AQ90" s="44"/>
      <c r="AR90" s="44"/>
      <c r="AS90" s="44"/>
    </row>
    <row r="91" spans="1:45" ht="29.25">
      <c r="A91" s="214"/>
      <c r="B91" s="285" t="s">
        <v>271</v>
      </c>
      <c r="C91" s="288" t="s">
        <v>292</v>
      </c>
      <c r="D91" s="183" t="s">
        <v>750</v>
      </c>
      <c r="E91" s="174">
        <v>1</v>
      </c>
      <c r="F91" s="240" t="str">
        <f>""&amp;Table12[[#This Row],[TTM Stage]]&amp;Table12[[#This Row],[Task No.]]&amp;"-"&amp;Table12[[#This Row],[Type of activity]]&amp;"-"&amp;Table12[[#This Row],[TargetGroup]]</f>
        <v>P1-PA5-C-Young</v>
      </c>
      <c r="G91" s="178" t="s">
        <v>945</v>
      </c>
      <c r="H91" s="178" t="s">
        <v>932</v>
      </c>
      <c r="I91" s="178"/>
      <c r="J91" s="178"/>
      <c r="K91" s="272" t="s">
        <v>946</v>
      </c>
      <c r="L91" s="272"/>
      <c r="M91" s="174" t="s">
        <v>65</v>
      </c>
      <c r="N91" s="180" t="s">
        <v>947</v>
      </c>
      <c r="O91" s="180"/>
      <c r="P91" s="180"/>
      <c r="Q91" s="180"/>
      <c r="R91" s="174" t="s">
        <v>948</v>
      </c>
      <c r="S91" s="174"/>
      <c r="T91" s="174">
        <v>1</v>
      </c>
      <c r="U91" s="174">
        <v>1</v>
      </c>
      <c r="V91" s="174"/>
      <c r="W91" s="174"/>
      <c r="X91" s="174" t="s">
        <v>755</v>
      </c>
      <c r="Y91" s="174"/>
      <c r="Z91" s="174"/>
      <c r="AA91" s="174"/>
      <c r="AB91" s="174"/>
      <c r="AC91" s="174"/>
      <c r="AD91" s="174"/>
      <c r="AE91" s="181"/>
      <c r="AF91" s="57"/>
      <c r="AG91" s="44"/>
      <c r="AH91" s="44"/>
      <c r="AI91" s="44"/>
      <c r="AJ91" s="44"/>
      <c r="AK91" s="44"/>
      <c r="AL91" s="44"/>
      <c r="AM91" s="44"/>
      <c r="AN91" s="44"/>
      <c r="AO91" s="44"/>
      <c r="AP91" s="44"/>
      <c r="AQ91" s="44"/>
      <c r="AR91" s="44"/>
      <c r="AS91" s="44"/>
    </row>
    <row r="92" spans="1:45" ht="29.25">
      <c r="A92" s="214"/>
      <c r="B92" s="285" t="s">
        <v>271</v>
      </c>
      <c r="C92" s="288" t="s">
        <v>292</v>
      </c>
      <c r="D92" s="183" t="s">
        <v>750</v>
      </c>
      <c r="E92" s="174">
        <v>1</v>
      </c>
      <c r="F92" s="240" t="str">
        <f>""&amp;Table12[[#This Row],[TTM Stage]]&amp;Table12[[#This Row],[Task No.]]&amp;"-"&amp;Table12[[#This Row],[Type of activity]]&amp;"-"&amp;Table12[[#This Row],[TargetGroup]]</f>
        <v>P1-PA5-C-Elderly</v>
      </c>
      <c r="G92" s="178" t="s">
        <v>945</v>
      </c>
      <c r="H92" s="178" t="s">
        <v>932</v>
      </c>
      <c r="I92" s="178"/>
      <c r="J92" s="178"/>
      <c r="K92" s="272" t="s">
        <v>946</v>
      </c>
      <c r="L92" s="272"/>
      <c r="M92" s="174" t="s">
        <v>68</v>
      </c>
      <c r="N92" s="180" t="s">
        <v>947</v>
      </c>
      <c r="O92" s="180"/>
      <c r="P92" s="180"/>
      <c r="Q92" s="180"/>
      <c r="R92" s="174" t="s">
        <v>948</v>
      </c>
      <c r="S92" s="174"/>
      <c r="T92" s="174">
        <v>1</v>
      </c>
      <c r="U92" s="174">
        <v>1</v>
      </c>
      <c r="V92" s="174"/>
      <c r="W92" s="174"/>
      <c r="X92" s="174" t="s">
        <v>755</v>
      </c>
      <c r="Y92" s="174"/>
      <c r="Z92" s="174"/>
      <c r="AA92" s="174"/>
      <c r="AB92" s="174"/>
      <c r="AC92" s="174"/>
      <c r="AD92" s="174"/>
      <c r="AE92" s="181"/>
      <c r="AF92" s="57"/>
      <c r="AG92" s="44"/>
      <c r="AH92" s="44"/>
      <c r="AI92" s="44"/>
      <c r="AJ92" s="44"/>
      <c r="AK92" s="44"/>
      <c r="AL92" s="44"/>
      <c r="AM92" s="44"/>
      <c r="AN92" s="44"/>
      <c r="AO92" s="44"/>
      <c r="AP92" s="44"/>
      <c r="AQ92" s="44"/>
      <c r="AR92" s="44"/>
      <c r="AS92" s="44"/>
    </row>
    <row r="93" spans="1:45" ht="174">
      <c r="A93" s="214"/>
      <c r="B93" s="301" t="s">
        <v>271</v>
      </c>
      <c r="C93" s="302" t="s">
        <v>292</v>
      </c>
      <c r="D93" s="316" t="s">
        <v>764</v>
      </c>
      <c r="E93" s="304">
        <v>1</v>
      </c>
      <c r="F93" s="240" t="str">
        <f>""&amp;Table12[[#This Row],[TTM Stage]]&amp;Table12[[#This Row],[Task No.]]&amp;"-"&amp;Table12[[#This Row],[Type of activity]]&amp;"-"&amp;Table12[[#This Row],[TargetGroup]]</f>
        <v>A1-PA5-C-Young</v>
      </c>
      <c r="G93" s="305" t="s">
        <v>809</v>
      </c>
      <c r="H93" s="305"/>
      <c r="I93" s="305" t="s">
        <v>949</v>
      </c>
      <c r="J93" s="305"/>
      <c r="K93" s="317" t="s">
        <v>950</v>
      </c>
      <c r="L93" s="317"/>
      <c r="M93" s="309" t="s">
        <v>65</v>
      </c>
      <c r="N93" s="309" t="s">
        <v>951</v>
      </c>
      <c r="O93" s="309"/>
      <c r="P93" s="309"/>
      <c r="Q93" s="309"/>
      <c r="R93" s="309" t="s">
        <v>952</v>
      </c>
      <c r="S93" s="309"/>
      <c r="T93" s="304" t="s">
        <v>768</v>
      </c>
      <c r="U93" s="304" t="s">
        <v>768</v>
      </c>
      <c r="V93" s="304" t="s">
        <v>953</v>
      </c>
      <c r="W93" s="304"/>
      <c r="X93" s="304"/>
      <c r="Y93" s="304"/>
      <c r="Z93" s="304"/>
      <c r="AA93" s="174"/>
      <c r="AB93" s="174"/>
      <c r="AC93" s="174"/>
      <c r="AD93" s="174"/>
      <c r="AE93" s="181"/>
      <c r="AF93" s="57"/>
      <c r="AG93" s="44"/>
      <c r="AH93" s="44"/>
      <c r="AI93" s="44"/>
      <c r="AJ93" s="44"/>
      <c r="AK93" s="44"/>
      <c r="AL93" s="44"/>
      <c r="AM93" s="44"/>
      <c r="AN93" s="44"/>
      <c r="AO93" s="44"/>
      <c r="AP93" s="44"/>
      <c r="AQ93" s="44"/>
      <c r="AR93" s="44"/>
      <c r="AS93" s="44"/>
    </row>
    <row r="94" spans="1:45" ht="174">
      <c r="A94" s="214"/>
      <c r="B94" s="301" t="s">
        <v>271</v>
      </c>
      <c r="C94" s="302" t="s">
        <v>292</v>
      </c>
      <c r="D94" s="316" t="s">
        <v>764</v>
      </c>
      <c r="E94" s="304">
        <v>1</v>
      </c>
      <c r="F94" s="240" t="str">
        <f>""&amp;Table12[[#This Row],[TTM Stage]]&amp;Table12[[#This Row],[Task No.]]&amp;"-"&amp;Table12[[#This Row],[Type of activity]]&amp;"-"&amp;Table12[[#This Row],[TargetGroup]]</f>
        <v>A1-PA5-C-Elderly</v>
      </c>
      <c r="G94" s="305" t="s">
        <v>809</v>
      </c>
      <c r="H94" s="305"/>
      <c r="I94" s="318" t="s">
        <v>949</v>
      </c>
      <c r="J94" s="306"/>
      <c r="K94" s="307" t="s">
        <v>950</v>
      </c>
      <c r="L94" s="307"/>
      <c r="M94" s="309" t="s">
        <v>68</v>
      </c>
      <c r="N94" s="309" t="s">
        <v>954</v>
      </c>
      <c r="O94" s="309"/>
      <c r="P94" s="309"/>
      <c r="Q94" s="309"/>
      <c r="R94" s="309" t="s">
        <v>952</v>
      </c>
      <c r="S94" s="309"/>
      <c r="T94" s="304" t="s">
        <v>768</v>
      </c>
      <c r="U94" s="304" t="s">
        <v>768</v>
      </c>
      <c r="V94" s="304" t="s">
        <v>953</v>
      </c>
      <c r="W94" s="304"/>
      <c r="X94" s="304"/>
      <c r="Y94" s="304"/>
      <c r="Z94" s="304"/>
      <c r="AA94" s="174"/>
      <c r="AB94" s="174"/>
      <c r="AC94" s="174"/>
      <c r="AD94" s="174"/>
      <c r="AE94" s="181"/>
      <c r="AF94" s="57"/>
      <c r="AG94" s="44"/>
      <c r="AH94" s="44"/>
      <c r="AI94" s="44"/>
      <c r="AJ94" s="44"/>
      <c r="AK94" s="44"/>
      <c r="AL94" s="44"/>
      <c r="AM94" s="44"/>
      <c r="AN94" s="44"/>
      <c r="AO94" s="44"/>
      <c r="AP94" s="44"/>
      <c r="AQ94" s="44"/>
      <c r="AR94" s="44"/>
      <c r="AS94" s="44"/>
    </row>
    <row r="95" spans="1:45" ht="159">
      <c r="A95" s="214"/>
      <c r="B95" s="301" t="s">
        <v>271</v>
      </c>
      <c r="C95" s="302" t="s">
        <v>292</v>
      </c>
      <c r="D95" s="316" t="s">
        <v>764</v>
      </c>
      <c r="E95" s="304">
        <v>2</v>
      </c>
      <c r="F95" s="240" t="str">
        <f>""&amp;Table12[[#This Row],[TTM Stage]]&amp;Table12[[#This Row],[Task No.]]&amp;"-"&amp;Table12[[#This Row],[Type of activity]]&amp;"-"&amp;Table12[[#This Row],[TargetGroup]]</f>
        <v>A2-PA5-C-Young</v>
      </c>
      <c r="G95" s="305" t="s">
        <v>809</v>
      </c>
      <c r="H95" s="305"/>
      <c r="I95" s="318" t="s">
        <v>949</v>
      </c>
      <c r="J95" s="306"/>
      <c r="K95" s="307" t="s">
        <v>955</v>
      </c>
      <c r="L95" s="307"/>
      <c r="M95" s="309" t="s">
        <v>65</v>
      </c>
      <c r="N95" s="309" t="s">
        <v>956</v>
      </c>
      <c r="O95" s="309"/>
      <c r="P95" s="309"/>
      <c r="Q95" s="309"/>
      <c r="R95" s="309" t="s">
        <v>957</v>
      </c>
      <c r="S95" s="309"/>
      <c r="T95" s="304" t="s">
        <v>768</v>
      </c>
      <c r="U95" s="304" t="s">
        <v>768</v>
      </c>
      <c r="V95" s="304"/>
      <c r="W95" s="304"/>
      <c r="X95" s="304"/>
      <c r="Y95" s="304"/>
      <c r="Z95" s="304"/>
      <c r="AA95" s="174"/>
      <c r="AB95" s="174"/>
      <c r="AC95" s="174"/>
      <c r="AD95" s="174"/>
      <c r="AE95" s="181"/>
      <c r="AF95" s="57"/>
      <c r="AG95" s="44"/>
      <c r="AH95" s="44"/>
      <c r="AI95" s="44"/>
      <c r="AJ95" s="44"/>
      <c r="AK95" s="44"/>
      <c r="AL95" s="44"/>
      <c r="AM95" s="44"/>
      <c r="AN95" s="44"/>
      <c r="AO95" s="44"/>
      <c r="AP95" s="44"/>
      <c r="AQ95" s="44"/>
      <c r="AR95" s="44"/>
      <c r="AS95" s="44"/>
    </row>
    <row r="96" spans="1:45" ht="159">
      <c r="A96" s="214"/>
      <c r="B96" s="285" t="s">
        <v>271</v>
      </c>
      <c r="C96" s="298" t="s">
        <v>292</v>
      </c>
      <c r="D96" s="184" t="s">
        <v>764</v>
      </c>
      <c r="E96" s="310">
        <v>2</v>
      </c>
      <c r="F96" s="299" t="str">
        <f>""&amp;Table12[[#This Row],[TTM Stage]]&amp;Table12[[#This Row],[Task No.]]&amp;"-"&amp;Table12[[#This Row],[Type of activity]]&amp;"-"&amp;Table12[[#This Row],[TargetGroup]]</f>
        <v>A2-PA5-C-Elderly</v>
      </c>
      <c r="G96" s="311" t="s">
        <v>809</v>
      </c>
      <c r="H96" s="311"/>
      <c r="I96" s="312" t="s">
        <v>949</v>
      </c>
      <c r="J96" s="313"/>
      <c r="K96" s="272" t="s">
        <v>955</v>
      </c>
      <c r="L96" s="429"/>
      <c r="M96" s="300" t="s">
        <v>68</v>
      </c>
      <c r="N96" s="315" t="s">
        <v>958</v>
      </c>
      <c r="O96" s="315"/>
      <c r="P96" s="315"/>
      <c r="Q96" s="315"/>
      <c r="R96" s="315" t="s">
        <v>959</v>
      </c>
      <c r="S96" s="315"/>
      <c r="T96" s="310" t="s">
        <v>768</v>
      </c>
      <c r="U96" s="310" t="s">
        <v>768</v>
      </c>
      <c r="V96" s="310"/>
      <c r="W96" s="310"/>
      <c r="X96" s="310"/>
      <c r="Y96" s="310"/>
      <c r="Z96" s="310"/>
      <c r="AA96" s="174"/>
      <c r="AB96" s="174"/>
      <c r="AC96" s="174"/>
      <c r="AD96" s="174"/>
      <c r="AE96" s="181"/>
      <c r="AF96" s="44"/>
      <c r="AG96" s="44"/>
      <c r="AH96" s="44"/>
      <c r="AI96" s="44"/>
      <c r="AJ96" s="44"/>
      <c r="AK96" s="44"/>
      <c r="AL96" s="44"/>
      <c r="AM96" s="44"/>
      <c r="AN96" s="44"/>
      <c r="AO96" s="44"/>
      <c r="AP96" s="44"/>
      <c r="AQ96" s="44"/>
      <c r="AR96" s="44"/>
      <c r="AS96" s="44"/>
    </row>
    <row r="97" spans="1:45" ht="159">
      <c r="A97" s="214"/>
      <c r="B97" s="285" t="s">
        <v>271</v>
      </c>
      <c r="C97" s="298" t="s">
        <v>292</v>
      </c>
      <c r="D97" s="184" t="s">
        <v>764</v>
      </c>
      <c r="E97" s="310">
        <v>3</v>
      </c>
      <c r="F97" s="299" t="str">
        <f>""&amp;Table12[[#This Row],[TTM Stage]]&amp;Table12[[#This Row],[Task No.]]&amp;"-"&amp;Table12[[#This Row],[Type of activity]]&amp;"-"&amp;Table12[[#This Row],[TargetGroup]]</f>
        <v>A3-PA5-C-Young</v>
      </c>
      <c r="G97" s="311" t="s">
        <v>809</v>
      </c>
      <c r="H97" s="311"/>
      <c r="I97" s="312" t="s">
        <v>949</v>
      </c>
      <c r="J97" s="313"/>
      <c r="K97" s="272" t="s">
        <v>955</v>
      </c>
      <c r="L97" s="429"/>
      <c r="M97" s="300" t="s">
        <v>65</v>
      </c>
      <c r="N97" s="315" t="s">
        <v>960</v>
      </c>
      <c r="O97" s="315"/>
      <c r="P97" s="315"/>
      <c r="Q97" s="315"/>
      <c r="R97" s="315" t="s">
        <v>961</v>
      </c>
      <c r="S97" s="315"/>
      <c r="T97" s="310" t="s">
        <v>768</v>
      </c>
      <c r="U97" s="310" t="s">
        <v>768</v>
      </c>
      <c r="V97" s="310"/>
      <c r="W97" s="310"/>
      <c r="X97" s="310"/>
      <c r="Y97" s="310"/>
      <c r="Z97" s="310"/>
      <c r="AA97" s="174"/>
      <c r="AB97" s="174"/>
      <c r="AC97" s="174"/>
      <c r="AD97" s="174"/>
      <c r="AE97" s="181"/>
      <c r="AF97" s="44"/>
      <c r="AG97" s="44"/>
      <c r="AH97" s="44"/>
      <c r="AI97" s="44"/>
      <c r="AJ97" s="44"/>
      <c r="AK97" s="44"/>
      <c r="AL97" s="44"/>
      <c r="AM97" s="44"/>
      <c r="AN97" s="44"/>
      <c r="AO97" s="44"/>
      <c r="AP97" s="44"/>
      <c r="AQ97" s="44"/>
      <c r="AR97" s="44"/>
      <c r="AS97" s="44"/>
    </row>
    <row r="98" spans="1:45" ht="159">
      <c r="A98" s="214"/>
      <c r="B98" s="285" t="s">
        <v>271</v>
      </c>
      <c r="C98" s="298" t="s">
        <v>292</v>
      </c>
      <c r="D98" s="184" t="s">
        <v>764</v>
      </c>
      <c r="E98" s="310">
        <v>3</v>
      </c>
      <c r="F98" s="299" t="str">
        <f>""&amp;Table12[[#This Row],[TTM Stage]]&amp;Table12[[#This Row],[Task No.]]&amp;"-"&amp;Table12[[#This Row],[Type of activity]]&amp;"-"&amp;Table12[[#This Row],[TargetGroup]]</f>
        <v>A3-PA5-C-Elderly</v>
      </c>
      <c r="G98" s="311" t="s">
        <v>809</v>
      </c>
      <c r="H98" s="311"/>
      <c r="I98" s="312" t="s">
        <v>949</v>
      </c>
      <c r="J98" s="313"/>
      <c r="K98" s="272" t="s">
        <v>955</v>
      </c>
      <c r="L98" s="429"/>
      <c r="M98" s="300" t="s">
        <v>68</v>
      </c>
      <c r="N98" s="315" t="s">
        <v>962</v>
      </c>
      <c r="O98" s="315"/>
      <c r="P98" s="315"/>
      <c r="Q98" s="315"/>
      <c r="R98" s="315" t="s">
        <v>957</v>
      </c>
      <c r="S98" s="315"/>
      <c r="T98" s="310" t="s">
        <v>768</v>
      </c>
      <c r="U98" s="310" t="s">
        <v>768</v>
      </c>
      <c r="V98" s="310"/>
      <c r="W98" s="310"/>
      <c r="X98" s="310"/>
      <c r="Y98" s="310"/>
      <c r="Z98" s="310"/>
      <c r="AA98" s="174"/>
      <c r="AB98" s="174"/>
      <c r="AC98" s="174"/>
      <c r="AD98" s="174"/>
      <c r="AE98" s="181"/>
      <c r="AF98" s="44"/>
      <c r="AG98" s="44"/>
      <c r="AH98" s="44"/>
      <c r="AI98" s="44"/>
      <c r="AJ98" s="44"/>
      <c r="AK98" s="44"/>
      <c r="AL98" s="44"/>
      <c r="AM98" s="44"/>
      <c r="AN98" s="44"/>
      <c r="AO98" s="44"/>
      <c r="AP98" s="44"/>
      <c r="AQ98" s="44"/>
      <c r="AR98" s="44"/>
      <c r="AS98" s="44"/>
    </row>
    <row r="99" spans="1:45" ht="159">
      <c r="A99" s="214"/>
      <c r="B99" s="285" t="s">
        <v>271</v>
      </c>
      <c r="C99" s="298" t="s">
        <v>292</v>
      </c>
      <c r="D99" s="184" t="s">
        <v>764</v>
      </c>
      <c r="E99" s="310">
        <v>4</v>
      </c>
      <c r="F99" s="299" t="str">
        <f>""&amp;Table12[[#This Row],[TTM Stage]]&amp;Table12[[#This Row],[Task No.]]&amp;"-"&amp;Table12[[#This Row],[Type of activity]]&amp;"-"&amp;Table12[[#This Row],[TargetGroup]]</f>
        <v>A4-PA5-C-Young</v>
      </c>
      <c r="G99" s="311" t="s">
        <v>809</v>
      </c>
      <c r="H99" s="311"/>
      <c r="I99" s="312" t="s">
        <v>949</v>
      </c>
      <c r="J99" s="313"/>
      <c r="K99" s="272"/>
      <c r="L99" s="429"/>
      <c r="M99" s="300" t="s">
        <v>65</v>
      </c>
      <c r="N99" s="315" t="s">
        <v>963</v>
      </c>
      <c r="O99" s="315"/>
      <c r="P99" s="315"/>
      <c r="Q99" s="315"/>
      <c r="R99" s="315" t="s">
        <v>964</v>
      </c>
      <c r="S99" s="315"/>
      <c r="T99" s="310"/>
      <c r="U99" s="310"/>
      <c r="V99" s="310"/>
      <c r="W99" s="310"/>
      <c r="X99" s="310"/>
      <c r="Y99" s="310"/>
      <c r="Z99" s="310"/>
      <c r="AA99" s="174"/>
      <c r="AB99" s="174"/>
      <c r="AC99" s="174"/>
      <c r="AD99" s="174"/>
      <c r="AE99" s="181"/>
      <c r="AF99" s="44"/>
      <c r="AG99" s="44"/>
      <c r="AH99" s="44"/>
      <c r="AI99" s="44"/>
      <c r="AJ99" s="44"/>
      <c r="AK99" s="44"/>
      <c r="AL99" s="44"/>
      <c r="AM99" s="44"/>
      <c r="AN99" s="44"/>
      <c r="AO99" s="44"/>
      <c r="AP99" s="44"/>
      <c r="AQ99" s="44"/>
      <c r="AR99" s="44"/>
      <c r="AS99" s="44"/>
    </row>
    <row r="100" spans="1:45" ht="159">
      <c r="A100" s="214"/>
      <c r="B100" s="285" t="s">
        <v>271</v>
      </c>
      <c r="C100" s="298" t="s">
        <v>292</v>
      </c>
      <c r="D100" s="184" t="s">
        <v>764</v>
      </c>
      <c r="E100" s="310">
        <v>4</v>
      </c>
      <c r="F100" s="299" t="str">
        <f>""&amp;Table12[[#This Row],[TTM Stage]]&amp;Table12[[#This Row],[Task No.]]&amp;"-"&amp;Table12[[#This Row],[Type of activity]]&amp;"-"&amp;Table12[[#This Row],[TargetGroup]]</f>
        <v>A4-PA5-C-Elderly</v>
      </c>
      <c r="G100" s="311" t="s">
        <v>809</v>
      </c>
      <c r="H100" s="311"/>
      <c r="I100" s="312" t="s">
        <v>949</v>
      </c>
      <c r="J100" s="313"/>
      <c r="K100" s="272"/>
      <c r="L100" s="429"/>
      <c r="M100" s="300" t="s">
        <v>68</v>
      </c>
      <c r="N100" s="315" t="s">
        <v>960</v>
      </c>
      <c r="O100" s="315"/>
      <c r="P100" s="315"/>
      <c r="Q100" s="315"/>
      <c r="R100" s="315" t="s">
        <v>964</v>
      </c>
      <c r="S100" s="315"/>
      <c r="T100" s="310"/>
      <c r="U100" s="310"/>
      <c r="V100" s="310"/>
      <c r="W100" s="310"/>
      <c r="X100" s="310"/>
      <c r="Y100" s="310"/>
      <c r="Z100" s="310"/>
      <c r="AA100" s="174"/>
      <c r="AB100" s="174"/>
      <c r="AC100" s="174"/>
      <c r="AD100" s="174"/>
      <c r="AE100" s="181"/>
      <c r="AF100" s="44"/>
      <c r="AG100" s="44"/>
      <c r="AH100" s="44"/>
      <c r="AI100" s="44"/>
      <c r="AJ100" s="44"/>
      <c r="AK100" s="44"/>
      <c r="AL100" s="44"/>
      <c r="AM100" s="44"/>
      <c r="AN100" s="44"/>
      <c r="AO100" s="44"/>
      <c r="AP100" s="44"/>
      <c r="AQ100" s="44"/>
      <c r="AR100" s="44"/>
      <c r="AS100" s="44"/>
    </row>
    <row r="101" spans="1:45" ht="159">
      <c r="A101" s="214"/>
      <c r="B101" s="319" t="s">
        <v>271</v>
      </c>
      <c r="C101" s="320" t="s">
        <v>292</v>
      </c>
      <c r="D101" s="310" t="s">
        <v>778</v>
      </c>
      <c r="E101" s="310">
        <v>1</v>
      </c>
      <c r="F101" s="299" t="s">
        <v>965</v>
      </c>
      <c r="G101" s="311" t="s">
        <v>809</v>
      </c>
      <c r="H101" s="311"/>
      <c r="I101" s="312" t="s">
        <v>949</v>
      </c>
      <c r="J101" s="313"/>
      <c r="K101" s="272" t="s">
        <v>966</v>
      </c>
      <c r="L101" s="429"/>
      <c r="M101" s="300" t="s">
        <v>65</v>
      </c>
      <c r="N101" s="315" t="s">
        <v>967</v>
      </c>
      <c r="O101" s="315"/>
      <c r="P101" s="315"/>
      <c r="Q101" s="315"/>
      <c r="R101" s="315" t="s">
        <v>959</v>
      </c>
      <c r="S101" s="315"/>
      <c r="T101" s="310">
        <v>3</v>
      </c>
      <c r="U101" s="310">
        <v>7</v>
      </c>
      <c r="V101" s="310"/>
      <c r="W101" s="310"/>
      <c r="X101" s="310"/>
      <c r="Y101" s="310"/>
      <c r="Z101" s="310"/>
      <c r="AA101" s="174"/>
      <c r="AB101" s="174"/>
      <c r="AC101" s="174"/>
      <c r="AD101" s="174"/>
      <c r="AE101" s="181"/>
      <c r="AF101" s="44"/>
      <c r="AG101" s="44"/>
      <c r="AH101" s="44"/>
      <c r="AI101" s="44"/>
      <c r="AJ101" s="44"/>
      <c r="AK101" s="44"/>
      <c r="AL101" s="44"/>
      <c r="AM101" s="44"/>
      <c r="AN101" s="44"/>
      <c r="AO101" s="44"/>
      <c r="AP101" s="44"/>
      <c r="AQ101" s="44"/>
      <c r="AR101" s="44"/>
      <c r="AS101" s="44"/>
    </row>
    <row r="102" spans="1:45" ht="216.75">
      <c r="A102" s="214"/>
      <c r="B102" s="319" t="s">
        <v>271</v>
      </c>
      <c r="C102" s="320" t="s">
        <v>292</v>
      </c>
      <c r="D102" s="310" t="s">
        <v>778</v>
      </c>
      <c r="E102" s="310">
        <v>1</v>
      </c>
      <c r="F102" s="299" t="s">
        <v>968</v>
      </c>
      <c r="G102" s="311" t="s">
        <v>809</v>
      </c>
      <c r="H102" s="311"/>
      <c r="I102" s="312" t="s">
        <v>949</v>
      </c>
      <c r="J102" s="313"/>
      <c r="K102" s="272" t="s">
        <v>966</v>
      </c>
      <c r="L102" s="429"/>
      <c r="M102" s="300" t="s">
        <v>68</v>
      </c>
      <c r="N102" s="315" t="s">
        <v>969</v>
      </c>
      <c r="O102" s="315"/>
      <c r="P102" s="315"/>
      <c r="Q102" s="315"/>
      <c r="R102" s="315" t="s">
        <v>970</v>
      </c>
      <c r="S102" s="315"/>
      <c r="T102" s="310">
        <v>3</v>
      </c>
      <c r="U102" s="310">
        <v>7</v>
      </c>
      <c r="V102" s="310"/>
      <c r="W102" s="310"/>
      <c r="X102" s="310"/>
      <c r="Y102" s="310"/>
      <c r="Z102" s="310"/>
      <c r="AA102" s="174"/>
      <c r="AB102" s="174"/>
      <c r="AC102" s="174"/>
      <c r="AD102" s="174"/>
      <c r="AE102" s="181"/>
      <c r="AF102" s="44"/>
      <c r="AG102" s="44"/>
      <c r="AH102" s="44"/>
      <c r="AI102" s="44"/>
      <c r="AJ102" s="44"/>
      <c r="AK102" s="44"/>
      <c r="AL102" s="44"/>
      <c r="AM102" s="44"/>
      <c r="AN102" s="44"/>
      <c r="AO102" s="44"/>
      <c r="AP102" s="44"/>
      <c r="AQ102" s="44"/>
      <c r="AR102" s="44"/>
      <c r="AS102" s="44"/>
    </row>
    <row r="103" spans="1:45" ht="216.75">
      <c r="A103" s="214"/>
      <c r="B103" s="319" t="s">
        <v>271</v>
      </c>
      <c r="C103" s="320" t="s">
        <v>292</v>
      </c>
      <c r="D103" s="310" t="s">
        <v>778</v>
      </c>
      <c r="E103" s="310">
        <v>2</v>
      </c>
      <c r="F103" s="299" t="s">
        <v>971</v>
      </c>
      <c r="G103" s="311" t="s">
        <v>809</v>
      </c>
      <c r="H103" s="311"/>
      <c r="I103" s="312" t="s">
        <v>949</v>
      </c>
      <c r="J103" s="313"/>
      <c r="K103" s="272" t="s">
        <v>966</v>
      </c>
      <c r="L103" s="429"/>
      <c r="M103" s="300" t="s">
        <v>65</v>
      </c>
      <c r="N103" s="315" t="s">
        <v>972</v>
      </c>
      <c r="O103" s="315"/>
      <c r="P103" s="315"/>
      <c r="Q103" s="315"/>
      <c r="R103" s="315" t="s">
        <v>973</v>
      </c>
      <c r="S103" s="315"/>
      <c r="T103" s="310">
        <v>3</v>
      </c>
      <c r="U103" s="310">
        <v>7</v>
      </c>
      <c r="V103" s="310"/>
      <c r="W103" s="310"/>
      <c r="X103" s="310"/>
      <c r="Y103" s="310"/>
      <c r="Z103" s="310"/>
      <c r="AA103" s="174"/>
      <c r="AB103" s="174"/>
      <c r="AC103" s="174"/>
      <c r="AD103" s="174"/>
      <c r="AE103" s="181"/>
      <c r="AF103" s="44"/>
      <c r="AG103" s="44"/>
      <c r="AH103" s="44"/>
      <c r="AI103" s="44"/>
      <c r="AJ103" s="44"/>
      <c r="AK103" s="44"/>
      <c r="AL103" s="44"/>
      <c r="AM103" s="44"/>
      <c r="AN103" s="44"/>
      <c r="AO103" s="44"/>
      <c r="AP103" s="44"/>
      <c r="AQ103" s="44"/>
      <c r="AR103" s="44"/>
      <c r="AS103" s="44"/>
    </row>
    <row r="104" spans="1:45" ht="216.75">
      <c r="A104" s="214"/>
      <c r="B104" s="319" t="s">
        <v>271</v>
      </c>
      <c r="C104" s="320" t="s">
        <v>292</v>
      </c>
      <c r="D104" s="310" t="s">
        <v>778</v>
      </c>
      <c r="E104" s="310">
        <v>2</v>
      </c>
      <c r="F104" s="299" t="s">
        <v>968</v>
      </c>
      <c r="G104" s="311" t="s">
        <v>809</v>
      </c>
      <c r="H104" s="311"/>
      <c r="I104" s="312" t="s">
        <v>949</v>
      </c>
      <c r="J104" s="313"/>
      <c r="K104" s="272" t="s">
        <v>966</v>
      </c>
      <c r="L104" s="429"/>
      <c r="M104" s="300" t="s">
        <v>68</v>
      </c>
      <c r="N104" s="315" t="s">
        <v>974</v>
      </c>
      <c r="O104" s="315"/>
      <c r="P104" s="315"/>
      <c r="Q104" s="315"/>
      <c r="R104" s="315" t="s">
        <v>975</v>
      </c>
      <c r="S104" s="315"/>
      <c r="T104" s="310">
        <v>3</v>
      </c>
      <c r="U104" s="310">
        <v>7</v>
      </c>
      <c r="V104" s="310"/>
      <c r="W104" s="310"/>
      <c r="X104" s="310"/>
      <c r="Y104" s="310"/>
      <c r="Z104" s="310"/>
      <c r="AA104" s="174"/>
      <c r="AB104" s="174"/>
      <c r="AC104" s="174"/>
      <c r="AD104" s="174"/>
      <c r="AE104" s="181"/>
      <c r="AF104" s="44"/>
      <c r="AG104" s="44"/>
      <c r="AH104" s="44"/>
      <c r="AI104" s="44"/>
      <c r="AJ104" s="44"/>
      <c r="AK104" s="44"/>
      <c r="AL104" s="44"/>
      <c r="AM104" s="44"/>
      <c r="AN104" s="44"/>
      <c r="AO104" s="44"/>
      <c r="AP104" s="44"/>
      <c r="AQ104" s="44"/>
      <c r="AR104" s="44"/>
      <c r="AS104" s="44"/>
    </row>
    <row r="105" spans="1:45" ht="216.75">
      <c r="A105" s="214"/>
      <c r="B105" s="319" t="s">
        <v>271</v>
      </c>
      <c r="C105" s="320" t="s">
        <v>292</v>
      </c>
      <c r="D105" s="310" t="s">
        <v>778</v>
      </c>
      <c r="E105" s="310">
        <v>3</v>
      </c>
      <c r="F105" s="299" t="s">
        <v>965</v>
      </c>
      <c r="G105" s="311" t="s">
        <v>809</v>
      </c>
      <c r="H105" s="311"/>
      <c r="I105" s="312" t="s">
        <v>949</v>
      </c>
      <c r="J105" s="313"/>
      <c r="K105" s="272" t="s">
        <v>966</v>
      </c>
      <c r="L105" s="429"/>
      <c r="M105" s="300" t="s">
        <v>65</v>
      </c>
      <c r="N105" s="315" t="s">
        <v>976</v>
      </c>
      <c r="O105" s="315"/>
      <c r="P105" s="315"/>
      <c r="Q105" s="315"/>
      <c r="R105" s="315" t="s">
        <v>977</v>
      </c>
      <c r="S105" s="315"/>
      <c r="T105" s="310">
        <v>3</v>
      </c>
      <c r="U105" s="310">
        <v>7</v>
      </c>
      <c r="V105" s="310"/>
      <c r="W105" s="310"/>
      <c r="X105" s="310"/>
      <c r="Y105" s="310"/>
      <c r="Z105" s="310"/>
      <c r="AA105" s="174"/>
      <c r="AB105" s="174"/>
      <c r="AC105" s="174"/>
      <c r="AD105" s="174"/>
      <c r="AE105" s="181"/>
      <c r="AF105" s="44"/>
      <c r="AG105" s="44"/>
      <c r="AH105" s="44"/>
      <c r="AI105" s="44"/>
      <c r="AJ105" s="44"/>
      <c r="AK105" s="44"/>
      <c r="AL105" s="44"/>
      <c r="AM105" s="44"/>
      <c r="AN105" s="44"/>
      <c r="AO105" s="44"/>
      <c r="AP105" s="44"/>
      <c r="AQ105" s="44"/>
      <c r="AR105" s="44"/>
      <c r="AS105" s="44"/>
    </row>
    <row r="106" spans="1:45" ht="216.75">
      <c r="A106" s="214"/>
      <c r="B106" s="319" t="s">
        <v>271</v>
      </c>
      <c r="C106" s="320" t="s">
        <v>292</v>
      </c>
      <c r="D106" s="310" t="s">
        <v>778</v>
      </c>
      <c r="E106" s="310">
        <v>3</v>
      </c>
      <c r="F106" s="299" t="s">
        <v>968</v>
      </c>
      <c r="G106" s="311" t="s">
        <v>809</v>
      </c>
      <c r="H106" s="311"/>
      <c r="I106" s="312" t="s">
        <v>949</v>
      </c>
      <c r="J106" s="313"/>
      <c r="K106" s="272" t="s">
        <v>966</v>
      </c>
      <c r="L106" s="429"/>
      <c r="M106" s="300" t="s">
        <v>68</v>
      </c>
      <c r="N106" s="315" t="s">
        <v>972</v>
      </c>
      <c r="O106" s="315"/>
      <c r="P106" s="315"/>
      <c r="Q106" s="315"/>
      <c r="R106" s="315" t="s">
        <v>973</v>
      </c>
      <c r="S106" s="315"/>
      <c r="T106" s="310">
        <v>3</v>
      </c>
      <c r="U106" s="310">
        <v>7</v>
      </c>
      <c r="V106" s="310"/>
      <c r="W106" s="310"/>
      <c r="X106" s="310"/>
      <c r="Y106" s="310"/>
      <c r="Z106" s="310"/>
      <c r="AA106" s="174"/>
      <c r="AB106" s="174"/>
      <c r="AC106" s="174"/>
      <c r="AD106" s="174"/>
      <c r="AE106" s="181"/>
      <c r="AF106" s="44"/>
      <c r="AG106" s="44"/>
      <c r="AH106" s="44"/>
      <c r="AI106" s="44"/>
      <c r="AJ106" s="44"/>
      <c r="AK106" s="44"/>
      <c r="AL106" s="44"/>
      <c r="AM106" s="44"/>
      <c r="AN106" s="44"/>
      <c r="AO106" s="44"/>
      <c r="AP106" s="44"/>
      <c r="AQ106" s="44"/>
      <c r="AR106" s="44"/>
      <c r="AS106" s="44"/>
    </row>
    <row r="107" spans="1:45" ht="216.75">
      <c r="A107" s="214"/>
      <c r="B107" s="319" t="s">
        <v>271</v>
      </c>
      <c r="C107" s="320" t="s">
        <v>292</v>
      </c>
      <c r="D107" s="310" t="s">
        <v>778</v>
      </c>
      <c r="E107" s="310">
        <v>4</v>
      </c>
      <c r="F107" s="299" t="s">
        <v>965</v>
      </c>
      <c r="G107" s="311" t="s">
        <v>809</v>
      </c>
      <c r="H107" s="311"/>
      <c r="I107" s="312" t="s">
        <v>949</v>
      </c>
      <c r="J107" s="313"/>
      <c r="K107" s="272" t="s">
        <v>966</v>
      </c>
      <c r="L107" s="429"/>
      <c r="M107" s="300" t="s">
        <v>65</v>
      </c>
      <c r="N107" s="315" t="s">
        <v>978</v>
      </c>
      <c r="O107" s="315"/>
      <c r="P107" s="315"/>
      <c r="Q107" s="315"/>
      <c r="R107" s="315" t="s">
        <v>979</v>
      </c>
      <c r="S107" s="315"/>
      <c r="T107" s="310">
        <v>3</v>
      </c>
      <c r="U107" s="310">
        <v>7</v>
      </c>
      <c r="V107" s="310"/>
      <c r="W107" s="310"/>
      <c r="X107" s="310"/>
      <c r="Y107" s="310"/>
      <c r="Z107" s="310"/>
      <c r="AA107" s="174"/>
      <c r="AB107" s="174"/>
      <c r="AC107" s="174"/>
      <c r="AD107" s="174"/>
      <c r="AE107" s="181"/>
      <c r="AF107" s="44"/>
      <c r="AG107" s="44"/>
      <c r="AH107" s="44"/>
      <c r="AI107" s="44"/>
      <c r="AJ107" s="44"/>
      <c r="AK107" s="44"/>
      <c r="AL107" s="44"/>
      <c r="AM107" s="44"/>
      <c r="AN107" s="44"/>
      <c r="AO107" s="44"/>
      <c r="AP107" s="44"/>
      <c r="AQ107" s="44"/>
      <c r="AR107" s="44"/>
      <c r="AS107" s="44"/>
    </row>
    <row r="108" spans="1:45" ht="216.75">
      <c r="A108" s="214"/>
      <c r="B108" s="319" t="s">
        <v>271</v>
      </c>
      <c r="C108" s="320" t="s">
        <v>292</v>
      </c>
      <c r="D108" s="310" t="s">
        <v>778</v>
      </c>
      <c r="E108" s="310">
        <v>4</v>
      </c>
      <c r="F108" s="299" t="s">
        <v>968</v>
      </c>
      <c r="G108" s="311" t="s">
        <v>809</v>
      </c>
      <c r="H108" s="311"/>
      <c r="I108" s="312" t="s">
        <v>949</v>
      </c>
      <c r="J108" s="313"/>
      <c r="K108" s="272" t="s">
        <v>966</v>
      </c>
      <c r="L108" s="429"/>
      <c r="M108" s="300" t="s">
        <v>68</v>
      </c>
      <c r="N108" s="315" t="s">
        <v>976</v>
      </c>
      <c r="O108" s="315"/>
      <c r="P108" s="315"/>
      <c r="Q108" s="315"/>
      <c r="R108" s="315" t="s">
        <v>977</v>
      </c>
      <c r="S108" s="315"/>
      <c r="T108" s="310">
        <v>3</v>
      </c>
      <c r="U108" s="310">
        <v>7</v>
      </c>
      <c r="V108" s="310"/>
      <c r="W108" s="310"/>
      <c r="X108" s="310"/>
      <c r="Y108" s="310"/>
      <c r="Z108" s="310"/>
      <c r="AA108" s="174"/>
      <c r="AB108" s="174"/>
      <c r="AC108" s="174"/>
      <c r="AD108" s="174"/>
      <c r="AE108" s="181"/>
      <c r="AF108" s="44"/>
      <c r="AG108" s="44"/>
      <c r="AH108" s="44"/>
      <c r="AI108" s="44"/>
      <c r="AJ108" s="44"/>
      <c r="AK108" s="44"/>
      <c r="AL108" s="44"/>
      <c r="AM108" s="44"/>
      <c r="AN108" s="44"/>
      <c r="AO108" s="44"/>
      <c r="AP108" s="44"/>
      <c r="AQ108" s="44"/>
      <c r="AR108" s="44"/>
      <c r="AS108" s="44"/>
    </row>
    <row r="109" spans="1:45" ht="29.25">
      <c r="A109" s="214"/>
      <c r="B109" s="285" t="s">
        <v>271</v>
      </c>
      <c r="C109" s="298" t="s">
        <v>273</v>
      </c>
      <c r="D109" s="177" t="s">
        <v>735</v>
      </c>
      <c r="E109" s="310">
        <v>1</v>
      </c>
      <c r="F109" s="299" t="str">
        <f>""&amp;Table12[[#This Row],[TTM Stage]]&amp;Table12[[#This Row],[Task No.]]&amp;"-"&amp;Table12[[#This Row],[Type of activity]]&amp;"-"&amp;Table12[[#This Row],[TargetGroup]]</f>
        <v>PC1-PA5-A-Young</v>
      </c>
      <c r="G109" s="311" t="s">
        <v>744</v>
      </c>
      <c r="H109" s="311"/>
      <c r="I109" s="312"/>
      <c r="J109" s="313"/>
      <c r="K109" s="272" t="s">
        <v>980</v>
      </c>
      <c r="L109" s="429"/>
      <c r="M109" s="314" t="s">
        <v>65</v>
      </c>
      <c r="N109" s="315" t="s">
        <v>981</v>
      </c>
      <c r="O109" s="315"/>
      <c r="P109" s="315"/>
      <c r="Q109" s="315"/>
      <c r="R109" s="315"/>
      <c r="S109" s="315"/>
      <c r="T109" s="310">
        <v>1</v>
      </c>
      <c r="U109" s="310">
        <v>1</v>
      </c>
      <c r="V109" s="310"/>
      <c r="W109" s="310"/>
      <c r="X109" s="310"/>
      <c r="Y109" s="310"/>
      <c r="Z109" s="310"/>
      <c r="AA109" s="174"/>
      <c r="AB109" s="174"/>
      <c r="AC109" s="174"/>
      <c r="AD109" s="174"/>
      <c r="AE109" s="181"/>
      <c r="AF109" s="44"/>
      <c r="AG109" s="44"/>
      <c r="AH109" s="44"/>
      <c r="AI109" s="44"/>
      <c r="AJ109" s="44"/>
      <c r="AK109" s="44"/>
      <c r="AL109" s="44"/>
      <c r="AM109" s="44"/>
      <c r="AN109" s="44"/>
      <c r="AO109" s="44"/>
      <c r="AP109" s="44"/>
      <c r="AQ109" s="44"/>
      <c r="AR109" s="44"/>
      <c r="AS109" s="44"/>
    </row>
    <row r="110" spans="1:45" ht="29.25">
      <c r="A110" s="214"/>
      <c r="B110" s="285" t="s">
        <v>271</v>
      </c>
      <c r="C110" s="298" t="s">
        <v>273</v>
      </c>
      <c r="D110" s="177" t="s">
        <v>735</v>
      </c>
      <c r="E110" s="310">
        <v>1</v>
      </c>
      <c r="F110" s="299" t="str">
        <f>""&amp;Table12[[#This Row],[TTM Stage]]&amp;Table12[[#This Row],[Task No.]]&amp;"-"&amp;Table12[[#This Row],[Type of activity]]&amp;"-"&amp;Table12[[#This Row],[TargetGroup]]</f>
        <v>PC1-PA5-A-Elderly</v>
      </c>
      <c r="G110" s="311" t="s">
        <v>744</v>
      </c>
      <c r="H110" s="311"/>
      <c r="I110" s="312"/>
      <c r="J110" s="313"/>
      <c r="K110" s="272" t="s">
        <v>980</v>
      </c>
      <c r="L110" s="429"/>
      <c r="M110" s="314" t="s">
        <v>68</v>
      </c>
      <c r="N110" s="315" t="s">
        <v>981</v>
      </c>
      <c r="O110" s="315"/>
      <c r="P110" s="315"/>
      <c r="Q110" s="315"/>
      <c r="R110" s="315"/>
      <c r="S110" s="315"/>
      <c r="T110" s="310">
        <v>1</v>
      </c>
      <c r="U110" s="310">
        <v>1</v>
      </c>
      <c r="V110" s="310"/>
      <c r="W110" s="310"/>
      <c r="X110" s="310"/>
      <c r="Y110" s="310"/>
      <c r="Z110" s="310"/>
      <c r="AA110" s="174"/>
      <c r="AB110" s="174"/>
      <c r="AC110" s="174"/>
      <c r="AD110" s="174"/>
      <c r="AE110" s="181"/>
      <c r="AF110" s="44"/>
      <c r="AG110" s="44"/>
      <c r="AH110" s="44"/>
      <c r="AI110" s="44"/>
      <c r="AJ110" s="44"/>
      <c r="AK110" s="44"/>
      <c r="AL110" s="44"/>
      <c r="AM110" s="44"/>
      <c r="AN110" s="44"/>
      <c r="AO110" s="44"/>
      <c r="AP110" s="44"/>
      <c r="AQ110" s="44"/>
      <c r="AR110" s="44"/>
      <c r="AS110" s="44"/>
    </row>
    <row r="111" spans="1:45" ht="101.25">
      <c r="A111" s="214"/>
      <c r="B111" s="285" t="s">
        <v>271</v>
      </c>
      <c r="C111" s="298" t="s">
        <v>273</v>
      </c>
      <c r="D111" s="177" t="s">
        <v>735</v>
      </c>
      <c r="E111" s="310">
        <v>2</v>
      </c>
      <c r="F111" s="299" t="str">
        <f>""&amp;Table12[[#This Row],[TTM Stage]]&amp;Table12[[#This Row],[Task No.]]&amp;"-"&amp;Table12[[#This Row],[Type of activity]]&amp;"-"&amp;Table12[[#This Row],[TargetGroup]]</f>
        <v>PC2-PA5-A-Young</v>
      </c>
      <c r="G111" s="311" t="s">
        <v>935</v>
      </c>
      <c r="H111" s="311"/>
      <c r="I111" s="312"/>
      <c r="J111" s="313"/>
      <c r="K111" s="272" t="s">
        <v>982</v>
      </c>
      <c r="L111" s="429"/>
      <c r="M111" s="314" t="s">
        <v>65</v>
      </c>
      <c r="N111" s="315" t="s">
        <v>983</v>
      </c>
      <c r="O111" s="315"/>
      <c r="P111" s="315"/>
      <c r="Q111" s="315"/>
      <c r="R111" s="315" t="s">
        <v>938</v>
      </c>
      <c r="S111" s="315"/>
      <c r="T111" s="310">
        <v>1</v>
      </c>
      <c r="U111" s="310">
        <v>1</v>
      </c>
      <c r="V111" s="310"/>
      <c r="W111" s="310"/>
      <c r="X111" s="310"/>
      <c r="Y111" s="310"/>
      <c r="Z111" s="310"/>
      <c r="AA111" s="174"/>
      <c r="AB111" s="174"/>
      <c r="AC111" s="174"/>
      <c r="AD111" s="174"/>
      <c r="AE111" s="181"/>
      <c r="AF111" s="44"/>
      <c r="AG111" s="44"/>
      <c r="AH111" s="44"/>
      <c r="AI111" s="44"/>
      <c r="AJ111" s="44"/>
      <c r="AK111" s="44"/>
      <c r="AL111" s="44"/>
      <c r="AM111" s="44"/>
      <c r="AN111" s="44"/>
      <c r="AO111" s="44"/>
      <c r="AP111" s="44"/>
      <c r="AQ111" s="44"/>
      <c r="AR111" s="44"/>
      <c r="AS111" s="44"/>
    </row>
    <row r="112" spans="1:45" ht="101.25">
      <c r="A112" s="214"/>
      <c r="B112" s="285" t="s">
        <v>271</v>
      </c>
      <c r="C112" s="298" t="s">
        <v>273</v>
      </c>
      <c r="D112" s="177" t="s">
        <v>735</v>
      </c>
      <c r="E112" s="310">
        <v>2</v>
      </c>
      <c r="F112" s="299" t="str">
        <f>""&amp;Table12[[#This Row],[TTM Stage]]&amp;Table12[[#This Row],[Task No.]]&amp;"-"&amp;Table12[[#This Row],[Type of activity]]&amp;"-"&amp;Table12[[#This Row],[TargetGroup]]</f>
        <v>PC2-PA5-A-Elderly</v>
      </c>
      <c r="G112" s="311" t="s">
        <v>935</v>
      </c>
      <c r="H112" s="311"/>
      <c r="I112" s="312"/>
      <c r="J112" s="313"/>
      <c r="K112" s="272" t="s">
        <v>982</v>
      </c>
      <c r="L112" s="429"/>
      <c r="M112" s="314" t="s">
        <v>68</v>
      </c>
      <c r="N112" s="315" t="s">
        <v>983</v>
      </c>
      <c r="O112" s="315"/>
      <c r="P112" s="315"/>
      <c r="Q112" s="315"/>
      <c r="R112" s="315" t="s">
        <v>938</v>
      </c>
      <c r="S112" s="315"/>
      <c r="T112" s="310">
        <v>1</v>
      </c>
      <c r="U112" s="310">
        <v>1</v>
      </c>
      <c r="V112" s="310"/>
      <c r="W112" s="310"/>
      <c r="X112" s="310"/>
      <c r="Y112" s="310"/>
      <c r="Z112" s="310"/>
      <c r="AA112" s="174"/>
      <c r="AB112" s="174"/>
      <c r="AC112" s="174"/>
      <c r="AD112" s="174"/>
      <c r="AE112" s="181"/>
      <c r="AF112" s="44"/>
      <c r="AG112" s="44"/>
      <c r="AH112" s="44"/>
      <c r="AI112" s="44"/>
      <c r="AJ112" s="44"/>
      <c r="AK112" s="44"/>
      <c r="AL112" s="44"/>
      <c r="AM112" s="44"/>
      <c r="AN112" s="44"/>
      <c r="AO112" s="44"/>
      <c r="AP112" s="44"/>
      <c r="AQ112" s="44"/>
      <c r="AR112" s="44"/>
      <c r="AS112" s="44"/>
    </row>
    <row r="113" spans="1:45" ht="29.25">
      <c r="A113" s="214"/>
      <c r="B113" s="285" t="s">
        <v>271</v>
      </c>
      <c r="C113" s="298" t="s">
        <v>273</v>
      </c>
      <c r="D113" s="182" t="s">
        <v>743</v>
      </c>
      <c r="E113" s="310">
        <v>1</v>
      </c>
      <c r="F113" s="299" t="s">
        <v>984</v>
      </c>
      <c r="G113" s="311" t="s">
        <v>744</v>
      </c>
      <c r="H113" s="311"/>
      <c r="I113" s="312"/>
      <c r="J113" s="313"/>
      <c r="K113" s="272" t="s">
        <v>985</v>
      </c>
      <c r="L113" s="429"/>
      <c r="M113" s="314" t="s">
        <v>65</v>
      </c>
      <c r="N113" s="315" t="s">
        <v>986</v>
      </c>
      <c r="O113" s="315"/>
      <c r="P113" s="315"/>
      <c r="Q113" s="315"/>
      <c r="R113" s="315"/>
      <c r="S113" s="315"/>
      <c r="T113" s="310">
        <v>1</v>
      </c>
      <c r="U113" s="310">
        <v>1</v>
      </c>
      <c r="V113" s="310"/>
      <c r="W113" s="310"/>
      <c r="X113" s="310"/>
      <c r="Y113" s="310"/>
      <c r="Z113" s="310"/>
      <c r="AA113" s="174"/>
      <c r="AB113" s="174"/>
      <c r="AC113" s="174"/>
      <c r="AD113" s="174"/>
      <c r="AE113" s="181"/>
      <c r="AF113" s="44"/>
      <c r="AG113" s="44"/>
      <c r="AH113" s="44"/>
      <c r="AI113" s="44"/>
      <c r="AJ113" s="44"/>
      <c r="AK113" s="44"/>
      <c r="AL113" s="44"/>
      <c r="AM113" s="44"/>
      <c r="AN113" s="44"/>
      <c r="AO113" s="44"/>
      <c r="AP113" s="44"/>
      <c r="AQ113" s="44"/>
      <c r="AR113" s="44"/>
      <c r="AS113" s="44"/>
    </row>
    <row r="114" spans="1:45" ht="29.25">
      <c r="A114" s="214"/>
      <c r="B114" s="285" t="s">
        <v>271</v>
      </c>
      <c r="C114" s="298" t="s">
        <v>273</v>
      </c>
      <c r="D114" s="182" t="s">
        <v>743</v>
      </c>
      <c r="E114" s="310">
        <v>1</v>
      </c>
      <c r="F114" s="299" t="str">
        <f>""&amp;Table12[[#This Row],[TTM Stage]]&amp;Table12[[#This Row],[Task No.]]&amp;"-"&amp;Table12[[#This Row],[Type of activity]]&amp;"-"&amp;Table12[[#This Row],[TargetGroup]]</f>
        <v>C1-PA5-A-Elderly</v>
      </c>
      <c r="G114" s="311" t="s">
        <v>744</v>
      </c>
      <c r="H114" s="311"/>
      <c r="I114" s="312"/>
      <c r="J114" s="313"/>
      <c r="K114" s="272" t="s">
        <v>985</v>
      </c>
      <c r="L114" s="429"/>
      <c r="M114" s="314" t="s">
        <v>68</v>
      </c>
      <c r="N114" s="315" t="s">
        <v>986</v>
      </c>
      <c r="O114" s="315"/>
      <c r="P114" s="315"/>
      <c r="Q114" s="315"/>
      <c r="R114" s="315"/>
      <c r="S114" s="315"/>
      <c r="T114" s="310">
        <v>1</v>
      </c>
      <c r="U114" s="310">
        <v>1</v>
      </c>
      <c r="V114" s="310"/>
      <c r="W114" s="310"/>
      <c r="X114" s="310"/>
      <c r="Y114" s="310"/>
      <c r="Z114" s="310"/>
      <c r="AA114" s="174"/>
      <c r="AB114" s="174"/>
      <c r="AC114" s="174"/>
      <c r="AD114" s="174"/>
      <c r="AE114" s="181"/>
      <c r="AF114" s="44"/>
      <c r="AG114" s="44"/>
      <c r="AH114" s="44"/>
      <c r="AI114" s="44"/>
      <c r="AJ114" s="44"/>
      <c r="AK114" s="44"/>
      <c r="AL114" s="44"/>
      <c r="AM114" s="44"/>
      <c r="AN114" s="44"/>
      <c r="AO114" s="44"/>
      <c r="AP114" s="44"/>
      <c r="AQ114" s="44"/>
      <c r="AR114" s="44"/>
      <c r="AS114" s="44"/>
    </row>
    <row r="115" spans="1:45" ht="130.5">
      <c r="A115" s="214"/>
      <c r="B115" s="285" t="s">
        <v>271</v>
      </c>
      <c r="C115" s="298" t="s">
        <v>273</v>
      </c>
      <c r="D115" s="182" t="s">
        <v>743</v>
      </c>
      <c r="E115" s="310">
        <v>2</v>
      </c>
      <c r="F115" s="299" t="str">
        <f>""&amp;Table12[[#This Row],[TTM Stage]]&amp;Table12[[#This Row],[Task No.]]&amp;"-"&amp;Table12[[#This Row],[Type of activity]]&amp;"-"&amp;Table12[[#This Row],[TargetGroup]]</f>
        <v>C2-PA5-A-Young</v>
      </c>
      <c r="G115" s="311" t="s">
        <v>736</v>
      </c>
      <c r="H115" s="311"/>
      <c r="I115" s="312"/>
      <c r="J115" s="313"/>
      <c r="K115" s="272" t="s">
        <v>987</v>
      </c>
      <c r="L115" s="429"/>
      <c r="M115" s="314" t="s">
        <v>65</v>
      </c>
      <c r="N115" s="315" t="s">
        <v>988</v>
      </c>
      <c r="O115" s="315"/>
      <c r="P115" s="315"/>
      <c r="Q115" s="315"/>
      <c r="R115" s="315" t="s">
        <v>989</v>
      </c>
      <c r="S115" s="315"/>
      <c r="T115" s="310"/>
      <c r="U115" s="310"/>
      <c r="V115" s="310"/>
      <c r="W115" s="310"/>
      <c r="X115" s="310"/>
      <c r="Y115" s="310"/>
      <c r="Z115" s="310"/>
      <c r="AA115" s="174"/>
      <c r="AB115" s="174"/>
      <c r="AC115" s="174"/>
      <c r="AD115" s="174"/>
      <c r="AE115" s="181"/>
      <c r="AF115" s="44"/>
      <c r="AG115" s="44"/>
      <c r="AH115" s="44"/>
      <c r="AI115" s="44"/>
      <c r="AJ115" s="44"/>
      <c r="AK115" s="44"/>
      <c r="AL115" s="44"/>
      <c r="AM115" s="44"/>
      <c r="AN115" s="44"/>
      <c r="AO115" s="44"/>
      <c r="AP115" s="44"/>
      <c r="AQ115" s="44"/>
      <c r="AR115" s="44"/>
      <c r="AS115" s="44"/>
    </row>
    <row r="116" spans="1:45" ht="130.5">
      <c r="A116" s="214"/>
      <c r="B116" s="285" t="s">
        <v>271</v>
      </c>
      <c r="C116" s="298" t="s">
        <v>273</v>
      </c>
      <c r="D116" s="182" t="s">
        <v>743</v>
      </c>
      <c r="E116" s="310">
        <v>2</v>
      </c>
      <c r="F116" s="299" t="str">
        <f>""&amp;Table12[[#This Row],[TTM Stage]]&amp;Table12[[#This Row],[Task No.]]&amp;"-"&amp;Table12[[#This Row],[Type of activity]]&amp;"-"&amp;Table12[[#This Row],[TargetGroup]]</f>
        <v>C2-PA5-A-Elderly</v>
      </c>
      <c r="G116" s="311" t="s">
        <v>736</v>
      </c>
      <c r="H116" s="311"/>
      <c r="I116" s="312"/>
      <c r="J116" s="313"/>
      <c r="K116" s="272" t="s">
        <v>987</v>
      </c>
      <c r="L116" s="429"/>
      <c r="M116" s="314" t="s">
        <v>68</v>
      </c>
      <c r="N116" s="315" t="s">
        <v>988</v>
      </c>
      <c r="O116" s="315"/>
      <c r="P116" s="315"/>
      <c r="Q116" s="315"/>
      <c r="R116" s="315" t="s">
        <v>989</v>
      </c>
      <c r="S116" s="315"/>
      <c r="T116" s="310"/>
      <c r="U116" s="310"/>
      <c r="V116" s="310"/>
      <c r="W116" s="310"/>
      <c r="X116" s="310"/>
      <c r="Y116" s="310"/>
      <c r="Z116" s="310"/>
      <c r="AA116" s="174"/>
      <c r="AB116" s="174"/>
      <c r="AC116" s="174"/>
      <c r="AD116" s="174"/>
      <c r="AE116" s="181"/>
      <c r="AF116" s="44"/>
      <c r="AG116" s="44"/>
      <c r="AH116" s="44"/>
      <c r="AI116" s="44"/>
      <c r="AJ116" s="44"/>
      <c r="AK116" s="44"/>
      <c r="AL116" s="44"/>
      <c r="AM116" s="44"/>
      <c r="AN116" s="44"/>
      <c r="AO116" s="44"/>
      <c r="AP116" s="44"/>
      <c r="AQ116" s="44"/>
      <c r="AR116" s="44"/>
      <c r="AS116" s="44"/>
    </row>
    <row r="117" spans="1:45" ht="29.25">
      <c r="A117" s="214"/>
      <c r="B117" s="285" t="s">
        <v>271</v>
      </c>
      <c r="C117" s="298" t="s">
        <v>273</v>
      </c>
      <c r="D117" s="183" t="s">
        <v>750</v>
      </c>
      <c r="E117" s="310">
        <v>1</v>
      </c>
      <c r="F117" s="299" t="str">
        <f>""&amp;Table12[[#This Row],[TTM Stage]]&amp;Table12[[#This Row],[Task No.]]&amp;"-"&amp;Table12[[#This Row],[Type of activity]]&amp;"-"&amp;Table12[[#This Row],[TargetGroup]]</f>
        <v>P1-PA5-A-Young</v>
      </c>
      <c r="G117" s="311" t="s">
        <v>945</v>
      </c>
      <c r="H117" s="311"/>
      <c r="I117" s="311" t="s">
        <v>949</v>
      </c>
      <c r="J117" s="321"/>
      <c r="K117" s="272" t="s">
        <v>990</v>
      </c>
      <c r="L117" s="429"/>
      <c r="M117" s="314" t="s">
        <v>65</v>
      </c>
      <c r="N117" s="315" t="s">
        <v>991</v>
      </c>
      <c r="O117" s="315"/>
      <c r="P117" s="315"/>
      <c r="Q117" s="315"/>
      <c r="R117" s="315" t="s">
        <v>992</v>
      </c>
      <c r="S117" s="315"/>
      <c r="T117" s="310">
        <v>1</v>
      </c>
      <c r="U117" s="310">
        <v>1</v>
      </c>
      <c r="V117" s="310"/>
      <c r="W117" s="310"/>
      <c r="X117" s="310"/>
      <c r="Y117" s="310"/>
      <c r="Z117" s="310"/>
      <c r="AA117" s="174"/>
      <c r="AB117" s="174"/>
      <c r="AC117" s="174"/>
      <c r="AD117" s="174"/>
      <c r="AE117" s="181"/>
      <c r="AF117" s="44"/>
      <c r="AG117" s="44"/>
      <c r="AH117" s="44"/>
      <c r="AI117" s="44"/>
      <c r="AJ117" s="44"/>
      <c r="AK117" s="44"/>
      <c r="AL117" s="44"/>
      <c r="AM117" s="44"/>
      <c r="AN117" s="44"/>
      <c r="AO117" s="44"/>
      <c r="AP117" s="44"/>
      <c r="AQ117" s="44"/>
      <c r="AR117" s="44"/>
      <c r="AS117" s="44"/>
    </row>
    <row r="118" spans="1:45" ht="29.25">
      <c r="A118" s="214"/>
      <c r="B118" s="285" t="s">
        <v>271</v>
      </c>
      <c r="C118" s="298" t="s">
        <v>273</v>
      </c>
      <c r="D118" s="183" t="s">
        <v>750</v>
      </c>
      <c r="E118" s="310">
        <v>1</v>
      </c>
      <c r="F118" s="299" t="str">
        <f>""&amp;Table12[[#This Row],[TTM Stage]]&amp;Table12[[#This Row],[Task No.]]&amp;"-"&amp;Table12[[#This Row],[Type of activity]]&amp;"-"&amp;Table12[[#This Row],[TargetGroup]]</f>
        <v>P1-PA5-A-Elderly</v>
      </c>
      <c r="G118" s="311" t="s">
        <v>945</v>
      </c>
      <c r="H118" s="311"/>
      <c r="I118" s="311" t="s">
        <v>949</v>
      </c>
      <c r="J118" s="321"/>
      <c r="K118" s="272" t="s">
        <v>990</v>
      </c>
      <c r="L118" s="429"/>
      <c r="M118" s="314" t="s">
        <v>68</v>
      </c>
      <c r="N118" s="315" t="s">
        <v>991</v>
      </c>
      <c r="O118" s="315"/>
      <c r="P118" s="315"/>
      <c r="Q118" s="315"/>
      <c r="R118" s="315" t="s">
        <v>992</v>
      </c>
      <c r="S118" s="315"/>
      <c r="T118" s="310">
        <v>1</v>
      </c>
      <c r="U118" s="310">
        <v>1</v>
      </c>
      <c r="V118" s="310"/>
      <c r="W118" s="310"/>
      <c r="X118" s="310"/>
      <c r="Y118" s="310"/>
      <c r="Z118" s="310"/>
      <c r="AA118" s="174"/>
      <c r="AB118" s="174"/>
      <c r="AC118" s="174"/>
      <c r="AD118" s="174"/>
      <c r="AE118" s="181"/>
      <c r="AF118" s="44"/>
      <c r="AG118" s="44"/>
      <c r="AH118" s="44"/>
      <c r="AI118" s="44"/>
      <c r="AJ118" s="44"/>
      <c r="AK118" s="44"/>
      <c r="AL118" s="44"/>
      <c r="AM118" s="44"/>
      <c r="AN118" s="44"/>
      <c r="AO118" s="44"/>
      <c r="AP118" s="44"/>
      <c r="AQ118" s="44"/>
      <c r="AR118" s="44"/>
      <c r="AS118" s="44"/>
    </row>
    <row r="119" spans="1:45" ht="361.5">
      <c r="A119" s="214"/>
      <c r="B119" s="285" t="s">
        <v>271</v>
      </c>
      <c r="C119" s="298" t="s">
        <v>273</v>
      </c>
      <c r="D119" s="184" t="s">
        <v>764</v>
      </c>
      <c r="E119" s="310">
        <v>1</v>
      </c>
      <c r="F119" s="299" t="str">
        <f>""&amp;Table12[[#This Row],[TTM Stage]]&amp;Table12[[#This Row],[Task No.]]&amp;"-"&amp;Table12[[#This Row],[Type of activity]]&amp;"-"&amp;Table12[[#This Row],[TargetGroup]]</f>
        <v>A1-PA5-A-Young</v>
      </c>
      <c r="G119" s="311" t="s">
        <v>809</v>
      </c>
      <c r="H119" s="311"/>
      <c r="I119" s="311" t="s">
        <v>949</v>
      </c>
      <c r="J119" s="321"/>
      <c r="K119" s="322" t="s">
        <v>993</v>
      </c>
      <c r="L119" s="430"/>
      <c r="M119" s="300" t="s">
        <v>65</v>
      </c>
      <c r="N119" s="315" t="s">
        <v>994</v>
      </c>
      <c r="O119" s="315"/>
      <c r="P119" s="315"/>
      <c r="Q119" s="315"/>
      <c r="R119" s="315" t="s">
        <v>995</v>
      </c>
      <c r="S119" s="315"/>
      <c r="T119" s="310"/>
      <c r="U119" s="310"/>
      <c r="V119" s="310"/>
      <c r="W119" s="310"/>
      <c r="X119" s="310"/>
      <c r="Y119" s="310"/>
      <c r="Z119" s="310"/>
      <c r="AA119" s="174"/>
      <c r="AB119" s="174"/>
      <c r="AC119" s="174"/>
      <c r="AD119" s="174"/>
      <c r="AE119" s="181"/>
      <c r="AF119" s="44"/>
      <c r="AG119" s="44"/>
      <c r="AH119" s="44"/>
      <c r="AI119" s="44"/>
      <c r="AJ119" s="44"/>
      <c r="AK119" s="44"/>
      <c r="AL119" s="44"/>
      <c r="AM119" s="44"/>
      <c r="AN119" s="44"/>
      <c r="AO119" s="44"/>
      <c r="AP119" s="44"/>
      <c r="AQ119" s="44"/>
      <c r="AR119" s="44"/>
      <c r="AS119" s="44"/>
    </row>
    <row r="120" spans="1:45" ht="361.5">
      <c r="A120" s="214"/>
      <c r="B120" s="285" t="s">
        <v>271</v>
      </c>
      <c r="C120" s="298" t="s">
        <v>273</v>
      </c>
      <c r="D120" s="184" t="s">
        <v>764</v>
      </c>
      <c r="E120" s="310">
        <v>1</v>
      </c>
      <c r="F120" s="299" t="str">
        <f>""&amp;Table12[[#This Row],[TTM Stage]]&amp;Table12[[#This Row],[Task No.]]&amp;"-"&amp;Table12[[#This Row],[Type of activity]]&amp;"-"&amp;Table12[[#This Row],[TargetGroup]]</f>
        <v>A1-PA5-A-Elderly</v>
      </c>
      <c r="G120" s="311" t="s">
        <v>809</v>
      </c>
      <c r="H120" s="311"/>
      <c r="I120" s="312" t="s">
        <v>949</v>
      </c>
      <c r="J120" s="313"/>
      <c r="K120" s="272" t="s">
        <v>996</v>
      </c>
      <c r="L120" s="429"/>
      <c r="M120" s="300" t="s">
        <v>68</v>
      </c>
      <c r="N120" s="315" t="s">
        <v>997</v>
      </c>
      <c r="O120" s="315"/>
      <c r="P120" s="315"/>
      <c r="Q120" s="315"/>
      <c r="R120" s="315" t="s">
        <v>998</v>
      </c>
      <c r="S120" s="315"/>
      <c r="T120" s="310"/>
      <c r="U120" s="310"/>
      <c r="V120" s="310"/>
      <c r="W120" s="310"/>
      <c r="X120" s="310"/>
      <c r="Y120" s="310"/>
      <c r="Z120" s="310"/>
      <c r="AA120" s="174"/>
      <c r="AB120" s="174"/>
      <c r="AC120" s="174"/>
      <c r="AD120" s="174"/>
      <c r="AE120" s="181"/>
      <c r="AF120" s="44"/>
      <c r="AG120" s="44"/>
      <c r="AH120" s="44"/>
      <c r="AI120" s="44"/>
      <c r="AJ120" s="44"/>
      <c r="AK120" s="44"/>
      <c r="AL120" s="44"/>
      <c r="AM120" s="44"/>
      <c r="AN120" s="44"/>
      <c r="AO120" s="44"/>
      <c r="AP120" s="44"/>
      <c r="AQ120" s="44"/>
      <c r="AR120" s="44"/>
      <c r="AS120" s="44"/>
    </row>
    <row r="121" spans="1:45" ht="159">
      <c r="A121" s="214"/>
      <c r="B121" s="285" t="s">
        <v>271</v>
      </c>
      <c r="C121" s="298" t="s">
        <v>273</v>
      </c>
      <c r="D121" s="184" t="s">
        <v>764</v>
      </c>
      <c r="E121" s="310">
        <v>2</v>
      </c>
      <c r="F121" s="299" t="str">
        <f>""&amp;Table12[[#This Row],[TTM Stage]]&amp;Table12[[#This Row],[Task No.]]&amp;"-"&amp;Table12[[#This Row],[Type of activity]]&amp;"-"&amp;Table12[[#This Row],[TargetGroup]]</f>
        <v>A2-PA5-A-Young</v>
      </c>
      <c r="G121" s="311" t="s">
        <v>809</v>
      </c>
      <c r="H121" s="311"/>
      <c r="I121" s="312" t="s">
        <v>949</v>
      </c>
      <c r="J121" s="313"/>
      <c r="K121" s="272" t="s">
        <v>999</v>
      </c>
      <c r="L121" s="429"/>
      <c r="M121" s="300" t="s">
        <v>65</v>
      </c>
      <c r="N121" s="315" t="s">
        <v>1000</v>
      </c>
      <c r="O121" s="315"/>
      <c r="P121" s="315"/>
      <c r="Q121" s="315"/>
      <c r="R121" s="315" t="s">
        <v>957</v>
      </c>
      <c r="S121" s="315"/>
      <c r="T121" s="310"/>
      <c r="U121" s="310"/>
      <c r="V121" s="310"/>
      <c r="W121" s="310"/>
      <c r="X121" s="310"/>
      <c r="Y121" s="310"/>
      <c r="Z121" s="310"/>
      <c r="AA121" s="174"/>
      <c r="AB121" s="174"/>
      <c r="AC121" s="174"/>
      <c r="AD121" s="174"/>
      <c r="AE121" s="181"/>
      <c r="AF121" s="44"/>
      <c r="AG121" s="44"/>
      <c r="AH121" s="44"/>
      <c r="AI121" s="44"/>
      <c r="AJ121" s="44"/>
      <c r="AK121" s="44"/>
      <c r="AL121" s="44"/>
      <c r="AM121" s="44"/>
      <c r="AN121" s="44"/>
      <c r="AO121" s="44"/>
      <c r="AP121" s="44"/>
      <c r="AQ121" s="44"/>
      <c r="AR121" s="44"/>
      <c r="AS121" s="44"/>
    </row>
    <row r="122" spans="1:45" ht="159">
      <c r="A122" s="214"/>
      <c r="B122" s="285" t="s">
        <v>271</v>
      </c>
      <c r="C122" s="298" t="s">
        <v>273</v>
      </c>
      <c r="D122" s="184" t="s">
        <v>764</v>
      </c>
      <c r="E122" s="310">
        <v>2</v>
      </c>
      <c r="F122" s="299" t="str">
        <f>""&amp;Table12[[#This Row],[TTM Stage]]&amp;Table12[[#This Row],[Task No.]]&amp;"-"&amp;Table12[[#This Row],[Type of activity]]&amp;"-"&amp;Table12[[#This Row],[TargetGroup]]</f>
        <v>A2-PA5-A-Elderly</v>
      </c>
      <c r="G122" s="311" t="s">
        <v>809</v>
      </c>
      <c r="H122" s="311"/>
      <c r="I122" s="312" t="s">
        <v>949</v>
      </c>
      <c r="J122" s="313"/>
      <c r="K122" s="272" t="s">
        <v>1001</v>
      </c>
      <c r="L122" s="429"/>
      <c r="M122" s="300" t="s">
        <v>68</v>
      </c>
      <c r="N122" s="315" t="s">
        <v>1002</v>
      </c>
      <c r="O122" s="315"/>
      <c r="P122" s="315"/>
      <c r="Q122" s="315"/>
      <c r="R122" s="315" t="s">
        <v>959</v>
      </c>
      <c r="S122" s="315"/>
      <c r="T122" s="310"/>
      <c r="U122" s="310"/>
      <c r="V122" s="310"/>
      <c r="W122" s="310"/>
      <c r="X122" s="310"/>
      <c r="Y122" s="310"/>
      <c r="Z122" s="310"/>
      <c r="AA122" s="174"/>
      <c r="AB122" s="174"/>
      <c r="AC122" s="174"/>
      <c r="AD122" s="174"/>
      <c r="AE122" s="181"/>
      <c r="AF122" s="44"/>
      <c r="AG122" s="44"/>
      <c r="AH122" s="44"/>
      <c r="AI122" s="44"/>
      <c r="AJ122" s="44"/>
      <c r="AK122" s="44"/>
      <c r="AL122" s="44"/>
      <c r="AM122" s="44"/>
      <c r="AN122" s="44"/>
      <c r="AO122" s="44"/>
      <c r="AP122" s="44"/>
      <c r="AQ122" s="44"/>
      <c r="AR122" s="44"/>
      <c r="AS122" s="44"/>
    </row>
    <row r="123" spans="1:45" ht="159">
      <c r="A123" s="214"/>
      <c r="B123" s="285" t="s">
        <v>271</v>
      </c>
      <c r="C123" s="298" t="s">
        <v>273</v>
      </c>
      <c r="D123" s="184" t="s">
        <v>764</v>
      </c>
      <c r="E123" s="310">
        <v>3</v>
      </c>
      <c r="F123" s="299" t="str">
        <f>""&amp;Table12[[#This Row],[TTM Stage]]&amp;Table12[[#This Row],[Task No.]]&amp;"-"&amp;Table12[[#This Row],[Type of activity]]&amp;"-"&amp;Table12[[#This Row],[TargetGroup]]</f>
        <v>A3-PA5-A-Young</v>
      </c>
      <c r="G123" s="311" t="s">
        <v>809</v>
      </c>
      <c r="H123" s="311"/>
      <c r="I123" s="312" t="s">
        <v>949</v>
      </c>
      <c r="J123" s="313"/>
      <c r="K123" s="272" t="s">
        <v>999</v>
      </c>
      <c r="L123" s="429"/>
      <c r="M123" s="300" t="s">
        <v>65</v>
      </c>
      <c r="N123" s="315" t="s">
        <v>1003</v>
      </c>
      <c r="O123" s="315"/>
      <c r="P123" s="315"/>
      <c r="Q123" s="315"/>
      <c r="R123" s="315" t="s">
        <v>961</v>
      </c>
      <c r="S123" s="315"/>
      <c r="T123" s="310"/>
      <c r="U123" s="310"/>
      <c r="V123" s="310"/>
      <c r="W123" s="310"/>
      <c r="X123" s="310"/>
      <c r="Y123" s="310"/>
      <c r="Z123" s="310"/>
      <c r="AA123" s="174"/>
      <c r="AB123" s="174"/>
      <c r="AC123" s="174"/>
      <c r="AD123" s="174"/>
      <c r="AE123" s="181"/>
      <c r="AF123" s="44"/>
      <c r="AG123" s="44"/>
      <c r="AH123" s="44"/>
      <c r="AI123" s="44"/>
      <c r="AJ123" s="44"/>
      <c r="AK123" s="44"/>
      <c r="AL123" s="44"/>
      <c r="AM123" s="44"/>
      <c r="AN123" s="44"/>
      <c r="AO123" s="44"/>
      <c r="AP123" s="44"/>
      <c r="AQ123" s="44"/>
      <c r="AR123" s="44"/>
      <c r="AS123" s="44"/>
    </row>
    <row r="124" spans="1:45" ht="159">
      <c r="A124" s="214"/>
      <c r="B124" s="285" t="s">
        <v>271</v>
      </c>
      <c r="C124" s="298" t="s">
        <v>273</v>
      </c>
      <c r="D124" s="184" t="s">
        <v>764</v>
      </c>
      <c r="E124" s="310">
        <v>3</v>
      </c>
      <c r="F124" s="299" t="str">
        <f>""&amp;Table12[[#This Row],[TTM Stage]]&amp;Table12[[#This Row],[Task No.]]&amp;"-"&amp;Table12[[#This Row],[Type of activity]]&amp;"-"&amp;Table12[[#This Row],[TargetGroup]]</f>
        <v>A3-PA5-A-Elderly</v>
      </c>
      <c r="G124" s="311" t="s">
        <v>809</v>
      </c>
      <c r="H124" s="311"/>
      <c r="I124" s="312" t="s">
        <v>949</v>
      </c>
      <c r="J124" s="313"/>
      <c r="K124" s="272" t="s">
        <v>999</v>
      </c>
      <c r="L124" s="429"/>
      <c r="M124" s="300" t="s">
        <v>68</v>
      </c>
      <c r="N124" s="315" t="s">
        <v>1004</v>
      </c>
      <c r="O124" s="315"/>
      <c r="P124" s="315"/>
      <c r="Q124" s="315"/>
      <c r="R124" s="315" t="s">
        <v>957</v>
      </c>
      <c r="S124" s="315"/>
      <c r="T124" s="310"/>
      <c r="U124" s="310"/>
      <c r="V124" s="310"/>
      <c r="W124" s="310"/>
      <c r="X124" s="310"/>
      <c r="Y124" s="310"/>
      <c r="Z124" s="310"/>
      <c r="AA124" s="174"/>
      <c r="AB124" s="174"/>
      <c r="AC124" s="174"/>
      <c r="AD124" s="174"/>
      <c r="AE124" s="181"/>
      <c r="AF124" s="44"/>
      <c r="AG124" s="44"/>
      <c r="AH124" s="44"/>
      <c r="AI124" s="44"/>
      <c r="AJ124" s="44"/>
      <c r="AK124" s="44"/>
      <c r="AL124" s="44"/>
      <c r="AM124" s="44"/>
      <c r="AN124" s="44"/>
      <c r="AO124" s="44"/>
      <c r="AP124" s="44"/>
      <c r="AQ124" s="44"/>
      <c r="AR124" s="44"/>
      <c r="AS124" s="44"/>
    </row>
    <row r="125" spans="1:45" ht="159">
      <c r="A125" s="214"/>
      <c r="B125" s="285" t="s">
        <v>271</v>
      </c>
      <c r="C125" s="298" t="s">
        <v>273</v>
      </c>
      <c r="D125" s="184" t="s">
        <v>764</v>
      </c>
      <c r="E125" s="310">
        <v>4</v>
      </c>
      <c r="F125" s="299" t="str">
        <f>""&amp;Table12[[#This Row],[TTM Stage]]&amp;Table12[[#This Row],[Task No.]]&amp;"-"&amp;Table12[[#This Row],[Type of activity]]&amp;"-"&amp;Table12[[#This Row],[TargetGroup]]</f>
        <v>A4-PA5-A-Young</v>
      </c>
      <c r="G125" s="311" t="s">
        <v>809</v>
      </c>
      <c r="H125" s="311"/>
      <c r="I125" s="312" t="s">
        <v>949</v>
      </c>
      <c r="J125" s="313"/>
      <c r="K125" s="272" t="s">
        <v>999</v>
      </c>
      <c r="L125" s="429"/>
      <c r="M125" s="300" t="s">
        <v>65</v>
      </c>
      <c r="N125" s="315" t="s">
        <v>1005</v>
      </c>
      <c r="O125" s="315"/>
      <c r="P125" s="315"/>
      <c r="Q125" s="315"/>
      <c r="R125" s="315" t="s">
        <v>964</v>
      </c>
      <c r="S125" s="315"/>
      <c r="T125" s="310"/>
      <c r="U125" s="310"/>
      <c r="V125" s="310"/>
      <c r="W125" s="310"/>
      <c r="X125" s="310"/>
      <c r="Y125" s="310"/>
      <c r="Z125" s="310"/>
      <c r="AA125" s="174"/>
      <c r="AB125" s="174"/>
      <c r="AC125" s="174"/>
      <c r="AD125" s="174"/>
      <c r="AE125" s="181"/>
      <c r="AF125" s="44"/>
      <c r="AG125" s="44"/>
      <c r="AH125" s="44"/>
      <c r="AI125" s="44"/>
      <c r="AJ125" s="44"/>
      <c r="AK125" s="44"/>
      <c r="AL125" s="44"/>
      <c r="AM125" s="44"/>
      <c r="AN125" s="44"/>
      <c r="AO125" s="44"/>
      <c r="AP125" s="44"/>
      <c r="AQ125" s="44"/>
      <c r="AR125" s="44"/>
      <c r="AS125" s="44"/>
    </row>
    <row r="126" spans="1:45" ht="159">
      <c r="A126" s="214"/>
      <c r="B126" s="285" t="s">
        <v>271</v>
      </c>
      <c r="C126" s="298" t="s">
        <v>273</v>
      </c>
      <c r="D126" s="184" t="s">
        <v>764</v>
      </c>
      <c r="E126" s="310">
        <v>4</v>
      </c>
      <c r="F126" s="299" t="str">
        <f>""&amp;Table12[[#This Row],[TTM Stage]]&amp;Table12[[#This Row],[Task No.]]&amp;"-"&amp;Table12[[#This Row],[Type of activity]]&amp;"-"&amp;Table12[[#This Row],[TargetGroup]]</f>
        <v>A4-PA5-A-Elderly</v>
      </c>
      <c r="G126" s="311" t="s">
        <v>809</v>
      </c>
      <c r="H126" s="311"/>
      <c r="I126" s="312" t="s">
        <v>949</v>
      </c>
      <c r="J126" s="313"/>
      <c r="K126" s="272" t="s">
        <v>999</v>
      </c>
      <c r="L126" s="429"/>
      <c r="M126" s="300" t="s">
        <v>68</v>
      </c>
      <c r="N126" s="315" t="s">
        <v>1003</v>
      </c>
      <c r="O126" s="315"/>
      <c r="P126" s="315"/>
      <c r="Q126" s="315"/>
      <c r="R126" s="315" t="s">
        <v>964</v>
      </c>
      <c r="S126" s="315"/>
      <c r="T126" s="310"/>
      <c r="U126" s="310"/>
      <c r="V126" s="310"/>
      <c r="W126" s="310"/>
      <c r="X126" s="310"/>
      <c r="Y126" s="310"/>
      <c r="Z126" s="310"/>
      <c r="AA126" s="174"/>
      <c r="AB126" s="174"/>
      <c r="AC126" s="174"/>
      <c r="AD126" s="174"/>
      <c r="AE126" s="181"/>
      <c r="AF126" s="44"/>
      <c r="AG126" s="44"/>
      <c r="AH126" s="44"/>
      <c r="AI126" s="44"/>
      <c r="AJ126" s="44"/>
      <c r="AK126" s="44"/>
      <c r="AL126" s="44"/>
      <c r="AM126" s="44"/>
      <c r="AN126" s="44"/>
      <c r="AO126" s="44"/>
      <c r="AP126" s="44"/>
      <c r="AQ126" s="44"/>
      <c r="AR126" s="44"/>
      <c r="AS126" s="44"/>
    </row>
    <row r="127" spans="1:45" ht="216.75">
      <c r="A127" s="214"/>
      <c r="B127" s="319" t="s">
        <v>271</v>
      </c>
      <c r="C127" s="320" t="s">
        <v>273</v>
      </c>
      <c r="D127" s="310" t="s">
        <v>778</v>
      </c>
      <c r="E127" s="310">
        <v>1</v>
      </c>
      <c r="F127" s="299" t="s">
        <v>1006</v>
      </c>
      <c r="G127" s="311" t="s">
        <v>809</v>
      </c>
      <c r="H127" s="311"/>
      <c r="I127" s="312" t="s">
        <v>949</v>
      </c>
      <c r="J127" s="313"/>
      <c r="K127" s="272" t="s">
        <v>966</v>
      </c>
      <c r="L127" s="429"/>
      <c r="M127" s="300" t="s">
        <v>65</v>
      </c>
      <c r="N127" s="315" t="s">
        <v>967</v>
      </c>
      <c r="O127" s="315"/>
      <c r="P127" s="315"/>
      <c r="Q127" s="315"/>
      <c r="R127" s="315" t="s">
        <v>975</v>
      </c>
      <c r="S127" s="315"/>
      <c r="T127" s="310">
        <v>3</v>
      </c>
      <c r="U127" s="310">
        <v>7</v>
      </c>
      <c r="V127" s="310"/>
      <c r="W127" s="310"/>
      <c r="X127" s="310"/>
      <c r="Y127" s="310"/>
      <c r="Z127" s="310"/>
      <c r="AA127" s="174"/>
      <c r="AB127" s="174"/>
      <c r="AC127" s="174"/>
      <c r="AD127" s="174"/>
      <c r="AE127" s="181"/>
      <c r="AF127" s="44"/>
      <c r="AG127" s="44"/>
      <c r="AH127" s="44"/>
      <c r="AI127" s="44"/>
      <c r="AJ127" s="44"/>
      <c r="AK127" s="44"/>
      <c r="AL127" s="44"/>
      <c r="AM127" s="44"/>
      <c r="AN127" s="44"/>
      <c r="AO127" s="44"/>
      <c r="AP127" s="44"/>
      <c r="AQ127" s="44"/>
      <c r="AR127" s="44"/>
      <c r="AS127" s="44"/>
    </row>
    <row r="128" spans="1:45" ht="216.75">
      <c r="A128" s="214"/>
      <c r="B128" s="319" t="s">
        <v>271</v>
      </c>
      <c r="C128" s="320" t="s">
        <v>273</v>
      </c>
      <c r="D128" s="310" t="s">
        <v>778</v>
      </c>
      <c r="E128" s="310">
        <v>1</v>
      </c>
      <c r="F128" s="299" t="s">
        <v>1007</v>
      </c>
      <c r="G128" s="311" t="s">
        <v>809</v>
      </c>
      <c r="H128" s="311"/>
      <c r="I128" s="312" t="s">
        <v>949</v>
      </c>
      <c r="J128" s="313"/>
      <c r="K128" s="272" t="s">
        <v>966</v>
      </c>
      <c r="L128" s="429"/>
      <c r="M128" s="300" t="s">
        <v>68</v>
      </c>
      <c r="N128" s="315" t="s">
        <v>969</v>
      </c>
      <c r="O128" s="315"/>
      <c r="P128" s="315"/>
      <c r="Q128" s="315"/>
      <c r="R128" s="315" t="s">
        <v>970</v>
      </c>
      <c r="S128" s="315"/>
      <c r="T128" s="310">
        <v>3</v>
      </c>
      <c r="U128" s="310">
        <v>7</v>
      </c>
      <c r="V128" s="310"/>
      <c r="W128" s="310"/>
      <c r="X128" s="310"/>
      <c r="Y128" s="310"/>
      <c r="Z128" s="310"/>
      <c r="AA128" s="174"/>
      <c r="AB128" s="174"/>
      <c r="AC128" s="174"/>
      <c r="AD128" s="174"/>
      <c r="AE128" s="181"/>
      <c r="AF128" s="44"/>
      <c r="AG128" s="44"/>
      <c r="AH128" s="44"/>
      <c r="AI128" s="44"/>
      <c r="AJ128" s="44"/>
      <c r="AK128" s="44"/>
      <c r="AL128" s="44"/>
      <c r="AM128" s="44"/>
      <c r="AN128" s="44"/>
      <c r="AO128" s="44"/>
      <c r="AP128" s="44"/>
      <c r="AQ128" s="44"/>
      <c r="AR128" s="44"/>
      <c r="AS128" s="44"/>
    </row>
    <row r="129" spans="1:45" ht="216.75">
      <c r="A129" s="214"/>
      <c r="B129" s="319" t="s">
        <v>271</v>
      </c>
      <c r="C129" s="320" t="s">
        <v>273</v>
      </c>
      <c r="D129" s="310" t="s">
        <v>778</v>
      </c>
      <c r="E129" s="310">
        <v>2</v>
      </c>
      <c r="F129" s="299" t="s">
        <v>1006</v>
      </c>
      <c r="G129" s="311" t="s">
        <v>809</v>
      </c>
      <c r="H129" s="311"/>
      <c r="I129" s="312" t="s">
        <v>949</v>
      </c>
      <c r="J129" s="313"/>
      <c r="K129" s="272" t="s">
        <v>966</v>
      </c>
      <c r="L129" s="429"/>
      <c r="M129" s="300" t="s">
        <v>65</v>
      </c>
      <c r="N129" s="315" t="s">
        <v>972</v>
      </c>
      <c r="O129" s="315"/>
      <c r="P129" s="315"/>
      <c r="Q129" s="315"/>
      <c r="R129" s="315" t="s">
        <v>973</v>
      </c>
      <c r="S129" s="315"/>
      <c r="T129" s="310">
        <v>3</v>
      </c>
      <c r="U129" s="310">
        <v>7</v>
      </c>
      <c r="V129" s="310"/>
      <c r="W129" s="310"/>
      <c r="X129" s="310"/>
      <c r="Y129" s="310"/>
      <c r="Z129" s="310"/>
      <c r="AA129" s="174"/>
      <c r="AB129" s="174"/>
      <c r="AC129" s="174"/>
      <c r="AD129" s="174"/>
      <c r="AE129" s="181"/>
      <c r="AF129" s="44"/>
      <c r="AG129" s="44"/>
      <c r="AH129" s="44"/>
      <c r="AI129" s="44"/>
      <c r="AJ129" s="44"/>
      <c r="AK129" s="44"/>
      <c r="AL129" s="44"/>
      <c r="AM129" s="44"/>
      <c r="AN129" s="44"/>
      <c r="AO129" s="44"/>
      <c r="AP129" s="44"/>
      <c r="AQ129" s="44"/>
      <c r="AR129" s="44"/>
      <c r="AS129" s="44"/>
    </row>
    <row r="130" spans="1:45" ht="159">
      <c r="A130" s="214"/>
      <c r="B130" s="319" t="s">
        <v>271</v>
      </c>
      <c r="C130" s="320" t="s">
        <v>273</v>
      </c>
      <c r="D130" s="310" t="s">
        <v>778</v>
      </c>
      <c r="E130" s="310">
        <v>2</v>
      </c>
      <c r="F130" s="299" t="s">
        <v>1007</v>
      </c>
      <c r="G130" s="311" t="s">
        <v>809</v>
      </c>
      <c r="H130" s="311"/>
      <c r="I130" s="312" t="s">
        <v>949</v>
      </c>
      <c r="J130" s="313"/>
      <c r="K130" s="272" t="s">
        <v>966</v>
      </c>
      <c r="L130" s="429"/>
      <c r="M130" s="300" t="s">
        <v>68</v>
      </c>
      <c r="N130" s="315" t="s">
        <v>974</v>
      </c>
      <c r="O130" s="315"/>
      <c r="P130" s="315"/>
      <c r="Q130" s="315"/>
      <c r="R130" s="315" t="s">
        <v>959</v>
      </c>
      <c r="S130" s="315"/>
      <c r="T130" s="310">
        <v>3</v>
      </c>
      <c r="U130" s="310">
        <v>7</v>
      </c>
      <c r="V130" s="310"/>
      <c r="W130" s="310"/>
      <c r="X130" s="310"/>
      <c r="Y130" s="310"/>
      <c r="Z130" s="310"/>
      <c r="AA130" s="174"/>
      <c r="AB130" s="174"/>
      <c r="AC130" s="174"/>
      <c r="AD130" s="174"/>
      <c r="AE130" s="181"/>
      <c r="AF130" s="44"/>
      <c r="AG130" s="44"/>
      <c r="AH130" s="44"/>
      <c r="AI130" s="44"/>
      <c r="AJ130" s="44"/>
      <c r="AK130" s="44"/>
      <c r="AL130" s="44"/>
      <c r="AM130" s="44"/>
      <c r="AN130" s="44"/>
      <c r="AO130" s="44"/>
      <c r="AP130" s="44"/>
      <c r="AQ130" s="44"/>
      <c r="AR130" s="44"/>
      <c r="AS130" s="44"/>
    </row>
    <row r="131" spans="1:45" ht="159">
      <c r="A131" s="214"/>
      <c r="B131" s="319" t="s">
        <v>271</v>
      </c>
      <c r="C131" s="320" t="s">
        <v>273</v>
      </c>
      <c r="D131" s="310" t="s">
        <v>778</v>
      </c>
      <c r="E131" s="310">
        <v>3</v>
      </c>
      <c r="F131" s="299" t="s">
        <v>1006</v>
      </c>
      <c r="G131" s="311" t="s">
        <v>809</v>
      </c>
      <c r="H131" s="311"/>
      <c r="I131" s="312" t="s">
        <v>949</v>
      </c>
      <c r="J131" s="313"/>
      <c r="K131" s="272" t="s">
        <v>966</v>
      </c>
      <c r="L131" s="429"/>
      <c r="M131" s="300" t="s">
        <v>65</v>
      </c>
      <c r="N131" s="315" t="s">
        <v>976</v>
      </c>
      <c r="O131" s="315"/>
      <c r="P131" s="315"/>
      <c r="Q131" s="315"/>
      <c r="R131" s="315" t="s">
        <v>1008</v>
      </c>
      <c r="S131" s="315"/>
      <c r="T131" s="310">
        <v>3</v>
      </c>
      <c r="U131" s="310">
        <v>7</v>
      </c>
      <c r="V131" s="310"/>
      <c r="W131" s="310"/>
      <c r="X131" s="310"/>
      <c r="Y131" s="310"/>
      <c r="Z131" s="310"/>
      <c r="AA131" s="174"/>
      <c r="AB131" s="174"/>
      <c r="AC131" s="174"/>
      <c r="AD131" s="174"/>
      <c r="AE131" s="181"/>
      <c r="AF131" s="44"/>
      <c r="AG131" s="44"/>
      <c r="AH131" s="44"/>
      <c r="AI131" s="44"/>
      <c r="AJ131" s="44"/>
      <c r="AK131" s="44"/>
      <c r="AL131" s="44"/>
      <c r="AM131" s="44"/>
      <c r="AN131" s="44"/>
      <c r="AO131" s="44"/>
      <c r="AP131" s="44"/>
      <c r="AQ131" s="44"/>
      <c r="AR131" s="44"/>
      <c r="AS131" s="44"/>
    </row>
    <row r="132" spans="1:45" ht="216.75">
      <c r="A132" s="214"/>
      <c r="B132" s="319" t="s">
        <v>271</v>
      </c>
      <c r="C132" s="320" t="s">
        <v>273</v>
      </c>
      <c r="D132" s="310" t="s">
        <v>778</v>
      </c>
      <c r="E132" s="310">
        <v>3</v>
      </c>
      <c r="F132" s="299" t="s">
        <v>1007</v>
      </c>
      <c r="G132" s="311" t="s">
        <v>809</v>
      </c>
      <c r="H132" s="311"/>
      <c r="I132" s="312" t="s">
        <v>949</v>
      </c>
      <c r="J132" s="313"/>
      <c r="K132" s="272" t="s">
        <v>966</v>
      </c>
      <c r="L132" s="429"/>
      <c r="M132" s="300" t="s">
        <v>68</v>
      </c>
      <c r="N132" s="315" t="s">
        <v>972</v>
      </c>
      <c r="O132" s="315"/>
      <c r="P132" s="315"/>
      <c r="Q132" s="315"/>
      <c r="R132" s="315" t="s">
        <v>973</v>
      </c>
      <c r="S132" s="315"/>
      <c r="T132" s="310">
        <v>3</v>
      </c>
      <c r="U132" s="310">
        <v>7</v>
      </c>
      <c r="V132" s="310"/>
      <c r="W132" s="310"/>
      <c r="X132" s="310"/>
      <c r="Y132" s="310"/>
      <c r="Z132" s="310"/>
      <c r="AA132" s="174"/>
      <c r="AB132" s="174"/>
      <c r="AC132" s="174"/>
      <c r="AD132" s="174"/>
      <c r="AE132" s="181"/>
      <c r="AF132" s="44"/>
      <c r="AG132" s="44"/>
      <c r="AH132" s="44"/>
      <c r="AI132" s="44"/>
      <c r="AJ132" s="44"/>
      <c r="AK132" s="44"/>
      <c r="AL132" s="44"/>
      <c r="AM132" s="44"/>
      <c r="AN132" s="44"/>
      <c r="AO132" s="44"/>
      <c r="AP132" s="44"/>
      <c r="AQ132" s="44"/>
      <c r="AR132" s="44"/>
      <c r="AS132" s="44"/>
    </row>
    <row r="133" spans="1:45" ht="216.75">
      <c r="A133" s="214"/>
      <c r="B133" s="319" t="s">
        <v>271</v>
      </c>
      <c r="C133" s="320" t="s">
        <v>273</v>
      </c>
      <c r="D133" s="310" t="s">
        <v>778</v>
      </c>
      <c r="E133" s="310">
        <v>4</v>
      </c>
      <c r="F133" s="299" t="s">
        <v>1006</v>
      </c>
      <c r="G133" s="311" t="s">
        <v>809</v>
      </c>
      <c r="H133" s="311"/>
      <c r="I133" s="312" t="s">
        <v>949</v>
      </c>
      <c r="J133" s="313"/>
      <c r="K133" s="272" t="s">
        <v>966</v>
      </c>
      <c r="L133" s="429"/>
      <c r="M133" s="300" t="s">
        <v>65</v>
      </c>
      <c r="N133" s="315" t="s">
        <v>978</v>
      </c>
      <c r="O133" s="315"/>
      <c r="P133" s="315"/>
      <c r="Q133" s="315"/>
      <c r="R133" s="315" t="s">
        <v>979</v>
      </c>
      <c r="S133" s="315"/>
      <c r="T133" s="310">
        <v>3</v>
      </c>
      <c r="U133" s="310">
        <v>7</v>
      </c>
      <c r="V133" s="310"/>
      <c r="W133" s="310"/>
      <c r="X133" s="310"/>
      <c r="Y133" s="310"/>
      <c r="Z133" s="310"/>
      <c r="AA133" s="174"/>
      <c r="AB133" s="174"/>
      <c r="AC133" s="174"/>
      <c r="AD133" s="174"/>
      <c r="AE133" s="181"/>
      <c r="AF133" s="44"/>
      <c r="AG133" s="44"/>
      <c r="AH133" s="44"/>
      <c r="AI133" s="44"/>
      <c r="AJ133" s="44"/>
      <c r="AK133" s="44"/>
      <c r="AL133" s="44"/>
      <c r="AM133" s="44"/>
      <c r="AN133" s="44"/>
      <c r="AO133" s="44"/>
      <c r="AP133" s="44"/>
      <c r="AQ133" s="44"/>
      <c r="AR133" s="44"/>
      <c r="AS133" s="44"/>
    </row>
    <row r="134" spans="1:45" ht="216.75">
      <c r="A134" s="214"/>
      <c r="B134" s="323" t="s">
        <v>271</v>
      </c>
      <c r="C134" s="324" t="s">
        <v>273</v>
      </c>
      <c r="D134" s="325" t="s">
        <v>778</v>
      </c>
      <c r="E134" s="325">
        <v>4</v>
      </c>
      <c r="F134" s="326" t="s">
        <v>1007</v>
      </c>
      <c r="G134" s="327" t="s">
        <v>809</v>
      </c>
      <c r="H134" s="327"/>
      <c r="I134" s="328" t="s">
        <v>949</v>
      </c>
      <c r="J134" s="329"/>
      <c r="K134" s="291" t="s">
        <v>966</v>
      </c>
      <c r="L134" s="431"/>
      <c r="M134" s="330" t="s">
        <v>68</v>
      </c>
      <c r="N134" s="331" t="s">
        <v>976</v>
      </c>
      <c r="O134" s="331"/>
      <c r="P134" s="331"/>
      <c r="Q134" s="331"/>
      <c r="R134" s="331" t="s">
        <v>977</v>
      </c>
      <c r="S134" s="331"/>
      <c r="T134" s="325">
        <v>3</v>
      </c>
      <c r="U134" s="325">
        <v>7</v>
      </c>
      <c r="V134" s="325"/>
      <c r="W134" s="325"/>
      <c r="X134" s="325"/>
      <c r="Y134" s="325"/>
      <c r="Z134" s="325"/>
      <c r="AA134" s="188"/>
      <c r="AB134" s="188"/>
      <c r="AC134" s="188"/>
      <c r="AD134" s="188"/>
      <c r="AE134" s="192"/>
      <c r="AF134" s="44"/>
      <c r="AG134" s="44"/>
      <c r="AH134" s="44"/>
      <c r="AI134" s="44"/>
      <c r="AJ134" s="44"/>
      <c r="AK134" s="44"/>
      <c r="AL134" s="44"/>
      <c r="AM134" s="44"/>
      <c r="AN134" s="44"/>
      <c r="AO134" s="44"/>
      <c r="AP134" s="44"/>
      <c r="AQ134" s="44"/>
      <c r="AR134" s="44"/>
      <c r="AS134" s="44"/>
    </row>
    <row r="135" spans="1:45" ht="130.5">
      <c r="A135" s="214"/>
      <c r="B135" s="354" t="s">
        <v>308</v>
      </c>
      <c r="C135" s="367" t="s">
        <v>1009</v>
      </c>
      <c r="D135" s="379" t="s">
        <v>735</v>
      </c>
      <c r="E135" s="380">
        <v>1</v>
      </c>
      <c r="F135" s="299" t="s">
        <v>1010</v>
      </c>
      <c r="G135" s="384" t="s">
        <v>828</v>
      </c>
      <c r="H135" s="384" t="s">
        <v>1</v>
      </c>
      <c r="I135" s="395" t="s">
        <v>757</v>
      </c>
      <c r="J135" s="395"/>
      <c r="K135" s="432" t="s">
        <v>1011</v>
      </c>
      <c r="L135" s="432" t="s">
        <v>1012</v>
      </c>
      <c r="M135" s="386" t="s">
        <v>65</v>
      </c>
      <c r="N135" s="387" t="s">
        <v>1013</v>
      </c>
      <c r="O135" s="387" t="s">
        <v>1014</v>
      </c>
      <c r="P135" s="387"/>
      <c r="Q135" s="387"/>
      <c r="R135" s="387" t="s">
        <v>1015</v>
      </c>
      <c r="S135" s="387" t="s">
        <v>1016</v>
      </c>
      <c r="T135" s="380">
        <v>1</v>
      </c>
      <c r="U135" s="380">
        <v>7</v>
      </c>
      <c r="V135" s="446" t="s">
        <v>1017</v>
      </c>
      <c r="W135" s="380" t="s">
        <v>953</v>
      </c>
      <c r="X135" s="380" t="s">
        <v>828</v>
      </c>
      <c r="Y135" s="380" t="s">
        <v>1018</v>
      </c>
      <c r="Z135" s="380" t="s">
        <v>1019</v>
      </c>
      <c r="AA135" s="380" t="s">
        <v>1</v>
      </c>
      <c r="AB135" s="380" t="s">
        <v>1</v>
      </c>
      <c r="AC135" s="380" t="s">
        <v>768</v>
      </c>
      <c r="AD135" s="380" t="s">
        <v>1</v>
      </c>
      <c r="AE135" s="397" t="s">
        <v>1</v>
      </c>
      <c r="AF135" s="44"/>
      <c r="AG135" s="44"/>
      <c r="AH135" s="44"/>
      <c r="AI135" s="44"/>
      <c r="AJ135" s="44"/>
      <c r="AK135" s="44"/>
      <c r="AL135" s="44"/>
      <c r="AM135" s="44"/>
      <c r="AN135" s="44"/>
      <c r="AO135" s="44"/>
      <c r="AP135" s="44"/>
      <c r="AQ135" s="44"/>
      <c r="AR135" s="44"/>
      <c r="AS135" s="44"/>
    </row>
    <row r="136" spans="1:45" s="469" customFormat="1" ht="45">
      <c r="A136" s="456"/>
      <c r="B136" s="472" t="s">
        <v>1020</v>
      </c>
      <c r="C136" s="458" t="s">
        <v>1021</v>
      </c>
      <c r="D136" s="446" t="s">
        <v>735</v>
      </c>
      <c r="E136" s="446">
        <v>2</v>
      </c>
      <c r="F136" s="460" t="s">
        <v>1022</v>
      </c>
      <c r="G136" s="461" t="s">
        <v>840</v>
      </c>
      <c r="H136" s="461" t="s">
        <v>1</v>
      </c>
      <c r="I136" s="462" t="s">
        <v>757</v>
      </c>
      <c r="J136" s="463" t="s">
        <v>1</v>
      </c>
      <c r="K136" s="464" t="s">
        <v>1023</v>
      </c>
      <c r="L136" s="470" t="s">
        <v>1024</v>
      </c>
      <c r="M136" s="465" t="s">
        <v>65</v>
      </c>
      <c r="N136" s="466" t="s">
        <v>1025</v>
      </c>
      <c r="O136" s="466" t="s">
        <v>1026</v>
      </c>
      <c r="P136" s="466"/>
      <c r="Q136" s="466"/>
      <c r="R136" s="466" t="s">
        <v>1</v>
      </c>
      <c r="S136" s="466"/>
      <c r="T136" s="446">
        <v>1</v>
      </c>
      <c r="U136" s="446">
        <v>7</v>
      </c>
      <c r="V136" s="446" t="s">
        <v>953</v>
      </c>
      <c r="W136" s="446" t="s">
        <v>953</v>
      </c>
      <c r="X136" s="446" t="s">
        <v>1027</v>
      </c>
      <c r="Y136" s="446" t="s">
        <v>1028</v>
      </c>
      <c r="Z136" s="446" t="s">
        <v>1019</v>
      </c>
      <c r="AA136" s="446" t="s">
        <v>1</v>
      </c>
      <c r="AB136" s="446" t="s">
        <v>1</v>
      </c>
      <c r="AC136" s="446" t="s">
        <v>768</v>
      </c>
      <c r="AD136" s="446" t="s">
        <v>1</v>
      </c>
      <c r="AE136" s="467" t="s">
        <v>1</v>
      </c>
      <c r="AF136" s="468"/>
      <c r="AG136" s="468"/>
      <c r="AH136" s="468"/>
      <c r="AI136" s="468"/>
      <c r="AJ136" s="468"/>
      <c r="AK136" s="468"/>
      <c r="AL136" s="468"/>
      <c r="AM136" s="468"/>
      <c r="AN136" s="468"/>
      <c r="AO136" s="468"/>
      <c r="AP136" s="468"/>
      <c r="AQ136" s="468"/>
      <c r="AR136" s="468"/>
      <c r="AS136" s="468"/>
    </row>
    <row r="137" spans="1:45" ht="45">
      <c r="A137" s="214"/>
      <c r="B137" s="355" t="s">
        <v>1020</v>
      </c>
      <c r="C137" s="367" t="s">
        <v>1021</v>
      </c>
      <c r="D137" s="380" t="s">
        <v>743</v>
      </c>
      <c r="E137" s="380">
        <v>1</v>
      </c>
      <c r="F137" s="299" t="s">
        <v>1029</v>
      </c>
      <c r="G137" s="384" t="s">
        <v>840</v>
      </c>
      <c r="H137" s="384" t="s">
        <v>1</v>
      </c>
      <c r="I137" s="395" t="s">
        <v>757</v>
      </c>
      <c r="J137" s="396" t="s">
        <v>1</v>
      </c>
      <c r="K137" s="385" t="s">
        <v>1030</v>
      </c>
      <c r="L137" s="432" t="s">
        <v>1031</v>
      </c>
      <c r="M137" s="386" t="s">
        <v>65</v>
      </c>
      <c r="N137" s="387" t="s">
        <v>1032</v>
      </c>
      <c r="O137" s="387" t="s">
        <v>1033</v>
      </c>
      <c r="P137" s="387"/>
      <c r="Q137" s="387"/>
      <c r="R137" s="387" t="s">
        <v>1</v>
      </c>
      <c r="S137" s="387"/>
      <c r="T137" s="380">
        <v>1</v>
      </c>
      <c r="U137" s="380">
        <v>7</v>
      </c>
      <c r="V137" s="446" t="s">
        <v>953</v>
      </c>
      <c r="W137" s="380" t="s">
        <v>953</v>
      </c>
      <c r="X137" s="380" t="s">
        <v>1027</v>
      </c>
      <c r="Y137" s="380" t="s">
        <v>1028</v>
      </c>
      <c r="Z137" s="380" t="s">
        <v>1019</v>
      </c>
      <c r="AA137" s="380" t="s">
        <v>1</v>
      </c>
      <c r="AB137" s="380" t="s">
        <v>1</v>
      </c>
      <c r="AC137" s="380" t="s">
        <v>768</v>
      </c>
      <c r="AD137" s="380" t="s">
        <v>1</v>
      </c>
      <c r="AE137" s="397" t="s">
        <v>1</v>
      </c>
      <c r="AF137" s="44"/>
      <c r="AG137" s="44"/>
      <c r="AH137" s="44"/>
      <c r="AI137" s="44"/>
      <c r="AJ137" s="44"/>
      <c r="AK137" s="44"/>
      <c r="AL137" s="44"/>
      <c r="AM137" s="44"/>
      <c r="AN137" s="44"/>
      <c r="AO137" s="44"/>
      <c r="AP137" s="44"/>
      <c r="AQ137" s="44"/>
      <c r="AR137" s="44"/>
      <c r="AS137" s="44"/>
    </row>
    <row r="138" spans="1:45" ht="46.5">
      <c r="A138" s="214"/>
      <c r="B138" s="355" t="s">
        <v>1020</v>
      </c>
      <c r="C138" s="367" t="s">
        <v>1021</v>
      </c>
      <c r="D138" s="380" t="s">
        <v>743</v>
      </c>
      <c r="E138" s="380">
        <v>2</v>
      </c>
      <c r="F138" s="299" t="s">
        <v>1034</v>
      </c>
      <c r="G138" s="384" t="s">
        <v>840</v>
      </c>
      <c r="H138" s="384" t="s">
        <v>1</v>
      </c>
      <c r="I138" s="395" t="s">
        <v>757</v>
      </c>
      <c r="J138" s="396" t="s">
        <v>1</v>
      </c>
      <c r="K138" s="385" t="s">
        <v>1035</v>
      </c>
      <c r="L138" s="432" t="s">
        <v>1036</v>
      </c>
      <c r="M138" s="386" t="s">
        <v>65</v>
      </c>
      <c r="N138" s="387" t="s">
        <v>1037</v>
      </c>
      <c r="O138" s="387" t="s">
        <v>1038</v>
      </c>
      <c r="P138" s="387"/>
      <c r="Q138" s="387"/>
      <c r="R138" s="387" t="s">
        <v>1</v>
      </c>
      <c r="S138" s="387"/>
      <c r="T138" s="380">
        <v>2</v>
      </c>
      <c r="U138" s="380">
        <v>15</v>
      </c>
      <c r="V138" s="446" t="s">
        <v>953</v>
      </c>
      <c r="W138" s="380" t="s">
        <v>953</v>
      </c>
      <c r="X138" s="380" t="s">
        <v>1027</v>
      </c>
      <c r="Y138" s="380" t="s">
        <v>1028</v>
      </c>
      <c r="Z138" s="380" t="s">
        <v>1019</v>
      </c>
      <c r="AA138" s="380" t="s">
        <v>1</v>
      </c>
      <c r="AB138" s="380" t="s">
        <v>1</v>
      </c>
      <c r="AC138" s="380" t="s">
        <v>768</v>
      </c>
      <c r="AD138" s="380" t="s">
        <v>1</v>
      </c>
      <c r="AE138" s="397" t="s">
        <v>1</v>
      </c>
      <c r="AF138" s="44"/>
      <c r="AG138" s="44"/>
      <c r="AH138" s="44"/>
      <c r="AI138" s="44"/>
      <c r="AJ138" s="44"/>
      <c r="AK138" s="44"/>
      <c r="AL138" s="44"/>
      <c r="AM138" s="44"/>
      <c r="AN138" s="44"/>
      <c r="AO138" s="44"/>
      <c r="AP138" s="44"/>
      <c r="AQ138" s="44"/>
      <c r="AR138" s="44"/>
      <c r="AS138" s="44"/>
    </row>
    <row r="139" spans="1:45" s="469" customFormat="1" ht="90">
      <c r="A139" s="456"/>
      <c r="B139" s="457" t="s">
        <v>1020</v>
      </c>
      <c r="C139" s="458" t="s">
        <v>1021</v>
      </c>
      <c r="D139" s="446" t="s">
        <v>750</v>
      </c>
      <c r="E139" s="446">
        <v>1</v>
      </c>
      <c r="F139" s="460" t="s">
        <v>1039</v>
      </c>
      <c r="G139" s="461" t="s">
        <v>809</v>
      </c>
      <c r="H139" s="461" t="s">
        <v>1</v>
      </c>
      <c r="I139" s="462" t="s">
        <v>757</v>
      </c>
      <c r="J139" s="463" t="s">
        <v>1</v>
      </c>
      <c r="K139" s="464" t="s">
        <v>1040</v>
      </c>
      <c r="L139" s="470" t="s">
        <v>1041</v>
      </c>
      <c r="M139" s="465" t="s">
        <v>65</v>
      </c>
      <c r="N139" s="466" t="s">
        <v>1042</v>
      </c>
      <c r="O139" s="466" t="s">
        <v>1043</v>
      </c>
      <c r="P139" s="466"/>
      <c r="Q139" s="466"/>
      <c r="R139" s="466" t="s">
        <v>1</v>
      </c>
      <c r="S139" s="466"/>
      <c r="T139" s="446">
        <v>3</v>
      </c>
      <c r="U139" s="446">
        <v>15</v>
      </c>
      <c r="V139" s="446" t="s">
        <v>1017</v>
      </c>
      <c r="W139" s="446" t="s">
        <v>953</v>
      </c>
      <c r="X139" s="446" t="s">
        <v>1027</v>
      </c>
      <c r="Y139" s="446" t="s">
        <v>1028</v>
      </c>
      <c r="Z139" s="446" t="s">
        <v>1019</v>
      </c>
      <c r="AA139" s="446" t="s">
        <v>1</v>
      </c>
      <c r="AB139" s="446" t="s">
        <v>1</v>
      </c>
      <c r="AC139" s="446" t="s">
        <v>768</v>
      </c>
      <c r="AD139" s="446" t="s">
        <v>1</v>
      </c>
      <c r="AE139" s="467" t="s">
        <v>1</v>
      </c>
      <c r="AF139" s="468"/>
      <c r="AG139" s="468"/>
      <c r="AH139" s="468"/>
      <c r="AI139" s="468"/>
      <c r="AJ139" s="468"/>
      <c r="AK139" s="468"/>
      <c r="AL139" s="468"/>
      <c r="AM139" s="468"/>
      <c r="AN139" s="468"/>
      <c r="AO139" s="468"/>
      <c r="AP139" s="468"/>
      <c r="AQ139" s="468"/>
      <c r="AR139" s="468"/>
      <c r="AS139" s="468"/>
    </row>
    <row r="140" spans="1:45" ht="90">
      <c r="A140" s="214"/>
      <c r="B140" s="355" t="s">
        <v>1020</v>
      </c>
      <c r="C140" s="367" t="s">
        <v>1021</v>
      </c>
      <c r="D140" s="381" t="s">
        <v>750</v>
      </c>
      <c r="E140" s="380">
        <v>2</v>
      </c>
      <c r="F140" s="299" t="s">
        <v>1044</v>
      </c>
      <c r="G140" s="384" t="s">
        <v>756</v>
      </c>
      <c r="H140" s="384" t="s">
        <v>1</v>
      </c>
      <c r="I140" s="395" t="s">
        <v>1045</v>
      </c>
      <c r="J140" s="396" t="s">
        <v>1</v>
      </c>
      <c r="K140" s="385" t="s">
        <v>1046</v>
      </c>
      <c r="L140" s="432" t="s">
        <v>1047</v>
      </c>
      <c r="M140" s="386" t="s">
        <v>65</v>
      </c>
      <c r="N140" s="387" t="s">
        <v>1048</v>
      </c>
      <c r="O140" s="387" t="s">
        <v>1049</v>
      </c>
      <c r="P140" s="387"/>
      <c r="Q140" s="387"/>
      <c r="R140" s="387" t="s">
        <v>1</v>
      </c>
      <c r="S140" s="387"/>
      <c r="T140" s="380">
        <v>1</v>
      </c>
      <c r="U140" s="380">
        <v>7</v>
      </c>
      <c r="V140" s="446" t="s">
        <v>1017</v>
      </c>
      <c r="W140" s="380" t="s">
        <v>953</v>
      </c>
      <c r="X140" s="380" t="s">
        <v>1027</v>
      </c>
      <c r="Y140" s="380" t="s">
        <v>1050</v>
      </c>
      <c r="Z140" s="380" t="s">
        <v>1051</v>
      </c>
      <c r="AA140" s="380" t="s">
        <v>1</v>
      </c>
      <c r="AB140" s="380" t="s">
        <v>1</v>
      </c>
      <c r="AC140" s="380" t="s">
        <v>768</v>
      </c>
      <c r="AD140" s="380" t="s">
        <v>1</v>
      </c>
      <c r="AE140" s="397" t="s">
        <v>1</v>
      </c>
      <c r="AF140" s="44"/>
      <c r="AG140" s="44"/>
      <c r="AH140" s="44"/>
      <c r="AI140" s="44"/>
      <c r="AJ140" s="44"/>
      <c r="AK140" s="44"/>
      <c r="AL140" s="44"/>
      <c r="AM140" s="44"/>
      <c r="AN140" s="44"/>
      <c r="AO140" s="44"/>
      <c r="AP140" s="44"/>
      <c r="AQ140" s="44"/>
      <c r="AR140" s="44"/>
      <c r="AS140" s="44"/>
    </row>
    <row r="141" spans="1:45" ht="90">
      <c r="A141" s="214"/>
      <c r="B141" s="355" t="s">
        <v>1020</v>
      </c>
      <c r="C141" s="367" t="s">
        <v>1052</v>
      </c>
      <c r="D141" s="382" t="s">
        <v>764</v>
      </c>
      <c r="E141" s="380">
        <v>1</v>
      </c>
      <c r="F141" s="299" t="s">
        <v>1053</v>
      </c>
      <c r="G141" s="384" t="s">
        <v>756</v>
      </c>
      <c r="H141" s="384" t="s">
        <v>1</v>
      </c>
      <c r="I141" s="395" t="s">
        <v>1045</v>
      </c>
      <c r="J141" s="396" t="s">
        <v>1</v>
      </c>
      <c r="K141" s="385" t="s">
        <v>1054</v>
      </c>
      <c r="L141" s="432" t="s">
        <v>1055</v>
      </c>
      <c r="M141" s="386" t="s">
        <v>65</v>
      </c>
      <c r="N141" s="387" t="s">
        <v>1056</v>
      </c>
      <c r="O141" s="387" t="s">
        <v>1057</v>
      </c>
      <c r="P141" s="387"/>
      <c r="Q141" s="387"/>
      <c r="R141" s="387" t="s">
        <v>1</v>
      </c>
      <c r="S141" s="387"/>
      <c r="T141" s="380">
        <v>1</v>
      </c>
      <c r="U141" s="380">
        <v>7</v>
      </c>
      <c r="V141" s="446" t="s">
        <v>1017</v>
      </c>
      <c r="W141" s="380" t="s">
        <v>953</v>
      </c>
      <c r="X141" s="380" t="s">
        <v>1027</v>
      </c>
      <c r="Y141" s="380" t="s">
        <v>1050</v>
      </c>
      <c r="Z141" s="380" t="s">
        <v>1051</v>
      </c>
      <c r="AA141" s="380" t="s">
        <v>1</v>
      </c>
      <c r="AB141" s="380" t="s">
        <v>1</v>
      </c>
      <c r="AC141" s="380" t="s">
        <v>768</v>
      </c>
      <c r="AD141" s="380" t="s">
        <v>1</v>
      </c>
      <c r="AE141" s="397" t="s">
        <v>1</v>
      </c>
      <c r="AF141" s="44"/>
      <c r="AG141" s="44"/>
      <c r="AH141" s="44"/>
      <c r="AI141" s="44"/>
      <c r="AJ141" s="44"/>
      <c r="AK141" s="44"/>
      <c r="AL141" s="44"/>
      <c r="AM141" s="44"/>
      <c r="AN141" s="44"/>
      <c r="AO141" s="44"/>
      <c r="AP141" s="44"/>
      <c r="AQ141" s="44"/>
      <c r="AR141" s="44"/>
      <c r="AS141" s="44"/>
    </row>
    <row r="142" spans="1:45" ht="104.25">
      <c r="A142" s="214"/>
      <c r="B142" s="355" t="s">
        <v>1020</v>
      </c>
      <c r="C142" s="367" t="s">
        <v>1052</v>
      </c>
      <c r="D142" s="382" t="s">
        <v>764</v>
      </c>
      <c r="E142" s="380">
        <v>2</v>
      </c>
      <c r="F142" s="299" t="s">
        <v>1058</v>
      </c>
      <c r="G142" s="384" t="s">
        <v>840</v>
      </c>
      <c r="H142" s="384" t="s">
        <v>1</v>
      </c>
      <c r="I142" s="395" t="s">
        <v>757</v>
      </c>
      <c r="J142" s="396" t="s">
        <v>1</v>
      </c>
      <c r="K142" s="385" t="s">
        <v>1059</v>
      </c>
      <c r="L142" s="432" t="s">
        <v>1060</v>
      </c>
      <c r="M142" s="386" t="s">
        <v>65</v>
      </c>
      <c r="N142" s="387" t="s">
        <v>1061</v>
      </c>
      <c r="O142" s="387" t="s">
        <v>1062</v>
      </c>
      <c r="P142" s="387"/>
      <c r="Q142" s="387"/>
      <c r="R142" s="387" t="s">
        <v>1</v>
      </c>
      <c r="S142" s="387"/>
      <c r="T142" s="380">
        <v>2</v>
      </c>
      <c r="U142" s="380">
        <v>15</v>
      </c>
      <c r="V142" s="446" t="s">
        <v>953</v>
      </c>
      <c r="W142" s="380" t="s">
        <v>953</v>
      </c>
      <c r="X142" s="380" t="s">
        <v>1027</v>
      </c>
      <c r="Y142" s="380" t="s">
        <v>1028</v>
      </c>
      <c r="Z142" s="380" t="s">
        <v>1019</v>
      </c>
      <c r="AA142" s="380" t="s">
        <v>1</v>
      </c>
      <c r="AB142" s="380" t="s">
        <v>1</v>
      </c>
      <c r="AC142" s="380" t="s">
        <v>768</v>
      </c>
      <c r="AD142" s="380" t="s">
        <v>1</v>
      </c>
      <c r="AE142" s="397" t="s">
        <v>1</v>
      </c>
      <c r="AF142" s="44"/>
      <c r="AG142" s="44"/>
      <c r="AH142" s="44"/>
      <c r="AI142" s="44"/>
      <c r="AJ142" s="44"/>
      <c r="AK142" s="44"/>
      <c r="AL142" s="44"/>
      <c r="AM142" s="44"/>
      <c r="AN142" s="44"/>
      <c r="AO142" s="44"/>
      <c r="AP142" s="44"/>
      <c r="AQ142" s="44"/>
      <c r="AR142" s="44"/>
      <c r="AS142" s="44"/>
    </row>
    <row r="143" spans="1:45" ht="104.25">
      <c r="A143" s="214"/>
      <c r="B143" s="355" t="s">
        <v>1020</v>
      </c>
      <c r="C143" s="367" t="s">
        <v>1052</v>
      </c>
      <c r="D143" s="382" t="s">
        <v>764</v>
      </c>
      <c r="E143" s="380">
        <v>3</v>
      </c>
      <c r="F143" s="299" t="s">
        <v>1063</v>
      </c>
      <c r="G143" s="384" t="s">
        <v>840</v>
      </c>
      <c r="H143" s="384" t="s">
        <v>1</v>
      </c>
      <c r="I143" s="395" t="s">
        <v>757</v>
      </c>
      <c r="J143" s="396" t="s">
        <v>1</v>
      </c>
      <c r="K143" s="385" t="s">
        <v>1064</v>
      </c>
      <c r="L143" s="432" t="s">
        <v>1065</v>
      </c>
      <c r="M143" s="386" t="s">
        <v>65</v>
      </c>
      <c r="N143" s="387" t="s">
        <v>1066</v>
      </c>
      <c r="O143" s="387" t="s">
        <v>1067</v>
      </c>
      <c r="P143" s="387"/>
      <c r="Q143" s="387"/>
      <c r="R143" s="387" t="s">
        <v>1</v>
      </c>
      <c r="S143" s="387"/>
      <c r="T143" s="380">
        <v>2</v>
      </c>
      <c r="U143" s="380">
        <v>15</v>
      </c>
      <c r="V143" s="446" t="s">
        <v>1017</v>
      </c>
      <c r="W143" s="380" t="s">
        <v>953</v>
      </c>
      <c r="X143" s="380" t="s">
        <v>1027</v>
      </c>
      <c r="Y143" s="380" t="s">
        <v>1050</v>
      </c>
      <c r="Z143" s="380" t="s">
        <v>1051</v>
      </c>
      <c r="AA143" s="380" t="s">
        <v>1</v>
      </c>
      <c r="AB143" s="380" t="s">
        <v>1</v>
      </c>
      <c r="AC143" s="380" t="s">
        <v>768</v>
      </c>
      <c r="AD143" s="380" t="s">
        <v>1</v>
      </c>
      <c r="AE143" s="397" t="s">
        <v>1</v>
      </c>
      <c r="AF143" s="44"/>
      <c r="AG143" s="44"/>
      <c r="AH143" s="44"/>
      <c r="AI143" s="44"/>
      <c r="AJ143" s="44"/>
      <c r="AK143" s="44"/>
      <c r="AL143" s="44"/>
      <c r="AM143" s="44"/>
      <c r="AN143" s="44"/>
      <c r="AO143" s="44"/>
      <c r="AP143" s="44"/>
      <c r="AQ143" s="44"/>
      <c r="AR143" s="44"/>
      <c r="AS143" s="44"/>
    </row>
    <row r="144" spans="1:45" s="469" customFormat="1" ht="119.25">
      <c r="A144" s="456"/>
      <c r="B144" s="457" t="s">
        <v>1020</v>
      </c>
      <c r="C144" s="458" t="s">
        <v>1052</v>
      </c>
      <c r="D144" s="459" t="s">
        <v>764</v>
      </c>
      <c r="E144" s="446">
        <v>4</v>
      </c>
      <c r="F144" s="460" t="s">
        <v>1068</v>
      </c>
      <c r="G144" s="461" t="s">
        <v>840</v>
      </c>
      <c r="H144" s="461" t="s">
        <v>1</v>
      </c>
      <c r="I144" s="462" t="s">
        <v>757</v>
      </c>
      <c r="J144" s="463" t="s">
        <v>1</v>
      </c>
      <c r="K144" s="464" t="s">
        <v>1069</v>
      </c>
      <c r="L144" s="470" t="s">
        <v>1070</v>
      </c>
      <c r="M144" s="465" t="s">
        <v>65</v>
      </c>
      <c r="N144" s="466" t="s">
        <v>1071</v>
      </c>
      <c r="O144" s="466" t="s">
        <v>1072</v>
      </c>
      <c r="P144" s="466"/>
      <c r="Q144" s="466"/>
      <c r="R144" s="466" t="s">
        <v>1</v>
      </c>
      <c r="S144" s="466"/>
      <c r="T144" s="446">
        <v>1</v>
      </c>
      <c r="U144" s="446">
        <v>7</v>
      </c>
      <c r="V144" s="446" t="s">
        <v>1017</v>
      </c>
      <c r="W144" s="446" t="s">
        <v>953</v>
      </c>
      <c r="X144" s="446" t="s">
        <v>1027</v>
      </c>
      <c r="Y144" s="446" t="s">
        <v>1050</v>
      </c>
      <c r="Z144" s="446" t="s">
        <v>1051</v>
      </c>
      <c r="AA144" s="446" t="s">
        <v>1</v>
      </c>
      <c r="AB144" s="446" t="s">
        <v>1</v>
      </c>
      <c r="AC144" s="446" t="s">
        <v>768</v>
      </c>
      <c r="AD144" s="446" t="s">
        <v>1</v>
      </c>
      <c r="AE144" s="467" t="s">
        <v>1</v>
      </c>
      <c r="AF144" s="468"/>
      <c r="AG144" s="468"/>
      <c r="AH144" s="468"/>
      <c r="AI144" s="468"/>
      <c r="AJ144" s="468"/>
      <c r="AK144" s="468"/>
      <c r="AL144" s="468"/>
      <c r="AM144" s="468"/>
      <c r="AN144" s="468"/>
      <c r="AO144" s="468"/>
      <c r="AP144" s="468"/>
      <c r="AQ144" s="468"/>
      <c r="AR144" s="468"/>
      <c r="AS144" s="468"/>
    </row>
    <row r="145" spans="1:45" s="469" customFormat="1" ht="90">
      <c r="A145" s="456"/>
      <c r="B145" s="457" t="s">
        <v>1020</v>
      </c>
      <c r="C145" s="458" t="s">
        <v>1073</v>
      </c>
      <c r="D145" s="459" t="s">
        <v>778</v>
      </c>
      <c r="E145" s="446">
        <v>1</v>
      </c>
      <c r="F145" s="460" t="s">
        <v>1074</v>
      </c>
      <c r="G145" s="461" t="s">
        <v>840</v>
      </c>
      <c r="H145" s="461" t="s">
        <v>1</v>
      </c>
      <c r="I145" s="462" t="s">
        <v>757</v>
      </c>
      <c r="J145" s="463" t="s">
        <v>1</v>
      </c>
      <c r="K145" s="464" t="s">
        <v>1075</v>
      </c>
      <c r="L145" s="470" t="s">
        <v>1076</v>
      </c>
      <c r="M145" s="465" t="s">
        <v>65</v>
      </c>
      <c r="N145" s="466" t="s">
        <v>1077</v>
      </c>
      <c r="O145" s="466" t="s">
        <v>1078</v>
      </c>
      <c r="P145" s="466"/>
      <c r="Q145" s="466"/>
      <c r="R145" s="466" t="s">
        <v>1</v>
      </c>
      <c r="S145" s="466"/>
      <c r="T145" s="446">
        <v>1</v>
      </c>
      <c r="U145" s="446">
        <v>7</v>
      </c>
      <c r="V145" s="446" t="s">
        <v>953</v>
      </c>
      <c r="W145" s="446" t="s">
        <v>953</v>
      </c>
      <c r="X145" s="446" t="s">
        <v>1027</v>
      </c>
      <c r="Y145" s="446" t="s">
        <v>1028</v>
      </c>
      <c r="Z145" s="446" t="s">
        <v>1019</v>
      </c>
      <c r="AA145" s="446" t="s">
        <v>1</v>
      </c>
      <c r="AB145" s="446" t="s">
        <v>1</v>
      </c>
      <c r="AC145" s="446" t="s">
        <v>768</v>
      </c>
      <c r="AD145" s="446" t="s">
        <v>1</v>
      </c>
      <c r="AE145" s="467" t="s">
        <v>1</v>
      </c>
      <c r="AF145" s="468"/>
      <c r="AG145" s="468"/>
      <c r="AH145" s="468"/>
      <c r="AI145" s="468"/>
      <c r="AJ145" s="468"/>
      <c r="AK145" s="468"/>
      <c r="AL145" s="468"/>
      <c r="AM145" s="468"/>
      <c r="AN145" s="468"/>
      <c r="AO145" s="468"/>
      <c r="AP145" s="468"/>
      <c r="AQ145" s="468"/>
      <c r="AR145" s="468"/>
      <c r="AS145" s="468"/>
    </row>
    <row r="146" spans="1:45" s="469" customFormat="1" ht="90">
      <c r="A146" s="456"/>
      <c r="B146" s="457" t="s">
        <v>1020</v>
      </c>
      <c r="C146" s="458" t="s">
        <v>1073</v>
      </c>
      <c r="D146" s="459" t="s">
        <v>778</v>
      </c>
      <c r="E146" s="446">
        <v>2</v>
      </c>
      <c r="F146" s="460" t="s">
        <v>1079</v>
      </c>
      <c r="G146" s="461" t="s">
        <v>747</v>
      </c>
      <c r="H146" s="461" t="s">
        <v>1</v>
      </c>
      <c r="I146" s="462" t="s">
        <v>757</v>
      </c>
      <c r="J146" s="463" t="s">
        <v>1</v>
      </c>
      <c r="K146" s="464" t="s">
        <v>1080</v>
      </c>
      <c r="L146" s="470" t="s">
        <v>1081</v>
      </c>
      <c r="M146" s="465" t="s">
        <v>65</v>
      </c>
      <c r="N146" s="471" t="s">
        <v>1082</v>
      </c>
      <c r="O146" s="466" t="s">
        <v>1083</v>
      </c>
      <c r="P146" s="466"/>
      <c r="Q146" s="466"/>
      <c r="R146" s="466" t="s">
        <v>1</v>
      </c>
      <c r="S146" s="466"/>
      <c r="T146" s="446">
        <v>1</v>
      </c>
      <c r="U146" s="446">
        <v>7</v>
      </c>
      <c r="V146" s="446" t="s">
        <v>953</v>
      </c>
      <c r="W146" s="446" t="s">
        <v>953</v>
      </c>
      <c r="X146" s="446" t="s">
        <v>1027</v>
      </c>
      <c r="Y146" s="446" t="s">
        <v>1028</v>
      </c>
      <c r="Z146" s="446" t="s">
        <v>1019</v>
      </c>
      <c r="AA146" s="446" t="s">
        <v>1</v>
      </c>
      <c r="AB146" s="446" t="s">
        <v>1</v>
      </c>
      <c r="AC146" s="446" t="s">
        <v>768</v>
      </c>
      <c r="AD146" s="446" t="s">
        <v>1</v>
      </c>
      <c r="AE146" s="467" t="s">
        <v>1</v>
      </c>
      <c r="AF146" s="468"/>
      <c r="AG146" s="468"/>
      <c r="AH146" s="468"/>
      <c r="AI146" s="468"/>
      <c r="AJ146" s="468"/>
      <c r="AK146" s="468"/>
      <c r="AL146" s="468"/>
      <c r="AM146" s="468"/>
      <c r="AN146" s="468"/>
      <c r="AO146" s="468"/>
      <c r="AP146" s="468"/>
      <c r="AQ146" s="468"/>
      <c r="AR146" s="468"/>
      <c r="AS146" s="468"/>
    </row>
    <row r="147" spans="1:45" s="469" customFormat="1" ht="74.25">
      <c r="A147" s="456"/>
      <c r="B147" s="457" t="s">
        <v>1020</v>
      </c>
      <c r="C147" s="458" t="s">
        <v>1073</v>
      </c>
      <c r="D147" s="459" t="s">
        <v>778</v>
      </c>
      <c r="E147" s="446">
        <v>4</v>
      </c>
      <c r="F147" s="460" t="s">
        <v>1084</v>
      </c>
      <c r="G147" s="461" t="s">
        <v>840</v>
      </c>
      <c r="H147" s="461" t="s">
        <v>1</v>
      </c>
      <c r="I147" s="462" t="s">
        <v>757</v>
      </c>
      <c r="J147" s="463" t="s">
        <v>1</v>
      </c>
      <c r="K147" s="464" t="s">
        <v>1085</v>
      </c>
      <c r="L147" s="464" t="s">
        <v>1086</v>
      </c>
      <c r="M147" s="465" t="s">
        <v>65</v>
      </c>
      <c r="N147" s="466" t="s">
        <v>1087</v>
      </c>
      <c r="O147" s="466" t="s">
        <v>1088</v>
      </c>
      <c r="P147" s="466"/>
      <c r="Q147" s="466"/>
      <c r="R147" s="466" t="s">
        <v>1</v>
      </c>
      <c r="S147" s="466"/>
      <c r="T147" s="446">
        <v>2</v>
      </c>
      <c r="U147" s="446">
        <v>30</v>
      </c>
      <c r="V147" s="446" t="s">
        <v>953</v>
      </c>
      <c r="W147" s="446" t="s">
        <v>953</v>
      </c>
      <c r="X147" s="446" t="s">
        <v>1027</v>
      </c>
      <c r="Y147" s="446" t="s">
        <v>1028</v>
      </c>
      <c r="Z147" s="446" t="s">
        <v>1019</v>
      </c>
      <c r="AA147" s="446" t="s">
        <v>1</v>
      </c>
      <c r="AB147" s="446" t="s">
        <v>1</v>
      </c>
      <c r="AC147" s="446" t="s">
        <v>768</v>
      </c>
      <c r="AD147" s="446" t="s">
        <v>1</v>
      </c>
      <c r="AE147" s="467" t="s">
        <v>1</v>
      </c>
      <c r="AF147" s="468"/>
      <c r="AG147" s="468"/>
      <c r="AH147" s="468"/>
      <c r="AI147" s="468"/>
      <c r="AJ147" s="468"/>
      <c r="AK147" s="468"/>
      <c r="AL147" s="468"/>
      <c r="AM147" s="468"/>
      <c r="AN147" s="468"/>
      <c r="AO147" s="468"/>
      <c r="AP147" s="468"/>
      <c r="AQ147" s="468"/>
      <c r="AR147" s="468"/>
      <c r="AS147" s="468"/>
    </row>
    <row r="148" spans="1:45" ht="125.25">
      <c r="A148" s="214"/>
      <c r="B148" s="355" t="s">
        <v>308</v>
      </c>
      <c r="C148" s="367" t="s">
        <v>1089</v>
      </c>
      <c r="D148" s="379" t="s">
        <v>735</v>
      </c>
      <c r="E148" s="380">
        <v>1</v>
      </c>
      <c r="F148" s="299" t="s">
        <v>1090</v>
      </c>
      <c r="G148" s="384" t="s">
        <v>828</v>
      </c>
      <c r="H148" s="384" t="s">
        <v>1</v>
      </c>
      <c r="I148" s="395" t="s">
        <v>757</v>
      </c>
      <c r="J148" s="396" t="s">
        <v>1</v>
      </c>
      <c r="K148" s="385" t="s">
        <v>1091</v>
      </c>
      <c r="L148" s="432" t="s">
        <v>1092</v>
      </c>
      <c r="M148" s="386" t="s">
        <v>65</v>
      </c>
      <c r="N148" s="387" t="s">
        <v>1093</v>
      </c>
      <c r="O148" s="387" t="s">
        <v>1094</v>
      </c>
      <c r="P148" s="387"/>
      <c r="Q148" s="387"/>
      <c r="R148" s="387" t="s">
        <v>1095</v>
      </c>
      <c r="S148" s="387" t="s">
        <v>1096</v>
      </c>
      <c r="T148" s="380">
        <v>1</v>
      </c>
      <c r="U148" s="380">
        <v>7</v>
      </c>
      <c r="V148" s="380" t="s">
        <v>1097</v>
      </c>
      <c r="W148" s="380" t="s">
        <v>953</v>
      </c>
      <c r="X148" s="380" t="s">
        <v>828</v>
      </c>
      <c r="Y148" s="380" t="s">
        <v>1018</v>
      </c>
      <c r="Z148" s="380" t="s">
        <v>1019</v>
      </c>
      <c r="AA148" s="380" t="s">
        <v>1</v>
      </c>
      <c r="AB148" s="380" t="s">
        <v>1</v>
      </c>
      <c r="AC148" s="380" t="s">
        <v>768</v>
      </c>
      <c r="AD148" s="380" t="s">
        <v>1</v>
      </c>
      <c r="AE148" s="397" t="s">
        <v>1</v>
      </c>
      <c r="AF148" s="44"/>
      <c r="AG148" s="44"/>
      <c r="AH148" s="44"/>
      <c r="AI148" s="44"/>
      <c r="AJ148" s="44"/>
      <c r="AK148" s="44"/>
      <c r="AL148" s="44"/>
      <c r="AM148" s="44"/>
      <c r="AN148" s="44"/>
      <c r="AO148" s="44"/>
      <c r="AP148" s="44"/>
      <c r="AQ148" s="44"/>
      <c r="AR148" s="44"/>
      <c r="AS148" s="44"/>
    </row>
    <row r="149" spans="1:45" ht="46.5">
      <c r="A149" s="214"/>
      <c r="B149" s="355" t="s">
        <v>308</v>
      </c>
      <c r="C149" s="367" t="s">
        <v>1089</v>
      </c>
      <c r="D149" s="379" t="s">
        <v>735</v>
      </c>
      <c r="E149" s="380">
        <v>2</v>
      </c>
      <c r="F149" s="299" t="s">
        <v>1098</v>
      </c>
      <c r="G149" s="384" t="s">
        <v>793</v>
      </c>
      <c r="H149" s="384" t="s">
        <v>1</v>
      </c>
      <c r="I149" s="395" t="s">
        <v>757</v>
      </c>
      <c r="J149" s="396" t="s">
        <v>1</v>
      </c>
      <c r="K149" s="385" t="s">
        <v>1099</v>
      </c>
      <c r="L149" s="432" t="s">
        <v>1100</v>
      </c>
      <c r="M149" s="386" t="s">
        <v>65</v>
      </c>
      <c r="N149" s="447" t="s">
        <v>1101</v>
      </c>
      <c r="O149" s="387" t="s">
        <v>1102</v>
      </c>
      <c r="P149" s="387"/>
      <c r="Q149" s="387"/>
      <c r="R149" s="387" t="s">
        <v>1</v>
      </c>
      <c r="S149" s="387"/>
      <c r="T149" s="380">
        <v>1</v>
      </c>
      <c r="U149" s="380">
        <v>7</v>
      </c>
      <c r="V149" s="380" t="s">
        <v>1097</v>
      </c>
      <c r="W149" s="380" t="s">
        <v>953</v>
      </c>
      <c r="X149" s="380" t="s">
        <v>1027</v>
      </c>
      <c r="Y149" s="380" t="s">
        <v>1018</v>
      </c>
      <c r="Z149" s="380" t="s">
        <v>1019</v>
      </c>
      <c r="AA149" s="380" t="s">
        <v>1</v>
      </c>
      <c r="AB149" s="380" t="s">
        <v>1</v>
      </c>
      <c r="AC149" s="380" t="s">
        <v>768</v>
      </c>
      <c r="AD149" s="380" t="s">
        <v>1</v>
      </c>
      <c r="AE149" s="397" t="s">
        <v>1</v>
      </c>
      <c r="AF149" s="44"/>
      <c r="AG149" s="44"/>
      <c r="AH149" s="44"/>
      <c r="AI149" s="44"/>
      <c r="AJ149" s="44"/>
      <c r="AK149" s="44"/>
      <c r="AL149" s="44"/>
      <c r="AM149" s="44"/>
      <c r="AN149" s="44"/>
      <c r="AO149" s="44"/>
      <c r="AP149" s="44"/>
      <c r="AQ149" s="44"/>
      <c r="AR149" s="44"/>
      <c r="AS149" s="44"/>
    </row>
    <row r="150" spans="1:45" ht="74.25">
      <c r="A150" s="214"/>
      <c r="B150" s="355" t="s">
        <v>308</v>
      </c>
      <c r="C150" s="367" t="s">
        <v>1089</v>
      </c>
      <c r="D150" s="380" t="s">
        <v>743</v>
      </c>
      <c r="E150" s="380">
        <v>1</v>
      </c>
      <c r="F150" s="299" t="s">
        <v>1103</v>
      </c>
      <c r="G150" s="384" t="s">
        <v>793</v>
      </c>
      <c r="H150" s="384" t="s">
        <v>1</v>
      </c>
      <c r="I150" s="395" t="s">
        <v>757</v>
      </c>
      <c r="J150" s="396" t="s">
        <v>1</v>
      </c>
      <c r="K150" s="385" t="s">
        <v>1104</v>
      </c>
      <c r="L150" s="432" t="s">
        <v>1105</v>
      </c>
      <c r="M150" s="386" t="s">
        <v>65</v>
      </c>
      <c r="N150" s="387" t="s">
        <v>1106</v>
      </c>
      <c r="O150" s="387" t="s">
        <v>1107</v>
      </c>
      <c r="P150" s="387"/>
      <c r="Q150" s="387"/>
      <c r="R150" s="387" t="s">
        <v>1</v>
      </c>
      <c r="S150" s="387"/>
      <c r="T150" s="380">
        <v>1</v>
      </c>
      <c r="U150" s="380">
        <v>7</v>
      </c>
      <c r="V150" s="380" t="s">
        <v>1097</v>
      </c>
      <c r="W150" s="380" t="s">
        <v>953</v>
      </c>
      <c r="X150" s="380" t="s">
        <v>1027</v>
      </c>
      <c r="Y150" s="380" t="s">
        <v>1018</v>
      </c>
      <c r="Z150" s="380" t="s">
        <v>1019</v>
      </c>
      <c r="AA150" s="380" t="s">
        <v>1</v>
      </c>
      <c r="AB150" s="380" t="s">
        <v>1</v>
      </c>
      <c r="AC150" s="380" t="s">
        <v>768</v>
      </c>
      <c r="AD150" s="380" t="s">
        <v>1</v>
      </c>
      <c r="AE150" s="397" t="s">
        <v>1</v>
      </c>
      <c r="AF150" s="44"/>
      <c r="AG150" s="44"/>
      <c r="AH150" s="44"/>
      <c r="AI150" s="44"/>
      <c r="AJ150" s="44"/>
      <c r="AK150" s="44"/>
      <c r="AL150" s="44"/>
      <c r="AM150" s="44"/>
      <c r="AN150" s="44"/>
      <c r="AO150" s="44"/>
      <c r="AP150" s="44"/>
      <c r="AQ150" s="44"/>
      <c r="AR150" s="44"/>
      <c r="AS150" s="44"/>
    </row>
    <row r="151" spans="1:45" s="469" customFormat="1" ht="45">
      <c r="A151" s="456"/>
      <c r="B151" s="457" t="s">
        <v>308</v>
      </c>
      <c r="C151" s="458" t="s">
        <v>1089</v>
      </c>
      <c r="D151" s="446" t="s">
        <v>743</v>
      </c>
      <c r="E151" s="446">
        <v>2</v>
      </c>
      <c r="F151" s="460" t="s">
        <v>1108</v>
      </c>
      <c r="G151" s="461" t="s">
        <v>840</v>
      </c>
      <c r="H151" s="461" t="s">
        <v>1</v>
      </c>
      <c r="I151" s="462" t="s">
        <v>757</v>
      </c>
      <c r="J151" s="463" t="s">
        <v>1</v>
      </c>
      <c r="K151" s="464" t="s">
        <v>1109</v>
      </c>
      <c r="L151" s="470" t="s">
        <v>1110</v>
      </c>
      <c r="M151" s="465" t="s">
        <v>65</v>
      </c>
      <c r="N151" s="466" t="s">
        <v>1111</v>
      </c>
      <c r="O151" s="466" t="s">
        <v>1112</v>
      </c>
      <c r="P151" s="466"/>
      <c r="Q151" s="466"/>
      <c r="R151" s="466" t="s">
        <v>1</v>
      </c>
      <c r="S151" s="466"/>
      <c r="T151" s="446">
        <v>3</v>
      </c>
      <c r="U151" s="446">
        <v>15</v>
      </c>
      <c r="V151" s="446" t="s">
        <v>953</v>
      </c>
      <c r="W151" s="446" t="s">
        <v>953</v>
      </c>
      <c r="X151" s="446" t="s">
        <v>1027</v>
      </c>
      <c r="Y151" s="446" t="s">
        <v>1028</v>
      </c>
      <c r="Z151" s="446" t="s">
        <v>1019</v>
      </c>
      <c r="AA151" s="446" t="s">
        <v>1</v>
      </c>
      <c r="AB151" s="446" t="s">
        <v>1</v>
      </c>
      <c r="AC151" s="446" t="s">
        <v>768</v>
      </c>
      <c r="AD151" s="446" t="s">
        <v>1</v>
      </c>
      <c r="AE151" s="467" t="s">
        <v>1</v>
      </c>
      <c r="AF151" s="468"/>
      <c r="AG151" s="468"/>
      <c r="AH151" s="468"/>
      <c r="AI151" s="468"/>
      <c r="AJ151" s="468"/>
      <c r="AK151" s="468"/>
      <c r="AL151" s="468"/>
      <c r="AM151" s="468"/>
      <c r="AN151" s="468"/>
      <c r="AO151" s="468"/>
      <c r="AP151" s="468"/>
      <c r="AQ151" s="468"/>
      <c r="AR151" s="468"/>
      <c r="AS151" s="468"/>
    </row>
    <row r="152" spans="1:45" ht="59.25">
      <c r="A152" s="214"/>
      <c r="B152" s="355" t="s">
        <v>308</v>
      </c>
      <c r="C152" s="367" t="s">
        <v>1089</v>
      </c>
      <c r="D152" s="381" t="s">
        <v>750</v>
      </c>
      <c r="E152" s="380">
        <v>1</v>
      </c>
      <c r="F152" s="299" t="s">
        <v>1113</v>
      </c>
      <c r="G152" s="384" t="s">
        <v>756</v>
      </c>
      <c r="H152" s="384" t="s">
        <v>1</v>
      </c>
      <c r="I152" s="395" t="s">
        <v>1045</v>
      </c>
      <c r="J152" s="396" t="s">
        <v>1</v>
      </c>
      <c r="K152" s="385" t="s">
        <v>1114</v>
      </c>
      <c r="L152" s="432" t="s">
        <v>1115</v>
      </c>
      <c r="M152" s="386" t="s">
        <v>65</v>
      </c>
      <c r="N152" s="387" t="s">
        <v>1116</v>
      </c>
      <c r="O152" s="387" t="s">
        <v>1117</v>
      </c>
      <c r="P152" s="387"/>
      <c r="Q152" s="387"/>
      <c r="R152" s="387" t="s">
        <v>1</v>
      </c>
      <c r="S152" s="387"/>
      <c r="T152" s="380">
        <v>1</v>
      </c>
      <c r="U152" s="380">
        <v>7</v>
      </c>
      <c r="V152" s="380" t="s">
        <v>1097</v>
      </c>
      <c r="W152" s="380" t="s">
        <v>953</v>
      </c>
      <c r="X152" s="380" t="s">
        <v>1027</v>
      </c>
      <c r="Y152" s="380" t="s">
        <v>1050</v>
      </c>
      <c r="Z152" s="380" t="s">
        <v>1051</v>
      </c>
      <c r="AA152" s="380" t="s">
        <v>1</v>
      </c>
      <c r="AB152" s="380" t="s">
        <v>1</v>
      </c>
      <c r="AC152" s="380" t="s">
        <v>768</v>
      </c>
      <c r="AD152" s="380" t="s">
        <v>1</v>
      </c>
      <c r="AE152" s="397" t="s">
        <v>1</v>
      </c>
      <c r="AF152" s="44"/>
      <c r="AG152" s="44"/>
      <c r="AH152" s="44"/>
      <c r="AI152" s="44"/>
      <c r="AJ152" s="44"/>
      <c r="AK152" s="44"/>
      <c r="AL152" s="44"/>
      <c r="AM152" s="44"/>
      <c r="AN152" s="44"/>
      <c r="AO152" s="44"/>
      <c r="AP152" s="44"/>
      <c r="AQ152" s="44"/>
      <c r="AR152" s="44"/>
      <c r="AS152" s="44"/>
    </row>
    <row r="153" spans="1:45" ht="59.25">
      <c r="A153" s="214"/>
      <c r="B153" s="355" t="s">
        <v>308</v>
      </c>
      <c r="C153" s="367" t="s">
        <v>1089</v>
      </c>
      <c r="D153" s="381" t="s">
        <v>750</v>
      </c>
      <c r="E153" s="380">
        <v>2</v>
      </c>
      <c r="F153" s="299" t="s">
        <v>1118</v>
      </c>
      <c r="G153" s="384" t="s">
        <v>756</v>
      </c>
      <c r="H153" s="384" t="s">
        <v>1</v>
      </c>
      <c r="I153" s="395" t="s">
        <v>1045</v>
      </c>
      <c r="J153" s="396" t="s">
        <v>1</v>
      </c>
      <c r="K153" s="385" t="s">
        <v>1119</v>
      </c>
      <c r="L153" s="432" t="s">
        <v>1120</v>
      </c>
      <c r="M153" s="386" t="s">
        <v>65</v>
      </c>
      <c r="N153" s="387" t="s">
        <v>1121</v>
      </c>
      <c r="O153" s="387" t="s">
        <v>1122</v>
      </c>
      <c r="P153" s="387"/>
      <c r="Q153" s="387"/>
      <c r="R153" s="387" t="s">
        <v>1</v>
      </c>
      <c r="S153" s="387"/>
      <c r="T153" s="380">
        <v>1</v>
      </c>
      <c r="U153" s="380">
        <v>7</v>
      </c>
      <c r="V153" s="380" t="s">
        <v>1097</v>
      </c>
      <c r="W153" s="380" t="s">
        <v>953</v>
      </c>
      <c r="X153" s="380" t="s">
        <v>1027</v>
      </c>
      <c r="Y153" s="380" t="s">
        <v>1050</v>
      </c>
      <c r="Z153" s="380" t="s">
        <v>1051</v>
      </c>
      <c r="AA153" s="380" t="s">
        <v>1</v>
      </c>
      <c r="AB153" s="380" t="s">
        <v>1</v>
      </c>
      <c r="AC153" s="380" t="s">
        <v>768</v>
      </c>
      <c r="AD153" s="380" t="s">
        <v>1</v>
      </c>
      <c r="AE153" s="397" t="s">
        <v>1</v>
      </c>
      <c r="AF153" s="44"/>
      <c r="AG153" s="44"/>
      <c r="AH153" s="44"/>
      <c r="AI153" s="44"/>
      <c r="AJ153" s="44"/>
      <c r="AK153" s="44"/>
      <c r="AL153" s="44"/>
      <c r="AM153" s="44"/>
      <c r="AN153" s="44"/>
      <c r="AO153" s="44"/>
      <c r="AP153" s="44"/>
      <c r="AQ153" s="44"/>
      <c r="AR153" s="44"/>
      <c r="AS153" s="44"/>
    </row>
    <row r="154" spans="1:45" ht="46.5">
      <c r="A154" s="214"/>
      <c r="B154" s="355" t="s">
        <v>308</v>
      </c>
      <c r="C154" s="367" t="s">
        <v>1089</v>
      </c>
      <c r="D154" s="382" t="s">
        <v>764</v>
      </c>
      <c r="E154" s="380">
        <v>1</v>
      </c>
      <c r="F154" s="299" t="s">
        <v>1123</v>
      </c>
      <c r="G154" s="384" t="s">
        <v>840</v>
      </c>
      <c r="H154" s="384" t="s">
        <v>1</v>
      </c>
      <c r="I154" s="395" t="s">
        <v>757</v>
      </c>
      <c r="J154" s="396" t="s">
        <v>1</v>
      </c>
      <c r="K154" s="432" t="s">
        <v>1124</v>
      </c>
      <c r="L154" s="432" t="s">
        <v>1125</v>
      </c>
      <c r="M154" s="386" t="s">
        <v>65</v>
      </c>
      <c r="N154" s="387" t="s">
        <v>1126</v>
      </c>
      <c r="O154" s="387" t="s">
        <v>1127</v>
      </c>
      <c r="P154" s="387"/>
      <c r="Q154" s="387"/>
      <c r="R154" s="387" t="s">
        <v>1</v>
      </c>
      <c r="S154" s="387"/>
      <c r="T154" s="380">
        <v>3</v>
      </c>
      <c r="U154" s="380">
        <v>15</v>
      </c>
      <c r="V154" s="446" t="s">
        <v>953</v>
      </c>
      <c r="W154" s="380" t="s">
        <v>953</v>
      </c>
      <c r="X154" s="380" t="s">
        <v>1027</v>
      </c>
      <c r="Y154" s="380" t="s">
        <v>1028</v>
      </c>
      <c r="Z154" s="380" t="s">
        <v>1019</v>
      </c>
      <c r="AA154" s="380" t="s">
        <v>1</v>
      </c>
      <c r="AB154" s="380" t="s">
        <v>1</v>
      </c>
      <c r="AC154" s="380" t="s">
        <v>768</v>
      </c>
      <c r="AD154" s="380" t="s">
        <v>1</v>
      </c>
      <c r="AE154" s="397" t="s">
        <v>1</v>
      </c>
      <c r="AF154" s="44"/>
      <c r="AG154" s="44"/>
      <c r="AH154" s="44"/>
      <c r="AI154" s="44"/>
      <c r="AJ154" s="44"/>
      <c r="AK154" s="44"/>
      <c r="AL154" s="44"/>
      <c r="AM154" s="44"/>
      <c r="AN154" s="44"/>
      <c r="AO154" s="44"/>
      <c r="AP154" s="44"/>
      <c r="AQ154" s="44"/>
      <c r="AR154" s="44"/>
      <c r="AS154" s="44"/>
    </row>
    <row r="155" spans="1:45" s="469" customFormat="1" ht="45">
      <c r="A155" s="456"/>
      <c r="B155" s="457" t="s">
        <v>308</v>
      </c>
      <c r="C155" s="458" t="s">
        <v>1089</v>
      </c>
      <c r="D155" s="459" t="s">
        <v>764</v>
      </c>
      <c r="E155" s="446">
        <v>2</v>
      </c>
      <c r="F155" s="460" t="s">
        <v>1128</v>
      </c>
      <c r="G155" s="461" t="s">
        <v>744</v>
      </c>
      <c r="H155" s="461" t="s">
        <v>1</v>
      </c>
      <c r="I155" s="462" t="s">
        <v>757</v>
      </c>
      <c r="J155" s="463" t="s">
        <v>1</v>
      </c>
      <c r="K155" s="464" t="s">
        <v>1129</v>
      </c>
      <c r="L155" s="470" t="s">
        <v>1130</v>
      </c>
      <c r="M155" s="465" t="s">
        <v>65</v>
      </c>
      <c r="N155" s="466" t="s">
        <v>1131</v>
      </c>
      <c r="O155" s="466" t="s">
        <v>1132</v>
      </c>
      <c r="P155" s="466"/>
      <c r="Q155" s="466"/>
      <c r="R155" s="466" t="s">
        <v>1</v>
      </c>
      <c r="S155" s="466"/>
      <c r="T155" s="446">
        <v>1</v>
      </c>
      <c r="U155" s="446">
        <v>7</v>
      </c>
      <c r="V155" s="446" t="s">
        <v>953</v>
      </c>
      <c r="W155" s="446" t="s">
        <v>953</v>
      </c>
      <c r="X155" s="446" t="s">
        <v>1027</v>
      </c>
      <c r="Y155" s="446" t="s">
        <v>1028</v>
      </c>
      <c r="Z155" s="446" t="s">
        <v>1019</v>
      </c>
      <c r="AA155" s="446" t="s">
        <v>1</v>
      </c>
      <c r="AB155" s="446" t="s">
        <v>1</v>
      </c>
      <c r="AC155" s="446" t="s">
        <v>768</v>
      </c>
      <c r="AD155" s="446" t="s">
        <v>1</v>
      </c>
      <c r="AE155" s="467" t="s">
        <v>1</v>
      </c>
      <c r="AF155" s="468"/>
      <c r="AG155" s="468"/>
      <c r="AH155" s="468"/>
      <c r="AI155" s="468"/>
      <c r="AJ155" s="468"/>
      <c r="AK155" s="468"/>
      <c r="AL155" s="468"/>
      <c r="AM155" s="468"/>
      <c r="AN155" s="468"/>
      <c r="AO155" s="468"/>
      <c r="AP155" s="468"/>
      <c r="AQ155" s="468"/>
      <c r="AR155" s="468"/>
      <c r="AS155" s="468"/>
    </row>
    <row r="156" spans="1:45" s="469" customFormat="1" ht="45">
      <c r="A156" s="456"/>
      <c r="B156" s="457" t="s">
        <v>308</v>
      </c>
      <c r="C156" s="458" t="s">
        <v>1089</v>
      </c>
      <c r="D156" s="459" t="s">
        <v>764</v>
      </c>
      <c r="E156" s="446">
        <v>3</v>
      </c>
      <c r="F156" s="460" t="s">
        <v>1133</v>
      </c>
      <c r="G156" s="461" t="s">
        <v>840</v>
      </c>
      <c r="H156" s="461" t="s">
        <v>1</v>
      </c>
      <c r="I156" s="462" t="s">
        <v>757</v>
      </c>
      <c r="J156" s="463" t="s">
        <v>1</v>
      </c>
      <c r="K156" s="464" t="s">
        <v>1134</v>
      </c>
      <c r="L156" s="470" t="s">
        <v>1135</v>
      </c>
      <c r="M156" s="465" t="s">
        <v>65</v>
      </c>
      <c r="N156" s="471" t="s">
        <v>1136</v>
      </c>
      <c r="O156" s="466" t="s">
        <v>1137</v>
      </c>
      <c r="P156" s="466"/>
      <c r="Q156" s="466"/>
      <c r="R156" s="466" t="s">
        <v>1</v>
      </c>
      <c r="S156" s="466"/>
      <c r="T156" s="446">
        <v>1</v>
      </c>
      <c r="U156" s="446">
        <v>7</v>
      </c>
      <c r="V156" s="446" t="s">
        <v>953</v>
      </c>
      <c r="W156" s="446" t="s">
        <v>953</v>
      </c>
      <c r="X156" s="446" t="s">
        <v>1027</v>
      </c>
      <c r="Y156" s="446" t="s">
        <v>1028</v>
      </c>
      <c r="Z156" s="446" t="s">
        <v>1019</v>
      </c>
      <c r="AA156" s="446" t="s">
        <v>1</v>
      </c>
      <c r="AB156" s="446" t="s">
        <v>1</v>
      </c>
      <c r="AC156" s="446" t="s">
        <v>768</v>
      </c>
      <c r="AD156" s="446" t="s">
        <v>1</v>
      </c>
      <c r="AE156" s="467" t="s">
        <v>1</v>
      </c>
      <c r="AF156" s="468"/>
      <c r="AG156" s="468"/>
      <c r="AH156" s="468"/>
      <c r="AI156" s="468"/>
      <c r="AJ156" s="468"/>
      <c r="AK156" s="468"/>
      <c r="AL156" s="468"/>
      <c r="AM156" s="468"/>
      <c r="AN156" s="468"/>
      <c r="AO156" s="468"/>
      <c r="AP156" s="468"/>
      <c r="AQ156" s="468"/>
      <c r="AR156" s="468"/>
      <c r="AS156" s="468"/>
    </row>
    <row r="157" spans="1:45" s="469" customFormat="1" ht="59.25">
      <c r="A157" s="456"/>
      <c r="B157" s="457" t="s">
        <v>308</v>
      </c>
      <c r="C157" s="458" t="s">
        <v>1089</v>
      </c>
      <c r="D157" s="459" t="s">
        <v>764</v>
      </c>
      <c r="E157" s="446">
        <v>4</v>
      </c>
      <c r="F157" s="460" t="s">
        <v>1138</v>
      </c>
      <c r="G157" s="461" t="s">
        <v>840</v>
      </c>
      <c r="H157" s="461" t="s">
        <v>1</v>
      </c>
      <c r="I157" s="462" t="s">
        <v>757</v>
      </c>
      <c r="J157" s="463" t="s">
        <v>1</v>
      </c>
      <c r="K157" s="464" t="s">
        <v>1139</v>
      </c>
      <c r="L157" s="470" t="s">
        <v>1140</v>
      </c>
      <c r="M157" s="465" t="s">
        <v>65</v>
      </c>
      <c r="N157" s="471" t="s">
        <v>1141</v>
      </c>
      <c r="O157" s="466" t="s">
        <v>1142</v>
      </c>
      <c r="P157" s="466"/>
      <c r="Q157" s="466"/>
      <c r="R157" s="466" t="s">
        <v>1</v>
      </c>
      <c r="S157" s="466"/>
      <c r="T157" s="446">
        <v>3</v>
      </c>
      <c r="U157" s="446">
        <v>15</v>
      </c>
      <c r="V157" s="446" t="s">
        <v>953</v>
      </c>
      <c r="W157" s="446" t="s">
        <v>953</v>
      </c>
      <c r="X157" s="446" t="s">
        <v>1027</v>
      </c>
      <c r="Y157" s="446" t="s">
        <v>1028</v>
      </c>
      <c r="Z157" s="446" t="s">
        <v>1019</v>
      </c>
      <c r="AA157" s="446" t="s">
        <v>1</v>
      </c>
      <c r="AB157" s="446" t="s">
        <v>1</v>
      </c>
      <c r="AC157" s="446" t="s">
        <v>768</v>
      </c>
      <c r="AD157" s="446" t="s">
        <v>1</v>
      </c>
      <c r="AE157" s="467" t="s">
        <v>1</v>
      </c>
      <c r="AF157" s="468"/>
      <c r="AG157" s="468"/>
      <c r="AH157" s="468"/>
      <c r="AI157" s="468"/>
      <c r="AJ157" s="468"/>
      <c r="AK157" s="468"/>
      <c r="AL157" s="468"/>
      <c r="AM157" s="468"/>
      <c r="AN157" s="468"/>
      <c r="AO157" s="468"/>
      <c r="AP157" s="468"/>
      <c r="AQ157" s="468"/>
      <c r="AR157" s="468"/>
      <c r="AS157" s="468"/>
    </row>
    <row r="158" spans="1:45" ht="45">
      <c r="A158" s="214"/>
      <c r="B158" s="355" t="s">
        <v>308</v>
      </c>
      <c r="C158" s="367" t="s">
        <v>1089</v>
      </c>
      <c r="D158" s="383" t="s">
        <v>778</v>
      </c>
      <c r="E158" s="380">
        <v>1</v>
      </c>
      <c r="F158" s="299" t="s">
        <v>1143</v>
      </c>
      <c r="G158" s="384" t="s">
        <v>744</v>
      </c>
      <c r="H158" s="384" t="s">
        <v>1</v>
      </c>
      <c r="I158" s="395" t="s">
        <v>757</v>
      </c>
      <c r="J158" s="396" t="s">
        <v>1</v>
      </c>
      <c r="K158" s="385" t="s">
        <v>1144</v>
      </c>
      <c r="L158" s="432" t="s">
        <v>1145</v>
      </c>
      <c r="M158" s="386" t="s">
        <v>65</v>
      </c>
      <c r="N158" s="387" t="s">
        <v>1146</v>
      </c>
      <c r="O158" s="387" t="s">
        <v>1147</v>
      </c>
      <c r="P158" s="387"/>
      <c r="Q158" s="387"/>
      <c r="R158" s="387" t="s">
        <v>1</v>
      </c>
      <c r="S158" s="387"/>
      <c r="T158" s="380">
        <v>1</v>
      </c>
      <c r="U158" s="380">
        <v>7</v>
      </c>
      <c r="V158" s="446" t="s">
        <v>1017</v>
      </c>
      <c r="W158" s="380" t="s">
        <v>953</v>
      </c>
      <c r="X158" s="380" t="s">
        <v>1027</v>
      </c>
      <c r="Y158" s="380" t="s">
        <v>1018</v>
      </c>
      <c r="Z158" s="380" t="s">
        <v>1019</v>
      </c>
      <c r="AA158" s="380" t="s">
        <v>1</v>
      </c>
      <c r="AB158" s="380" t="s">
        <v>1</v>
      </c>
      <c r="AC158" s="380" t="s">
        <v>768</v>
      </c>
      <c r="AD158" s="380" t="s">
        <v>1</v>
      </c>
      <c r="AE158" s="397" t="s">
        <v>1</v>
      </c>
      <c r="AF158" s="44"/>
      <c r="AG158" s="44"/>
      <c r="AH158" s="44"/>
      <c r="AI158" s="44"/>
      <c r="AJ158" s="44"/>
      <c r="AK158" s="44"/>
      <c r="AL158" s="44"/>
      <c r="AM158" s="44"/>
      <c r="AN158" s="44"/>
      <c r="AO158" s="44"/>
      <c r="AP158" s="44"/>
      <c r="AQ158" s="44"/>
      <c r="AR158" s="44"/>
      <c r="AS158" s="44"/>
    </row>
    <row r="159" spans="1:45" s="469" customFormat="1" ht="45">
      <c r="A159" s="456"/>
      <c r="B159" s="457" t="s">
        <v>308</v>
      </c>
      <c r="C159" s="458" t="s">
        <v>1089</v>
      </c>
      <c r="D159" s="459" t="s">
        <v>778</v>
      </c>
      <c r="E159" s="446">
        <v>2</v>
      </c>
      <c r="F159" s="460" t="s">
        <v>1148</v>
      </c>
      <c r="G159" s="461" t="s">
        <v>840</v>
      </c>
      <c r="H159" s="461" t="s">
        <v>1</v>
      </c>
      <c r="I159" s="462" t="s">
        <v>757</v>
      </c>
      <c r="J159" s="463" t="s">
        <v>1</v>
      </c>
      <c r="K159" s="464" t="s">
        <v>1149</v>
      </c>
      <c r="L159" s="470" t="s">
        <v>1150</v>
      </c>
      <c r="M159" s="465" t="s">
        <v>65</v>
      </c>
      <c r="N159" s="466" t="s">
        <v>1151</v>
      </c>
      <c r="O159" s="466" t="s">
        <v>1152</v>
      </c>
      <c r="P159" s="466"/>
      <c r="Q159" s="466"/>
      <c r="R159" s="466" t="s">
        <v>1</v>
      </c>
      <c r="S159" s="466"/>
      <c r="T159" s="446">
        <v>3</v>
      </c>
      <c r="U159" s="446">
        <v>15</v>
      </c>
      <c r="V159" s="446" t="s">
        <v>953</v>
      </c>
      <c r="W159" s="446" t="s">
        <v>953</v>
      </c>
      <c r="X159" s="446" t="s">
        <v>1027</v>
      </c>
      <c r="Y159" s="446" t="s">
        <v>1028</v>
      </c>
      <c r="Z159" s="446" t="s">
        <v>1019</v>
      </c>
      <c r="AA159" s="446" t="s">
        <v>1</v>
      </c>
      <c r="AB159" s="446" t="s">
        <v>1</v>
      </c>
      <c r="AC159" s="446" t="s">
        <v>768</v>
      </c>
      <c r="AD159" s="446" t="s">
        <v>1</v>
      </c>
      <c r="AE159" s="467" t="s">
        <v>1</v>
      </c>
      <c r="AF159" s="468"/>
      <c r="AG159" s="468"/>
      <c r="AH159" s="468"/>
      <c r="AI159" s="468"/>
      <c r="AJ159" s="468"/>
      <c r="AK159" s="468"/>
      <c r="AL159" s="468"/>
      <c r="AM159" s="468"/>
      <c r="AN159" s="468"/>
      <c r="AO159" s="468"/>
      <c r="AP159" s="468"/>
      <c r="AQ159" s="468"/>
      <c r="AR159" s="468"/>
      <c r="AS159" s="468"/>
    </row>
    <row r="160" spans="1:45" ht="31.5">
      <c r="A160" s="214"/>
      <c r="B160" s="355" t="s">
        <v>308</v>
      </c>
      <c r="C160" s="367" t="s">
        <v>1089</v>
      </c>
      <c r="D160" s="383" t="s">
        <v>778</v>
      </c>
      <c r="E160" s="380">
        <v>3</v>
      </c>
      <c r="F160" s="299" t="s">
        <v>1153</v>
      </c>
      <c r="G160" s="384" t="s">
        <v>793</v>
      </c>
      <c r="H160" s="384" t="s">
        <v>1</v>
      </c>
      <c r="I160" s="395" t="s">
        <v>757</v>
      </c>
      <c r="J160" s="396" t="s">
        <v>1</v>
      </c>
      <c r="K160" s="385" t="s">
        <v>1154</v>
      </c>
      <c r="L160" s="432" t="s">
        <v>1155</v>
      </c>
      <c r="M160" s="386" t="s">
        <v>65</v>
      </c>
      <c r="N160" s="387" t="s">
        <v>1156</v>
      </c>
      <c r="O160" s="387" t="s">
        <v>1157</v>
      </c>
      <c r="P160" s="387"/>
      <c r="Q160" s="387"/>
      <c r="R160" s="387" t="s">
        <v>1</v>
      </c>
      <c r="S160" s="387"/>
      <c r="T160" s="380">
        <v>1</v>
      </c>
      <c r="U160" s="380">
        <v>7</v>
      </c>
      <c r="V160" s="446" t="s">
        <v>1017</v>
      </c>
      <c r="W160" s="380" t="s">
        <v>953</v>
      </c>
      <c r="X160" s="380" t="s">
        <v>1027</v>
      </c>
      <c r="Y160" s="380" t="s">
        <v>1018</v>
      </c>
      <c r="Z160" s="380" t="s">
        <v>1019</v>
      </c>
      <c r="AA160" s="380" t="s">
        <v>1</v>
      </c>
      <c r="AB160" s="380" t="s">
        <v>1</v>
      </c>
      <c r="AC160" s="380" t="s">
        <v>768</v>
      </c>
      <c r="AD160" s="380" t="s">
        <v>1</v>
      </c>
      <c r="AE160" s="397" t="s">
        <v>1</v>
      </c>
      <c r="AF160" s="44"/>
      <c r="AG160" s="44"/>
      <c r="AH160" s="44"/>
      <c r="AI160" s="44"/>
      <c r="AJ160" s="44"/>
      <c r="AK160" s="44"/>
      <c r="AL160" s="44"/>
      <c r="AM160" s="44"/>
      <c r="AN160" s="44"/>
      <c r="AO160" s="44"/>
      <c r="AP160" s="44"/>
      <c r="AQ160" s="44"/>
      <c r="AR160" s="44"/>
      <c r="AS160" s="44"/>
    </row>
    <row r="161" spans="1:45" s="469" customFormat="1" ht="46.5">
      <c r="A161" s="456"/>
      <c r="B161" s="457" t="s">
        <v>308</v>
      </c>
      <c r="C161" s="458" t="s">
        <v>1089</v>
      </c>
      <c r="D161" s="459" t="s">
        <v>778</v>
      </c>
      <c r="E161" s="446">
        <v>4</v>
      </c>
      <c r="F161" s="460" t="s">
        <v>1158</v>
      </c>
      <c r="G161" s="461" t="s">
        <v>840</v>
      </c>
      <c r="H161" s="461" t="s">
        <v>1</v>
      </c>
      <c r="I161" s="462" t="s">
        <v>757</v>
      </c>
      <c r="J161" s="463" t="s">
        <v>1</v>
      </c>
      <c r="K161" s="470" t="s">
        <v>1159</v>
      </c>
      <c r="L161" s="470" t="s">
        <v>1160</v>
      </c>
      <c r="M161" s="465" t="s">
        <v>65</v>
      </c>
      <c r="N161" s="466" t="s">
        <v>1161</v>
      </c>
      <c r="O161" s="466" t="s">
        <v>1162</v>
      </c>
      <c r="P161" s="466"/>
      <c r="Q161" s="466"/>
      <c r="R161" s="466" t="s">
        <v>1</v>
      </c>
      <c r="S161" s="466"/>
      <c r="T161" s="446">
        <v>3</v>
      </c>
      <c r="U161" s="446">
        <v>15</v>
      </c>
      <c r="V161" s="446" t="s">
        <v>953</v>
      </c>
      <c r="W161" s="446" t="s">
        <v>953</v>
      </c>
      <c r="X161" s="446" t="s">
        <v>1027</v>
      </c>
      <c r="Y161" s="446" t="s">
        <v>1028</v>
      </c>
      <c r="Z161" s="446" t="s">
        <v>1019</v>
      </c>
      <c r="AA161" s="446" t="s">
        <v>1</v>
      </c>
      <c r="AB161" s="446" t="s">
        <v>1</v>
      </c>
      <c r="AC161" s="446" t="s">
        <v>768</v>
      </c>
      <c r="AD161" s="446" t="s">
        <v>1</v>
      </c>
      <c r="AE161" s="467" t="s">
        <v>1</v>
      </c>
      <c r="AF161" s="468"/>
      <c r="AG161" s="468"/>
      <c r="AH161" s="468"/>
      <c r="AI161" s="468"/>
      <c r="AJ161" s="468"/>
      <c r="AK161" s="468"/>
      <c r="AL161" s="468"/>
      <c r="AM161" s="468"/>
      <c r="AN161" s="468"/>
      <c r="AO161" s="468"/>
      <c r="AP161" s="468"/>
      <c r="AQ161" s="468"/>
      <c r="AR161" s="468"/>
      <c r="AS161" s="468"/>
    </row>
    <row r="162" spans="1:45" ht="46.5">
      <c r="A162" s="214"/>
      <c r="B162" s="356" t="s">
        <v>346</v>
      </c>
      <c r="C162" s="368" t="s">
        <v>1163</v>
      </c>
      <c r="D162" s="379" t="s">
        <v>735</v>
      </c>
      <c r="E162" s="380">
        <v>1</v>
      </c>
      <c r="F162" s="299" t="s">
        <v>1164</v>
      </c>
      <c r="G162" s="384" t="s">
        <v>840</v>
      </c>
      <c r="H162" s="384" t="s">
        <v>1</v>
      </c>
      <c r="I162" s="395" t="s">
        <v>757</v>
      </c>
      <c r="J162" s="396" t="s">
        <v>1</v>
      </c>
      <c r="K162" s="432" t="s">
        <v>1165</v>
      </c>
      <c r="L162" s="432" t="s">
        <v>1166</v>
      </c>
      <c r="M162" s="386" t="s">
        <v>65</v>
      </c>
      <c r="N162" s="387" t="s">
        <v>1167</v>
      </c>
      <c r="O162" s="387" t="s">
        <v>1168</v>
      </c>
      <c r="P162" s="387"/>
      <c r="Q162" s="387"/>
      <c r="R162" s="387" t="s">
        <v>1</v>
      </c>
      <c r="S162" s="387"/>
      <c r="T162" s="380">
        <v>3</v>
      </c>
      <c r="U162" s="380">
        <v>15</v>
      </c>
      <c r="V162" s="446" t="s">
        <v>953</v>
      </c>
      <c r="W162" s="380" t="s">
        <v>953</v>
      </c>
      <c r="X162" s="380" t="s">
        <v>1027</v>
      </c>
      <c r="Y162" s="380" t="s">
        <v>1028</v>
      </c>
      <c r="Z162" s="380" t="s">
        <v>1019</v>
      </c>
      <c r="AA162" s="380" t="s">
        <v>1</v>
      </c>
      <c r="AB162" s="380" t="s">
        <v>1</v>
      </c>
      <c r="AC162" s="380" t="s">
        <v>768</v>
      </c>
      <c r="AD162" s="380" t="s">
        <v>1</v>
      </c>
      <c r="AE162" s="397" t="s">
        <v>1</v>
      </c>
      <c r="AF162" s="44"/>
      <c r="AG162" s="44"/>
      <c r="AH162" s="44"/>
      <c r="AI162" s="44"/>
      <c r="AJ162" s="44"/>
      <c r="AK162" s="44"/>
      <c r="AL162" s="44"/>
      <c r="AM162" s="44"/>
      <c r="AN162" s="44"/>
      <c r="AO162" s="44"/>
      <c r="AP162" s="44"/>
      <c r="AQ162" s="44"/>
      <c r="AR162" s="44"/>
      <c r="AS162" s="44"/>
    </row>
    <row r="163" spans="1:45" ht="46.5">
      <c r="A163" s="214"/>
      <c r="B163" s="356" t="s">
        <v>346</v>
      </c>
      <c r="C163" s="368" t="s">
        <v>1163</v>
      </c>
      <c r="D163" s="379" t="s">
        <v>735</v>
      </c>
      <c r="E163" s="380">
        <v>2</v>
      </c>
      <c r="F163" s="299" t="s">
        <v>1169</v>
      </c>
      <c r="G163" s="384" t="s">
        <v>793</v>
      </c>
      <c r="H163" s="384" t="s">
        <v>1</v>
      </c>
      <c r="I163" s="395" t="s">
        <v>757</v>
      </c>
      <c r="J163" s="396" t="s">
        <v>1</v>
      </c>
      <c r="K163" s="432" t="s">
        <v>1170</v>
      </c>
      <c r="L163" s="432" t="s">
        <v>1171</v>
      </c>
      <c r="M163" s="386" t="s">
        <v>65</v>
      </c>
      <c r="N163" s="387" t="s">
        <v>1172</v>
      </c>
      <c r="O163" s="387" t="s">
        <v>1173</v>
      </c>
      <c r="P163" s="387"/>
      <c r="Q163" s="387"/>
      <c r="R163" s="387" t="s">
        <v>1</v>
      </c>
      <c r="S163" s="387"/>
      <c r="T163" s="380">
        <v>1</v>
      </c>
      <c r="U163" s="380">
        <v>7</v>
      </c>
      <c r="V163" s="446" t="s">
        <v>1017</v>
      </c>
      <c r="W163" s="380" t="s">
        <v>953</v>
      </c>
      <c r="X163" s="380" t="s">
        <v>1027</v>
      </c>
      <c r="Y163" s="380" t="s">
        <v>1018</v>
      </c>
      <c r="Z163" s="380" t="s">
        <v>1019</v>
      </c>
      <c r="AA163" s="380" t="s">
        <v>1</v>
      </c>
      <c r="AB163" s="380" t="s">
        <v>1</v>
      </c>
      <c r="AC163" s="380" t="s">
        <v>768</v>
      </c>
      <c r="AD163" s="380" t="s">
        <v>1</v>
      </c>
      <c r="AE163" s="397" t="s">
        <v>1</v>
      </c>
      <c r="AF163" s="44"/>
      <c r="AG163" s="44"/>
      <c r="AH163" s="44"/>
      <c r="AI163" s="44"/>
      <c r="AJ163" s="44"/>
      <c r="AK163" s="44"/>
      <c r="AL163" s="44"/>
      <c r="AM163" s="44"/>
      <c r="AN163" s="44"/>
      <c r="AO163" s="44"/>
      <c r="AP163" s="44"/>
      <c r="AQ163" s="44"/>
      <c r="AR163" s="44"/>
      <c r="AS163" s="44"/>
    </row>
    <row r="164" spans="1:45" ht="46.5">
      <c r="A164" s="214"/>
      <c r="B164" s="356" t="s">
        <v>346</v>
      </c>
      <c r="C164" s="368" t="s">
        <v>1163</v>
      </c>
      <c r="D164" s="380" t="s">
        <v>743</v>
      </c>
      <c r="E164" s="380">
        <v>1</v>
      </c>
      <c r="F164" s="299" t="s">
        <v>1174</v>
      </c>
      <c r="G164" s="384" t="s">
        <v>744</v>
      </c>
      <c r="H164" s="384" t="s">
        <v>1</v>
      </c>
      <c r="I164" s="395" t="s">
        <v>757</v>
      </c>
      <c r="J164" s="396" t="s">
        <v>1</v>
      </c>
      <c r="K164" s="432" t="s">
        <v>1175</v>
      </c>
      <c r="L164" s="432" t="s">
        <v>1176</v>
      </c>
      <c r="M164" s="386" t="s">
        <v>65</v>
      </c>
      <c r="N164" s="387" t="s">
        <v>1177</v>
      </c>
      <c r="O164" s="387" t="s">
        <v>1178</v>
      </c>
      <c r="P164" s="387"/>
      <c r="Q164" s="387"/>
      <c r="R164" s="387" t="s">
        <v>1</v>
      </c>
      <c r="S164" s="387"/>
      <c r="T164" s="380">
        <v>1</v>
      </c>
      <c r="U164" s="380">
        <v>7</v>
      </c>
      <c r="V164" s="446" t="s">
        <v>1017</v>
      </c>
      <c r="W164" s="380" t="s">
        <v>953</v>
      </c>
      <c r="X164" s="380" t="s">
        <v>1027</v>
      </c>
      <c r="Y164" s="380" t="s">
        <v>1018</v>
      </c>
      <c r="Z164" s="380" t="s">
        <v>1019</v>
      </c>
      <c r="AA164" s="380" t="s">
        <v>1</v>
      </c>
      <c r="AB164" s="380" t="s">
        <v>1</v>
      </c>
      <c r="AC164" s="380" t="s">
        <v>768</v>
      </c>
      <c r="AD164" s="380" t="s">
        <v>1</v>
      </c>
      <c r="AE164" s="397" t="s">
        <v>1</v>
      </c>
      <c r="AF164" s="44"/>
      <c r="AG164" s="44"/>
      <c r="AH164" s="44"/>
      <c r="AI164" s="44"/>
      <c r="AJ164" s="44"/>
      <c r="AK164" s="44"/>
      <c r="AL164" s="44"/>
      <c r="AM164" s="44"/>
      <c r="AN164" s="44"/>
      <c r="AO164" s="44"/>
      <c r="AP164" s="44"/>
      <c r="AQ164" s="44"/>
      <c r="AR164" s="44"/>
      <c r="AS164" s="44"/>
    </row>
    <row r="165" spans="1:45" ht="46.5">
      <c r="A165" s="214"/>
      <c r="B165" s="356" t="s">
        <v>346</v>
      </c>
      <c r="C165" s="368" t="s">
        <v>1163</v>
      </c>
      <c r="D165" s="380" t="s">
        <v>743</v>
      </c>
      <c r="E165" s="380">
        <v>2</v>
      </c>
      <c r="F165" s="299" t="s">
        <v>1179</v>
      </c>
      <c r="G165" s="384" t="s">
        <v>793</v>
      </c>
      <c r="H165" s="384" t="s">
        <v>1</v>
      </c>
      <c r="I165" s="395" t="s">
        <v>757</v>
      </c>
      <c r="J165" s="396" t="s">
        <v>1</v>
      </c>
      <c r="K165" s="432" t="s">
        <v>1180</v>
      </c>
      <c r="L165" s="432" t="s">
        <v>1181</v>
      </c>
      <c r="M165" s="386" t="s">
        <v>65</v>
      </c>
      <c r="N165" s="387" t="s">
        <v>1182</v>
      </c>
      <c r="O165" s="387" t="s">
        <v>1183</v>
      </c>
      <c r="P165" s="387"/>
      <c r="Q165" s="387"/>
      <c r="R165" s="387" t="s">
        <v>1</v>
      </c>
      <c r="S165" s="387"/>
      <c r="T165" s="380">
        <v>1</v>
      </c>
      <c r="U165" s="380">
        <v>7</v>
      </c>
      <c r="V165" s="446" t="s">
        <v>1017</v>
      </c>
      <c r="W165" s="380" t="s">
        <v>953</v>
      </c>
      <c r="X165" s="380" t="s">
        <v>1027</v>
      </c>
      <c r="Y165" s="380" t="s">
        <v>1018</v>
      </c>
      <c r="Z165" s="380" t="s">
        <v>1019</v>
      </c>
      <c r="AA165" s="380" t="s">
        <v>1</v>
      </c>
      <c r="AB165" s="380" t="s">
        <v>1</v>
      </c>
      <c r="AC165" s="380" t="s">
        <v>768</v>
      </c>
      <c r="AD165" s="380" t="s">
        <v>1</v>
      </c>
      <c r="AE165" s="397" t="s">
        <v>1</v>
      </c>
      <c r="AF165" s="44"/>
      <c r="AG165" s="44"/>
      <c r="AH165" s="44"/>
      <c r="AI165" s="44"/>
      <c r="AJ165" s="44"/>
      <c r="AK165" s="44"/>
      <c r="AL165" s="44"/>
      <c r="AM165" s="44"/>
      <c r="AN165" s="44"/>
      <c r="AO165" s="44"/>
      <c r="AP165" s="44"/>
      <c r="AQ165" s="44"/>
      <c r="AR165" s="44"/>
      <c r="AS165" s="44"/>
    </row>
    <row r="166" spans="1:45" ht="46.5">
      <c r="A166" s="214"/>
      <c r="B166" s="356" t="s">
        <v>346</v>
      </c>
      <c r="C166" s="368" t="s">
        <v>1163</v>
      </c>
      <c r="D166" s="381" t="s">
        <v>750</v>
      </c>
      <c r="E166" s="380">
        <v>1</v>
      </c>
      <c r="F166" s="299" t="s">
        <v>1184</v>
      </c>
      <c r="G166" s="384" t="s">
        <v>840</v>
      </c>
      <c r="H166" s="384" t="s">
        <v>1</v>
      </c>
      <c r="I166" s="395" t="s">
        <v>757</v>
      </c>
      <c r="J166" s="396" t="s">
        <v>1</v>
      </c>
      <c r="K166" s="432" t="s">
        <v>1185</v>
      </c>
      <c r="L166" s="432" t="s">
        <v>1186</v>
      </c>
      <c r="M166" s="386" t="s">
        <v>65</v>
      </c>
      <c r="N166" s="447" t="s">
        <v>1187</v>
      </c>
      <c r="O166" s="387" t="s">
        <v>1188</v>
      </c>
      <c r="P166" s="387"/>
      <c r="Q166" s="387"/>
      <c r="R166" s="387" t="s">
        <v>1</v>
      </c>
      <c r="S166" s="387"/>
      <c r="T166" s="380">
        <v>3</v>
      </c>
      <c r="U166" s="380">
        <v>15</v>
      </c>
      <c r="V166" s="446" t="s">
        <v>953</v>
      </c>
      <c r="W166" s="380" t="s">
        <v>953</v>
      </c>
      <c r="X166" s="380" t="s">
        <v>1027</v>
      </c>
      <c r="Y166" s="380" t="s">
        <v>1028</v>
      </c>
      <c r="Z166" s="380" t="s">
        <v>1019</v>
      </c>
      <c r="AA166" s="380" t="s">
        <v>1</v>
      </c>
      <c r="AB166" s="380" t="s">
        <v>1</v>
      </c>
      <c r="AC166" s="380" t="s">
        <v>768</v>
      </c>
      <c r="AD166" s="380" t="s">
        <v>1</v>
      </c>
      <c r="AE166" s="397" t="s">
        <v>1</v>
      </c>
      <c r="AF166" s="44"/>
      <c r="AG166" s="44"/>
      <c r="AH166" s="44"/>
      <c r="AI166" s="44"/>
      <c r="AJ166" s="44"/>
      <c r="AK166" s="44"/>
      <c r="AL166" s="44"/>
      <c r="AM166" s="44"/>
      <c r="AN166" s="44"/>
      <c r="AO166" s="44"/>
      <c r="AP166" s="44"/>
      <c r="AQ166" s="44"/>
      <c r="AR166" s="44"/>
      <c r="AS166" s="44"/>
    </row>
    <row r="167" spans="1:45" ht="46.5">
      <c r="A167" s="214"/>
      <c r="B167" s="356" t="s">
        <v>346</v>
      </c>
      <c r="C167" s="368" t="s">
        <v>1163</v>
      </c>
      <c r="D167" s="381" t="s">
        <v>750</v>
      </c>
      <c r="E167" s="380">
        <v>2</v>
      </c>
      <c r="F167" s="299" t="s">
        <v>1189</v>
      </c>
      <c r="G167" s="384" t="s">
        <v>840</v>
      </c>
      <c r="H167" s="384" t="s">
        <v>1</v>
      </c>
      <c r="I167" s="395" t="s">
        <v>757</v>
      </c>
      <c r="J167" s="396" t="s">
        <v>1</v>
      </c>
      <c r="K167" s="432" t="s">
        <v>1190</v>
      </c>
      <c r="L167" s="432" t="s">
        <v>1191</v>
      </c>
      <c r="M167" s="386" t="s">
        <v>65</v>
      </c>
      <c r="N167" s="387" t="s">
        <v>1192</v>
      </c>
      <c r="O167" s="387" t="s">
        <v>1193</v>
      </c>
      <c r="P167" s="387"/>
      <c r="Q167" s="387"/>
      <c r="R167" s="387" t="s">
        <v>1</v>
      </c>
      <c r="S167" s="387"/>
      <c r="T167" s="380">
        <v>3</v>
      </c>
      <c r="U167" s="380">
        <v>15</v>
      </c>
      <c r="V167" s="446" t="s">
        <v>953</v>
      </c>
      <c r="W167" s="380" t="s">
        <v>953</v>
      </c>
      <c r="X167" s="380" t="s">
        <v>1027</v>
      </c>
      <c r="Y167" s="380" t="s">
        <v>1028</v>
      </c>
      <c r="Z167" s="380" t="s">
        <v>1019</v>
      </c>
      <c r="AA167" s="380" t="s">
        <v>1</v>
      </c>
      <c r="AB167" s="380" t="s">
        <v>1</v>
      </c>
      <c r="AC167" s="380" t="s">
        <v>768</v>
      </c>
      <c r="AD167" s="380" t="s">
        <v>1</v>
      </c>
      <c r="AE167" s="397" t="s">
        <v>1</v>
      </c>
      <c r="AF167" s="44"/>
      <c r="AG167" s="44"/>
      <c r="AH167" s="44"/>
      <c r="AI167" s="44"/>
      <c r="AJ167" s="44"/>
      <c r="AK167" s="44"/>
      <c r="AL167" s="44"/>
      <c r="AM167" s="44"/>
      <c r="AN167" s="44"/>
      <c r="AO167" s="44"/>
      <c r="AP167" s="44"/>
      <c r="AQ167" s="44"/>
      <c r="AR167" s="44"/>
      <c r="AS167" s="44"/>
    </row>
    <row r="168" spans="1:45" ht="46.5">
      <c r="A168" s="214"/>
      <c r="B168" s="356" t="s">
        <v>346</v>
      </c>
      <c r="C168" s="368" t="s">
        <v>1163</v>
      </c>
      <c r="D168" s="382" t="s">
        <v>764</v>
      </c>
      <c r="E168" s="380">
        <v>1</v>
      </c>
      <c r="F168" s="299" t="s">
        <v>1194</v>
      </c>
      <c r="G168" s="384" t="s">
        <v>756</v>
      </c>
      <c r="H168" s="384" t="s">
        <v>1</v>
      </c>
      <c r="I168" s="395" t="s">
        <v>1045</v>
      </c>
      <c r="J168" s="396" t="s">
        <v>1</v>
      </c>
      <c r="K168" s="432" t="s">
        <v>1195</v>
      </c>
      <c r="L168" s="432" t="s">
        <v>1196</v>
      </c>
      <c r="M168" s="386" t="s">
        <v>65</v>
      </c>
      <c r="N168" s="387" t="s">
        <v>1197</v>
      </c>
      <c r="O168" s="387" t="s">
        <v>1198</v>
      </c>
      <c r="P168" s="387"/>
      <c r="Q168" s="387"/>
      <c r="R168" s="387" t="s">
        <v>1</v>
      </c>
      <c r="S168" s="387"/>
      <c r="T168" s="380">
        <v>1</v>
      </c>
      <c r="U168" s="380">
        <v>7</v>
      </c>
      <c r="V168" s="446" t="s">
        <v>1017</v>
      </c>
      <c r="W168" s="380" t="s">
        <v>953</v>
      </c>
      <c r="X168" s="380" t="s">
        <v>1027</v>
      </c>
      <c r="Y168" s="380" t="s">
        <v>1050</v>
      </c>
      <c r="Z168" s="380" t="s">
        <v>1051</v>
      </c>
      <c r="AA168" s="380" t="s">
        <v>1</v>
      </c>
      <c r="AB168" s="380" t="s">
        <v>1</v>
      </c>
      <c r="AC168" s="380" t="s">
        <v>768</v>
      </c>
      <c r="AD168" s="380" t="s">
        <v>1</v>
      </c>
      <c r="AE168" s="397" t="s">
        <v>1</v>
      </c>
      <c r="AF168" s="44"/>
      <c r="AG168" s="44"/>
      <c r="AH168" s="44"/>
      <c r="AI168" s="44"/>
      <c r="AJ168" s="44"/>
      <c r="AK168" s="44"/>
      <c r="AL168" s="44"/>
      <c r="AM168" s="44"/>
      <c r="AN168" s="44"/>
      <c r="AO168" s="44"/>
      <c r="AP168" s="44"/>
      <c r="AQ168" s="44"/>
      <c r="AR168" s="44"/>
      <c r="AS168" s="44"/>
    </row>
    <row r="169" spans="1:45" ht="46.5">
      <c r="A169" s="214"/>
      <c r="B169" s="356" t="s">
        <v>346</v>
      </c>
      <c r="C169" s="368" t="s">
        <v>1163</v>
      </c>
      <c r="D169" s="382" t="s">
        <v>764</v>
      </c>
      <c r="E169" s="380">
        <v>2</v>
      </c>
      <c r="F169" s="299" t="s">
        <v>1199</v>
      </c>
      <c r="G169" s="384" t="s">
        <v>840</v>
      </c>
      <c r="H169" s="384" t="s">
        <v>1</v>
      </c>
      <c r="I169" s="395" t="s">
        <v>757</v>
      </c>
      <c r="J169" s="396" t="s">
        <v>1</v>
      </c>
      <c r="K169" s="432" t="s">
        <v>1200</v>
      </c>
      <c r="L169" s="432" t="s">
        <v>1201</v>
      </c>
      <c r="M169" s="386" t="s">
        <v>65</v>
      </c>
      <c r="N169" s="387" t="s">
        <v>1202</v>
      </c>
      <c r="O169" s="387" t="s">
        <v>1203</v>
      </c>
      <c r="P169" s="387"/>
      <c r="Q169" s="387"/>
      <c r="R169" s="387" t="s">
        <v>1</v>
      </c>
      <c r="S169" s="387"/>
      <c r="T169" s="380">
        <v>3</v>
      </c>
      <c r="U169" s="380">
        <v>15</v>
      </c>
      <c r="V169" s="446" t="s">
        <v>953</v>
      </c>
      <c r="W169" s="380" t="s">
        <v>953</v>
      </c>
      <c r="X169" s="380" t="s">
        <v>1027</v>
      </c>
      <c r="Y169" s="380" t="s">
        <v>1028</v>
      </c>
      <c r="Z169" s="380" t="s">
        <v>1019</v>
      </c>
      <c r="AA169" s="380" t="s">
        <v>1</v>
      </c>
      <c r="AB169" s="380" t="s">
        <v>1</v>
      </c>
      <c r="AC169" s="380" t="s">
        <v>768</v>
      </c>
      <c r="AD169" s="380" t="s">
        <v>1</v>
      </c>
      <c r="AE169" s="397" t="s">
        <v>1</v>
      </c>
      <c r="AF169" s="44"/>
      <c r="AG169" s="44"/>
      <c r="AH169" s="44"/>
      <c r="AI169" s="44"/>
      <c r="AJ169" s="44"/>
      <c r="AK169" s="44"/>
      <c r="AL169" s="44"/>
      <c r="AM169" s="44"/>
      <c r="AN169" s="44"/>
      <c r="AO169" s="44"/>
      <c r="AP169" s="44"/>
      <c r="AQ169" s="44"/>
      <c r="AR169" s="44"/>
      <c r="AS169" s="44"/>
    </row>
    <row r="170" spans="1:45" ht="46.5">
      <c r="A170" s="214"/>
      <c r="B170" s="356" t="s">
        <v>346</v>
      </c>
      <c r="C170" s="368" t="s">
        <v>1163</v>
      </c>
      <c r="D170" s="382" t="s">
        <v>764</v>
      </c>
      <c r="E170" s="380">
        <v>3</v>
      </c>
      <c r="F170" s="299" t="s">
        <v>1204</v>
      </c>
      <c r="G170" s="384" t="s">
        <v>840</v>
      </c>
      <c r="H170" s="384" t="s">
        <v>1</v>
      </c>
      <c r="I170" s="395" t="s">
        <v>757</v>
      </c>
      <c r="J170" s="396" t="s">
        <v>1</v>
      </c>
      <c r="K170" s="432" t="s">
        <v>1205</v>
      </c>
      <c r="L170" s="432" t="s">
        <v>1206</v>
      </c>
      <c r="M170" s="386" t="s">
        <v>65</v>
      </c>
      <c r="N170" s="387" t="s">
        <v>1207</v>
      </c>
      <c r="O170" s="387" t="s">
        <v>1208</v>
      </c>
      <c r="P170" s="387"/>
      <c r="Q170" s="387"/>
      <c r="R170" s="387" t="s">
        <v>1</v>
      </c>
      <c r="S170" s="387"/>
      <c r="T170" s="380">
        <v>3</v>
      </c>
      <c r="U170" s="380">
        <v>15</v>
      </c>
      <c r="V170" s="380" t="s">
        <v>953</v>
      </c>
      <c r="W170" s="380" t="s">
        <v>953</v>
      </c>
      <c r="X170" s="380" t="s">
        <v>1027</v>
      </c>
      <c r="Y170" s="380" t="s">
        <v>1028</v>
      </c>
      <c r="Z170" s="380" t="s">
        <v>1019</v>
      </c>
      <c r="AA170" s="380" t="s">
        <v>1</v>
      </c>
      <c r="AB170" s="380" t="s">
        <v>1</v>
      </c>
      <c r="AC170" s="380" t="s">
        <v>768</v>
      </c>
      <c r="AD170" s="380" t="s">
        <v>1</v>
      </c>
      <c r="AE170" s="397" t="s">
        <v>1</v>
      </c>
      <c r="AF170" s="44"/>
      <c r="AG170" s="44"/>
      <c r="AH170" s="44"/>
      <c r="AI170" s="44"/>
      <c r="AJ170" s="44"/>
      <c r="AK170" s="44"/>
      <c r="AL170" s="44"/>
      <c r="AM170" s="44"/>
      <c r="AN170" s="44"/>
      <c r="AO170" s="44"/>
      <c r="AP170" s="44"/>
      <c r="AQ170" s="44"/>
      <c r="AR170" s="44"/>
      <c r="AS170" s="44"/>
    </row>
    <row r="171" spans="1:45" ht="46.5">
      <c r="A171" s="214"/>
      <c r="B171" s="356" t="s">
        <v>346</v>
      </c>
      <c r="C171" s="368" t="s">
        <v>1163</v>
      </c>
      <c r="D171" s="382" t="s">
        <v>764</v>
      </c>
      <c r="E171" s="380">
        <v>4</v>
      </c>
      <c r="F171" s="299" t="s">
        <v>1209</v>
      </c>
      <c r="G171" s="384" t="s">
        <v>840</v>
      </c>
      <c r="H171" s="384" t="s">
        <v>1</v>
      </c>
      <c r="I171" s="395" t="s">
        <v>757</v>
      </c>
      <c r="J171" s="396" t="s">
        <v>1</v>
      </c>
      <c r="K171" s="432" t="s">
        <v>1210</v>
      </c>
      <c r="L171" s="432" t="s">
        <v>1211</v>
      </c>
      <c r="M171" s="386" t="s">
        <v>65</v>
      </c>
      <c r="N171" s="387" t="s">
        <v>1212</v>
      </c>
      <c r="O171" s="387" t="s">
        <v>1213</v>
      </c>
      <c r="P171" s="387"/>
      <c r="Q171" s="387"/>
      <c r="R171" s="387" t="s">
        <v>1</v>
      </c>
      <c r="S171" s="387"/>
      <c r="T171" s="380">
        <v>3</v>
      </c>
      <c r="U171" s="380">
        <v>15</v>
      </c>
      <c r="V171" s="380" t="s">
        <v>953</v>
      </c>
      <c r="W171" s="380" t="s">
        <v>953</v>
      </c>
      <c r="X171" s="380" t="s">
        <v>1027</v>
      </c>
      <c r="Y171" s="380" t="s">
        <v>1028</v>
      </c>
      <c r="Z171" s="380" t="s">
        <v>1019</v>
      </c>
      <c r="AA171" s="380" t="s">
        <v>1</v>
      </c>
      <c r="AB171" s="380" t="s">
        <v>1</v>
      </c>
      <c r="AC171" s="380" t="s">
        <v>768</v>
      </c>
      <c r="AD171" s="380" t="s">
        <v>1</v>
      </c>
      <c r="AE171" s="397" t="s">
        <v>1</v>
      </c>
      <c r="AF171" s="44"/>
      <c r="AG171" s="44"/>
      <c r="AH171" s="44"/>
      <c r="AI171" s="44"/>
      <c r="AJ171" s="44"/>
      <c r="AK171" s="44"/>
      <c r="AL171" s="44"/>
      <c r="AM171" s="44"/>
      <c r="AN171" s="44"/>
      <c r="AO171" s="44"/>
      <c r="AP171" s="44"/>
      <c r="AQ171" s="44"/>
      <c r="AR171" s="44"/>
      <c r="AS171" s="44"/>
    </row>
    <row r="172" spans="1:45" ht="62.25">
      <c r="A172" s="214"/>
      <c r="B172" s="356" t="s">
        <v>346</v>
      </c>
      <c r="C172" s="368" t="s">
        <v>1163</v>
      </c>
      <c r="D172" s="383" t="s">
        <v>778</v>
      </c>
      <c r="E172" s="380">
        <v>1</v>
      </c>
      <c r="F172" s="299" t="s">
        <v>1214</v>
      </c>
      <c r="G172" s="384" t="s">
        <v>756</v>
      </c>
      <c r="H172" s="384" t="s">
        <v>1</v>
      </c>
      <c r="I172" s="395" t="s">
        <v>1045</v>
      </c>
      <c r="J172" s="396" t="s">
        <v>1</v>
      </c>
      <c r="K172" s="432" t="s">
        <v>1215</v>
      </c>
      <c r="L172" s="432" t="s">
        <v>1216</v>
      </c>
      <c r="M172" s="386" t="s">
        <v>65</v>
      </c>
      <c r="N172" s="387" t="s">
        <v>1217</v>
      </c>
      <c r="O172" s="387" t="s">
        <v>1218</v>
      </c>
      <c r="P172" s="387"/>
      <c r="Q172" s="387"/>
      <c r="R172" s="387" t="s">
        <v>1</v>
      </c>
      <c r="S172" s="387"/>
      <c r="T172" s="380">
        <v>1</v>
      </c>
      <c r="U172" s="380">
        <v>7</v>
      </c>
      <c r="V172" s="380" t="s">
        <v>1097</v>
      </c>
      <c r="W172" s="380" t="s">
        <v>953</v>
      </c>
      <c r="X172" s="380" t="s">
        <v>1027</v>
      </c>
      <c r="Y172" s="380" t="s">
        <v>1050</v>
      </c>
      <c r="Z172" s="380" t="s">
        <v>1051</v>
      </c>
      <c r="AA172" s="380" t="s">
        <v>1</v>
      </c>
      <c r="AB172" s="380" t="s">
        <v>1</v>
      </c>
      <c r="AC172" s="380" t="s">
        <v>768</v>
      </c>
      <c r="AD172" s="380" t="s">
        <v>1</v>
      </c>
      <c r="AE172" s="397" t="s">
        <v>1</v>
      </c>
      <c r="AF172" s="44"/>
      <c r="AG172" s="44"/>
      <c r="AH172" s="44"/>
      <c r="AI172" s="44"/>
      <c r="AJ172" s="44"/>
      <c r="AK172" s="44"/>
      <c r="AL172" s="44"/>
      <c r="AM172" s="44"/>
      <c r="AN172" s="44"/>
      <c r="AO172" s="44"/>
      <c r="AP172" s="44"/>
      <c r="AQ172" s="44"/>
      <c r="AR172" s="44"/>
      <c r="AS172" s="44"/>
    </row>
    <row r="173" spans="1:45" ht="365.25">
      <c r="A173" s="214"/>
      <c r="B173" s="356" t="s">
        <v>346</v>
      </c>
      <c r="C173" s="368" t="s">
        <v>1163</v>
      </c>
      <c r="D173" s="383" t="s">
        <v>778</v>
      </c>
      <c r="E173" s="380">
        <v>2</v>
      </c>
      <c r="F173" s="299" t="s">
        <v>1219</v>
      </c>
      <c r="G173" s="384" t="s">
        <v>828</v>
      </c>
      <c r="H173" s="384" t="s">
        <v>1</v>
      </c>
      <c r="I173" s="395" t="s">
        <v>757</v>
      </c>
      <c r="J173" s="396" t="s">
        <v>1</v>
      </c>
      <c r="K173" s="432" t="s">
        <v>1220</v>
      </c>
      <c r="L173" s="385" t="s">
        <v>1221</v>
      </c>
      <c r="M173" s="386" t="s">
        <v>65</v>
      </c>
      <c r="N173" s="387" t="s">
        <v>1222</v>
      </c>
      <c r="O173" s="387" t="s">
        <v>1223</v>
      </c>
      <c r="P173" s="387"/>
      <c r="Q173" s="387"/>
      <c r="R173" s="387" t="s">
        <v>1224</v>
      </c>
      <c r="S173" s="387" t="s">
        <v>1225</v>
      </c>
      <c r="T173" s="380">
        <v>1</v>
      </c>
      <c r="U173" s="380">
        <v>7</v>
      </c>
      <c r="V173" s="380" t="s">
        <v>1097</v>
      </c>
      <c r="W173" s="380" t="s">
        <v>953</v>
      </c>
      <c r="X173" s="380" t="s">
        <v>828</v>
      </c>
      <c r="Y173" s="380" t="s">
        <v>1018</v>
      </c>
      <c r="Z173" s="380" t="s">
        <v>1019</v>
      </c>
      <c r="AA173" s="380" t="s">
        <v>1</v>
      </c>
      <c r="AB173" s="380" t="s">
        <v>1</v>
      </c>
      <c r="AC173" s="380" t="s">
        <v>768</v>
      </c>
      <c r="AD173" s="380" t="s">
        <v>1</v>
      </c>
      <c r="AE173" s="397" t="s">
        <v>1</v>
      </c>
      <c r="AF173" s="44"/>
      <c r="AG173" s="44"/>
      <c r="AH173" s="44"/>
      <c r="AI173" s="44"/>
      <c r="AJ173" s="44"/>
      <c r="AK173" s="44"/>
      <c r="AL173" s="44"/>
      <c r="AM173" s="44"/>
      <c r="AN173" s="44"/>
      <c r="AO173" s="44"/>
      <c r="AP173" s="44"/>
      <c r="AQ173" s="44"/>
      <c r="AR173" s="44"/>
      <c r="AS173" s="44"/>
    </row>
    <row r="174" spans="1:45" ht="46.5">
      <c r="A174" s="214"/>
      <c r="B174" s="356" t="s">
        <v>346</v>
      </c>
      <c r="C174" s="368" t="s">
        <v>1163</v>
      </c>
      <c r="D174" s="383" t="s">
        <v>778</v>
      </c>
      <c r="E174" s="380">
        <v>3</v>
      </c>
      <c r="F174" s="299" t="s">
        <v>1226</v>
      </c>
      <c r="G174" s="384" t="s">
        <v>840</v>
      </c>
      <c r="H174" s="384" t="s">
        <v>1</v>
      </c>
      <c r="I174" s="395" t="s">
        <v>757</v>
      </c>
      <c r="J174" s="396" t="s">
        <v>1</v>
      </c>
      <c r="K174" s="432" t="s">
        <v>1227</v>
      </c>
      <c r="L174" s="385" t="s">
        <v>1228</v>
      </c>
      <c r="M174" s="386" t="s">
        <v>65</v>
      </c>
      <c r="N174" s="387" t="s">
        <v>1229</v>
      </c>
      <c r="O174" s="387" t="s">
        <v>1230</v>
      </c>
      <c r="P174" s="387"/>
      <c r="Q174" s="387"/>
      <c r="R174" s="387" t="s">
        <v>1</v>
      </c>
      <c r="S174" s="387"/>
      <c r="T174" s="380">
        <v>3</v>
      </c>
      <c r="U174" s="380">
        <v>15</v>
      </c>
      <c r="V174" s="380" t="s">
        <v>953</v>
      </c>
      <c r="W174" s="380" t="s">
        <v>953</v>
      </c>
      <c r="X174" s="380" t="s">
        <v>1027</v>
      </c>
      <c r="Y174" s="380" t="s">
        <v>1028</v>
      </c>
      <c r="Z174" s="380" t="s">
        <v>1019</v>
      </c>
      <c r="AA174" s="380" t="s">
        <v>1</v>
      </c>
      <c r="AB174" s="380" t="s">
        <v>1</v>
      </c>
      <c r="AC174" s="380" t="s">
        <v>768</v>
      </c>
      <c r="AD174" s="380" t="s">
        <v>1</v>
      </c>
      <c r="AE174" s="397" t="s">
        <v>1</v>
      </c>
      <c r="AF174" s="44"/>
      <c r="AG174" s="44"/>
      <c r="AH174" s="44"/>
      <c r="AI174" s="44"/>
      <c r="AJ174" s="44"/>
      <c r="AK174" s="44"/>
      <c r="AL174" s="44"/>
      <c r="AM174" s="44"/>
      <c r="AN174" s="44"/>
      <c r="AO174" s="44"/>
      <c r="AP174" s="44"/>
      <c r="AQ174" s="44"/>
      <c r="AR174" s="44"/>
      <c r="AS174" s="44"/>
    </row>
    <row r="175" spans="1:45" ht="409.6">
      <c r="A175" s="214"/>
      <c r="B175" s="356" t="s">
        <v>346</v>
      </c>
      <c r="C175" s="368" t="s">
        <v>1163</v>
      </c>
      <c r="D175" s="383" t="s">
        <v>778</v>
      </c>
      <c r="E175" s="380">
        <v>4</v>
      </c>
      <c r="F175" s="299" t="s">
        <v>1231</v>
      </c>
      <c r="G175" s="384" t="s">
        <v>828</v>
      </c>
      <c r="H175" s="384" t="s">
        <v>1</v>
      </c>
      <c r="I175" s="395" t="s">
        <v>757</v>
      </c>
      <c r="J175" s="396" t="s">
        <v>1</v>
      </c>
      <c r="K175" s="385" t="s">
        <v>1232</v>
      </c>
      <c r="L175" s="385" t="s">
        <v>1233</v>
      </c>
      <c r="M175" s="386" t="s">
        <v>65</v>
      </c>
      <c r="N175" s="387" t="s">
        <v>1234</v>
      </c>
      <c r="O175" s="387" t="s">
        <v>1235</v>
      </c>
      <c r="P175" s="387"/>
      <c r="Q175" s="387"/>
      <c r="R175" s="387" t="s">
        <v>1236</v>
      </c>
      <c r="S175" s="387" t="s">
        <v>1237</v>
      </c>
      <c r="T175" s="380">
        <v>1</v>
      </c>
      <c r="U175" s="380">
        <v>7</v>
      </c>
      <c r="V175" s="380" t="s">
        <v>1097</v>
      </c>
      <c r="W175" s="380" t="s">
        <v>953</v>
      </c>
      <c r="X175" s="380" t="s">
        <v>828</v>
      </c>
      <c r="Y175" s="380" t="s">
        <v>1018</v>
      </c>
      <c r="Z175" s="380" t="s">
        <v>1019</v>
      </c>
      <c r="AA175" s="380" t="s">
        <v>1</v>
      </c>
      <c r="AB175" s="380" t="s">
        <v>1</v>
      </c>
      <c r="AC175" s="380" t="s">
        <v>768</v>
      </c>
      <c r="AD175" s="380" t="s">
        <v>1</v>
      </c>
      <c r="AE175" s="397" t="s">
        <v>1</v>
      </c>
      <c r="AF175" s="44"/>
      <c r="AG175" s="44"/>
      <c r="AH175" s="44"/>
      <c r="AI175" s="44"/>
      <c r="AJ175" s="44"/>
      <c r="AK175" s="44"/>
      <c r="AL175" s="44"/>
      <c r="AM175" s="44"/>
      <c r="AN175" s="44"/>
      <c r="AO175" s="44"/>
      <c r="AP175" s="44"/>
      <c r="AQ175" s="44"/>
      <c r="AR175" s="44"/>
      <c r="AS175" s="44"/>
    </row>
    <row r="176" spans="1:45" s="469" customFormat="1" ht="46.5">
      <c r="A176" s="456"/>
      <c r="B176" s="457" t="s">
        <v>365</v>
      </c>
      <c r="C176" s="458" t="s">
        <v>1238</v>
      </c>
      <c r="D176" s="446" t="s">
        <v>735</v>
      </c>
      <c r="E176" s="446">
        <v>1</v>
      </c>
      <c r="F176" s="460" t="s">
        <v>1239</v>
      </c>
      <c r="G176" s="461" t="s">
        <v>744</v>
      </c>
      <c r="H176" s="461" t="s">
        <v>1</v>
      </c>
      <c r="I176" s="462" t="s">
        <v>757</v>
      </c>
      <c r="J176" s="463" t="s">
        <v>1</v>
      </c>
      <c r="K176" s="464" t="s">
        <v>1240</v>
      </c>
      <c r="L176" s="464" t="s">
        <v>1241</v>
      </c>
      <c r="M176" s="465" t="s">
        <v>65</v>
      </c>
      <c r="N176" s="466" t="s">
        <v>1242</v>
      </c>
      <c r="O176" s="466" t="s">
        <v>1243</v>
      </c>
      <c r="P176" s="466"/>
      <c r="Q176" s="466"/>
      <c r="R176" s="466" t="s">
        <v>1</v>
      </c>
      <c r="S176" s="466"/>
      <c r="T176" s="446">
        <v>1</v>
      </c>
      <c r="U176" s="446">
        <v>7</v>
      </c>
      <c r="V176" s="446" t="s">
        <v>1097</v>
      </c>
      <c r="W176" s="446" t="s">
        <v>953</v>
      </c>
      <c r="X176" s="446" t="s">
        <v>1027</v>
      </c>
      <c r="Y176" s="446" t="s">
        <v>1018</v>
      </c>
      <c r="Z176" s="446" t="s">
        <v>1019</v>
      </c>
      <c r="AA176" s="446" t="s">
        <v>1</v>
      </c>
      <c r="AB176" s="446" t="s">
        <v>1</v>
      </c>
      <c r="AC176" s="446" t="s">
        <v>768</v>
      </c>
      <c r="AD176" s="446" t="s">
        <v>1</v>
      </c>
      <c r="AE176" s="467" t="s">
        <v>1</v>
      </c>
      <c r="AF176" s="468"/>
      <c r="AG176" s="468"/>
      <c r="AH176" s="468"/>
      <c r="AI176" s="468"/>
      <c r="AJ176" s="468"/>
      <c r="AK176" s="468"/>
      <c r="AL176" s="468"/>
      <c r="AM176" s="468"/>
      <c r="AN176" s="468"/>
      <c r="AO176" s="468"/>
      <c r="AP176" s="468"/>
      <c r="AQ176" s="468"/>
      <c r="AR176" s="468"/>
      <c r="AS176" s="468"/>
    </row>
    <row r="177" spans="1:45" s="469" customFormat="1" ht="45">
      <c r="A177" s="456"/>
      <c r="B177" s="457" t="s">
        <v>365</v>
      </c>
      <c r="C177" s="458" t="s">
        <v>1238</v>
      </c>
      <c r="D177" s="446" t="s">
        <v>735</v>
      </c>
      <c r="E177" s="446">
        <v>2</v>
      </c>
      <c r="F177" s="460" t="s">
        <v>1244</v>
      </c>
      <c r="G177" s="461" t="s">
        <v>793</v>
      </c>
      <c r="H177" s="461" t="s">
        <v>1</v>
      </c>
      <c r="I177" s="462" t="s">
        <v>757</v>
      </c>
      <c r="J177" s="463" t="s">
        <v>1</v>
      </c>
      <c r="K177" s="464" t="s">
        <v>1245</v>
      </c>
      <c r="L177" s="464" t="s">
        <v>1246</v>
      </c>
      <c r="M177" s="465" t="s">
        <v>65</v>
      </c>
      <c r="N177" s="466" t="s">
        <v>1247</v>
      </c>
      <c r="O177" s="466" t="s">
        <v>1248</v>
      </c>
      <c r="P177" s="466"/>
      <c r="Q177" s="466"/>
      <c r="R177" s="466" t="s">
        <v>1</v>
      </c>
      <c r="S177" s="466"/>
      <c r="T177" s="446">
        <v>1</v>
      </c>
      <c r="U177" s="446">
        <v>7</v>
      </c>
      <c r="V177" s="446" t="s">
        <v>1097</v>
      </c>
      <c r="W177" s="446" t="s">
        <v>953</v>
      </c>
      <c r="X177" s="446" t="s">
        <v>1027</v>
      </c>
      <c r="Y177" s="446" t="s">
        <v>1018</v>
      </c>
      <c r="Z177" s="446" t="s">
        <v>1019</v>
      </c>
      <c r="AA177" s="446" t="s">
        <v>1</v>
      </c>
      <c r="AB177" s="446" t="s">
        <v>1</v>
      </c>
      <c r="AC177" s="446" t="s">
        <v>768</v>
      </c>
      <c r="AD177" s="446" t="s">
        <v>1</v>
      </c>
      <c r="AE177" s="467" t="s">
        <v>1</v>
      </c>
      <c r="AF177" s="468"/>
      <c r="AG177" s="468"/>
      <c r="AH177" s="468"/>
      <c r="AI177" s="468"/>
      <c r="AJ177" s="468"/>
      <c r="AK177" s="468"/>
      <c r="AL177" s="468"/>
      <c r="AM177" s="468"/>
      <c r="AN177" s="468"/>
      <c r="AO177" s="468"/>
      <c r="AP177" s="468"/>
      <c r="AQ177" s="468"/>
      <c r="AR177" s="468"/>
      <c r="AS177" s="468"/>
    </row>
    <row r="178" spans="1:45" s="469" customFormat="1" ht="30.75">
      <c r="A178" s="456"/>
      <c r="B178" s="457" t="s">
        <v>365</v>
      </c>
      <c r="C178" s="458" t="s">
        <v>1238</v>
      </c>
      <c r="D178" s="446" t="s">
        <v>743</v>
      </c>
      <c r="E178" s="446">
        <v>1</v>
      </c>
      <c r="F178" s="460" t="s">
        <v>1249</v>
      </c>
      <c r="G178" s="461" t="s">
        <v>840</v>
      </c>
      <c r="H178" s="461" t="s">
        <v>1</v>
      </c>
      <c r="I178" s="462" t="s">
        <v>757</v>
      </c>
      <c r="J178" s="463" t="s">
        <v>1</v>
      </c>
      <c r="K178" s="464" t="s">
        <v>1250</v>
      </c>
      <c r="L178" s="464" t="s">
        <v>1251</v>
      </c>
      <c r="M178" s="465" t="s">
        <v>65</v>
      </c>
      <c r="N178" s="466" t="s">
        <v>1252</v>
      </c>
      <c r="O178" s="466" t="s">
        <v>1253</v>
      </c>
      <c r="P178" s="466"/>
      <c r="Q178" s="466"/>
      <c r="R178" s="466" t="s">
        <v>1</v>
      </c>
      <c r="S178" s="466"/>
      <c r="T178" s="446">
        <v>3</v>
      </c>
      <c r="U178" s="446">
        <v>15</v>
      </c>
      <c r="V178" s="446" t="s">
        <v>953</v>
      </c>
      <c r="W178" s="446" t="s">
        <v>953</v>
      </c>
      <c r="X178" s="446" t="s">
        <v>1027</v>
      </c>
      <c r="Y178" s="446" t="s">
        <v>1028</v>
      </c>
      <c r="Z178" s="446" t="s">
        <v>1019</v>
      </c>
      <c r="AA178" s="446" t="s">
        <v>1</v>
      </c>
      <c r="AB178" s="446" t="s">
        <v>1</v>
      </c>
      <c r="AC178" s="446" t="s">
        <v>768</v>
      </c>
      <c r="AD178" s="446" t="s">
        <v>1</v>
      </c>
      <c r="AE178" s="467" t="s">
        <v>1</v>
      </c>
      <c r="AF178" s="468"/>
      <c r="AG178" s="468"/>
      <c r="AH178" s="468"/>
      <c r="AI178" s="468"/>
      <c r="AJ178" s="468"/>
      <c r="AK178" s="468"/>
      <c r="AL178" s="468"/>
      <c r="AM178" s="468"/>
      <c r="AN178" s="468"/>
      <c r="AO178" s="468"/>
      <c r="AP178" s="468"/>
      <c r="AQ178" s="468"/>
      <c r="AR178" s="468"/>
      <c r="AS178" s="468"/>
    </row>
    <row r="179" spans="1:45" ht="45">
      <c r="A179" s="214"/>
      <c r="B179" s="357" t="s">
        <v>365</v>
      </c>
      <c r="C179" s="369" t="s">
        <v>1238</v>
      </c>
      <c r="D179" s="380" t="s">
        <v>743</v>
      </c>
      <c r="E179" s="380">
        <v>2</v>
      </c>
      <c r="F179" s="299" t="s">
        <v>1254</v>
      </c>
      <c r="G179" s="384" t="s">
        <v>840</v>
      </c>
      <c r="H179" s="384" t="s">
        <v>1</v>
      </c>
      <c r="I179" s="395" t="s">
        <v>757</v>
      </c>
      <c r="J179" s="396" t="s">
        <v>1</v>
      </c>
      <c r="K179" s="385" t="s">
        <v>1255</v>
      </c>
      <c r="L179" s="385" t="s">
        <v>1256</v>
      </c>
      <c r="M179" s="386" t="s">
        <v>65</v>
      </c>
      <c r="N179" s="447" t="s">
        <v>1257</v>
      </c>
      <c r="O179" s="387" t="s">
        <v>1258</v>
      </c>
      <c r="P179" s="387"/>
      <c r="Q179" s="387"/>
      <c r="R179" s="387" t="s">
        <v>1</v>
      </c>
      <c r="S179" s="387"/>
      <c r="T179" s="380">
        <v>3</v>
      </c>
      <c r="U179" s="380">
        <v>15</v>
      </c>
      <c r="V179" s="380" t="s">
        <v>953</v>
      </c>
      <c r="W179" s="380" t="s">
        <v>953</v>
      </c>
      <c r="X179" s="380" t="s">
        <v>1027</v>
      </c>
      <c r="Y179" s="380" t="s">
        <v>1028</v>
      </c>
      <c r="Z179" s="380" t="s">
        <v>1019</v>
      </c>
      <c r="AA179" s="380" t="s">
        <v>1</v>
      </c>
      <c r="AB179" s="380" t="s">
        <v>1</v>
      </c>
      <c r="AC179" s="380" t="s">
        <v>768</v>
      </c>
      <c r="AD179" s="380" t="s">
        <v>1</v>
      </c>
      <c r="AE179" s="397" t="s">
        <v>1</v>
      </c>
      <c r="AF179" s="44"/>
      <c r="AG179" s="44"/>
      <c r="AH179" s="44"/>
      <c r="AI179" s="44"/>
      <c r="AJ179" s="44"/>
      <c r="AK179" s="44"/>
      <c r="AL179" s="44"/>
      <c r="AM179" s="44"/>
      <c r="AN179" s="44"/>
      <c r="AO179" s="44"/>
      <c r="AP179" s="44"/>
      <c r="AQ179" s="44"/>
      <c r="AR179" s="44"/>
      <c r="AS179" s="44"/>
    </row>
    <row r="180" spans="1:45" ht="45">
      <c r="A180" s="214"/>
      <c r="B180" s="357" t="s">
        <v>365</v>
      </c>
      <c r="C180" s="369" t="s">
        <v>1238</v>
      </c>
      <c r="D180" s="381" t="s">
        <v>750</v>
      </c>
      <c r="E180" s="380">
        <v>1</v>
      </c>
      <c r="F180" s="299" t="s">
        <v>1259</v>
      </c>
      <c r="G180" s="384" t="s">
        <v>756</v>
      </c>
      <c r="H180" s="384" t="s">
        <v>1</v>
      </c>
      <c r="I180" s="395" t="s">
        <v>1045</v>
      </c>
      <c r="J180" s="396" t="s">
        <v>1</v>
      </c>
      <c r="K180" s="385" t="s">
        <v>1260</v>
      </c>
      <c r="L180" s="385" t="s">
        <v>1261</v>
      </c>
      <c r="M180" s="386" t="s">
        <v>65</v>
      </c>
      <c r="N180" s="387" t="s">
        <v>1262</v>
      </c>
      <c r="O180" s="387" t="s">
        <v>1263</v>
      </c>
      <c r="P180" s="387"/>
      <c r="Q180" s="387"/>
      <c r="R180" s="387" t="s">
        <v>1</v>
      </c>
      <c r="S180" s="387"/>
      <c r="T180" s="380">
        <v>1</v>
      </c>
      <c r="U180" s="380">
        <v>7</v>
      </c>
      <c r="V180" s="380" t="s">
        <v>1097</v>
      </c>
      <c r="W180" s="380" t="s">
        <v>953</v>
      </c>
      <c r="X180" s="380" t="s">
        <v>1027</v>
      </c>
      <c r="Y180" s="380" t="s">
        <v>1050</v>
      </c>
      <c r="Z180" s="380" t="s">
        <v>1051</v>
      </c>
      <c r="AA180" s="380" t="s">
        <v>1</v>
      </c>
      <c r="AB180" s="380" t="s">
        <v>1</v>
      </c>
      <c r="AC180" s="380" t="s">
        <v>768</v>
      </c>
      <c r="AD180" s="380" t="s">
        <v>1</v>
      </c>
      <c r="AE180" s="397" t="s">
        <v>1</v>
      </c>
      <c r="AF180" s="44"/>
      <c r="AG180" s="44"/>
      <c r="AH180" s="44"/>
      <c r="AI180" s="44"/>
      <c r="AJ180" s="44"/>
      <c r="AK180" s="44"/>
      <c r="AL180" s="44"/>
      <c r="AM180" s="44"/>
      <c r="AN180" s="44"/>
      <c r="AO180" s="44"/>
      <c r="AP180" s="44"/>
      <c r="AQ180" s="44"/>
      <c r="AR180" s="44"/>
      <c r="AS180" s="44"/>
    </row>
    <row r="181" spans="1:45" s="469" customFormat="1" ht="45">
      <c r="A181" s="456"/>
      <c r="B181" s="457" t="s">
        <v>365</v>
      </c>
      <c r="C181" s="458" t="s">
        <v>1238</v>
      </c>
      <c r="D181" s="446" t="s">
        <v>750</v>
      </c>
      <c r="E181" s="446">
        <v>2</v>
      </c>
      <c r="F181" s="460" t="s">
        <v>1264</v>
      </c>
      <c r="G181" s="461" t="s">
        <v>840</v>
      </c>
      <c r="H181" s="461" t="s">
        <v>1</v>
      </c>
      <c r="I181" s="462" t="s">
        <v>757</v>
      </c>
      <c r="J181" s="463" t="s">
        <v>1</v>
      </c>
      <c r="K181" s="464" t="s">
        <v>1265</v>
      </c>
      <c r="L181" s="464" t="s">
        <v>1266</v>
      </c>
      <c r="M181" s="465" t="s">
        <v>65</v>
      </c>
      <c r="N181" s="466" t="s">
        <v>1267</v>
      </c>
      <c r="O181" s="466" t="s">
        <v>1268</v>
      </c>
      <c r="P181" s="466"/>
      <c r="Q181" s="466"/>
      <c r="R181" s="466" t="s">
        <v>1</v>
      </c>
      <c r="S181" s="466"/>
      <c r="T181" s="446">
        <v>3</v>
      </c>
      <c r="U181" s="446">
        <v>15</v>
      </c>
      <c r="V181" s="446" t="s">
        <v>953</v>
      </c>
      <c r="W181" s="446" t="s">
        <v>953</v>
      </c>
      <c r="X181" s="446" t="s">
        <v>1027</v>
      </c>
      <c r="Y181" s="446" t="s">
        <v>1028</v>
      </c>
      <c r="Z181" s="446" t="s">
        <v>1019</v>
      </c>
      <c r="AA181" s="446" t="s">
        <v>1</v>
      </c>
      <c r="AB181" s="446" t="s">
        <v>1</v>
      </c>
      <c r="AC181" s="446" t="s">
        <v>768</v>
      </c>
      <c r="AD181" s="446" t="s">
        <v>1</v>
      </c>
      <c r="AE181" s="467" t="s">
        <v>1</v>
      </c>
      <c r="AF181" s="468"/>
      <c r="AG181" s="468"/>
      <c r="AH181" s="468"/>
      <c r="AI181" s="468"/>
      <c r="AJ181" s="468"/>
      <c r="AK181" s="468"/>
      <c r="AL181" s="468"/>
      <c r="AM181" s="468"/>
      <c r="AN181" s="468"/>
      <c r="AO181" s="468"/>
      <c r="AP181" s="468"/>
      <c r="AQ181" s="468"/>
      <c r="AR181" s="468"/>
      <c r="AS181" s="468"/>
    </row>
    <row r="182" spans="1:45" s="469" customFormat="1" ht="46.5">
      <c r="A182" s="456"/>
      <c r="B182" s="457" t="s">
        <v>365</v>
      </c>
      <c r="C182" s="458" t="s">
        <v>1238</v>
      </c>
      <c r="D182" s="459" t="s">
        <v>764</v>
      </c>
      <c r="E182" s="446">
        <v>1</v>
      </c>
      <c r="F182" s="460" t="s">
        <v>1269</v>
      </c>
      <c r="G182" s="461" t="s">
        <v>840</v>
      </c>
      <c r="H182" s="461" t="s">
        <v>1</v>
      </c>
      <c r="I182" s="462" t="s">
        <v>757</v>
      </c>
      <c r="J182" s="463" t="s">
        <v>1</v>
      </c>
      <c r="K182" s="464" t="s">
        <v>1270</v>
      </c>
      <c r="L182" s="464" t="s">
        <v>1271</v>
      </c>
      <c r="M182" s="465" t="s">
        <v>65</v>
      </c>
      <c r="N182" s="466" t="s">
        <v>1272</v>
      </c>
      <c r="O182" s="466" t="s">
        <v>1273</v>
      </c>
      <c r="P182" s="466"/>
      <c r="Q182" s="466"/>
      <c r="R182" s="466" t="s">
        <v>1</v>
      </c>
      <c r="S182" s="466"/>
      <c r="T182" s="446">
        <v>3</v>
      </c>
      <c r="U182" s="446">
        <v>15</v>
      </c>
      <c r="V182" s="446" t="s">
        <v>953</v>
      </c>
      <c r="W182" s="446" t="s">
        <v>953</v>
      </c>
      <c r="X182" s="446" t="s">
        <v>1027</v>
      </c>
      <c r="Y182" s="446" t="s">
        <v>1028</v>
      </c>
      <c r="Z182" s="446" t="s">
        <v>1019</v>
      </c>
      <c r="AA182" s="446" t="s">
        <v>1</v>
      </c>
      <c r="AB182" s="446" t="s">
        <v>1</v>
      </c>
      <c r="AC182" s="446" t="s">
        <v>768</v>
      </c>
      <c r="AD182" s="446" t="s">
        <v>1</v>
      </c>
      <c r="AE182" s="467" t="s">
        <v>1</v>
      </c>
      <c r="AF182" s="468"/>
      <c r="AG182" s="468"/>
      <c r="AH182" s="468"/>
      <c r="AI182" s="468"/>
      <c r="AJ182" s="468"/>
      <c r="AK182" s="468"/>
      <c r="AL182" s="468"/>
      <c r="AM182" s="468"/>
      <c r="AN182" s="468"/>
      <c r="AO182" s="468"/>
      <c r="AP182" s="468"/>
      <c r="AQ182" s="468"/>
      <c r="AR182" s="468"/>
      <c r="AS182" s="468"/>
    </row>
    <row r="183" spans="1:45" s="469" customFormat="1" ht="45">
      <c r="A183" s="456"/>
      <c r="B183" s="457" t="s">
        <v>365</v>
      </c>
      <c r="C183" s="458" t="s">
        <v>1238</v>
      </c>
      <c r="D183" s="459" t="s">
        <v>764</v>
      </c>
      <c r="E183" s="446">
        <v>2</v>
      </c>
      <c r="F183" s="460" t="s">
        <v>1274</v>
      </c>
      <c r="G183" s="461" t="s">
        <v>840</v>
      </c>
      <c r="H183" s="461" t="s">
        <v>1</v>
      </c>
      <c r="I183" s="462" t="s">
        <v>757</v>
      </c>
      <c r="J183" s="463" t="s">
        <v>1</v>
      </c>
      <c r="K183" s="464" t="s">
        <v>1275</v>
      </c>
      <c r="L183" s="464" t="s">
        <v>1276</v>
      </c>
      <c r="M183" s="465" t="s">
        <v>65</v>
      </c>
      <c r="N183" s="471" t="s">
        <v>1277</v>
      </c>
      <c r="O183" s="466" t="s">
        <v>1278</v>
      </c>
      <c r="P183" s="466"/>
      <c r="Q183" s="466"/>
      <c r="R183" s="466" t="s">
        <v>1</v>
      </c>
      <c r="S183" s="466"/>
      <c r="T183" s="446">
        <v>3</v>
      </c>
      <c r="U183" s="446">
        <v>15</v>
      </c>
      <c r="V183" s="446" t="s">
        <v>953</v>
      </c>
      <c r="W183" s="446" t="s">
        <v>953</v>
      </c>
      <c r="X183" s="446" t="s">
        <v>1027</v>
      </c>
      <c r="Y183" s="446" t="s">
        <v>1028</v>
      </c>
      <c r="Z183" s="446" t="s">
        <v>1019</v>
      </c>
      <c r="AA183" s="446" t="s">
        <v>1</v>
      </c>
      <c r="AB183" s="446" t="s">
        <v>1</v>
      </c>
      <c r="AC183" s="446" t="s">
        <v>768</v>
      </c>
      <c r="AD183" s="446" t="s">
        <v>1</v>
      </c>
      <c r="AE183" s="467" t="s">
        <v>1</v>
      </c>
      <c r="AF183" s="468"/>
      <c r="AG183" s="468"/>
      <c r="AH183" s="468"/>
      <c r="AI183" s="468"/>
      <c r="AJ183" s="468"/>
      <c r="AK183" s="468"/>
      <c r="AL183" s="468"/>
      <c r="AM183" s="468"/>
      <c r="AN183" s="468"/>
      <c r="AO183" s="468"/>
      <c r="AP183" s="468"/>
      <c r="AQ183" s="468"/>
      <c r="AR183" s="468"/>
      <c r="AS183" s="468"/>
    </row>
    <row r="184" spans="1:45" s="469" customFormat="1" ht="46.5">
      <c r="A184" s="456"/>
      <c r="B184" s="457" t="s">
        <v>365</v>
      </c>
      <c r="C184" s="458" t="s">
        <v>1238</v>
      </c>
      <c r="D184" s="459" t="s">
        <v>764</v>
      </c>
      <c r="E184" s="446">
        <v>3</v>
      </c>
      <c r="F184" s="460" t="s">
        <v>1279</v>
      </c>
      <c r="G184" s="461" t="s">
        <v>840</v>
      </c>
      <c r="H184" s="461" t="s">
        <v>1</v>
      </c>
      <c r="I184" s="462" t="s">
        <v>757</v>
      </c>
      <c r="J184" s="463" t="s">
        <v>1</v>
      </c>
      <c r="K184" s="464" t="s">
        <v>1280</v>
      </c>
      <c r="L184" s="464" t="s">
        <v>1281</v>
      </c>
      <c r="M184" s="465" t="s">
        <v>65</v>
      </c>
      <c r="N184" s="466" t="s">
        <v>1282</v>
      </c>
      <c r="O184" s="466" t="s">
        <v>1283</v>
      </c>
      <c r="P184" s="466"/>
      <c r="Q184" s="466"/>
      <c r="R184" s="466" t="s">
        <v>1</v>
      </c>
      <c r="S184" s="466"/>
      <c r="T184" s="446">
        <v>3</v>
      </c>
      <c r="U184" s="446">
        <v>15</v>
      </c>
      <c r="V184" s="446" t="s">
        <v>953</v>
      </c>
      <c r="W184" s="446" t="s">
        <v>953</v>
      </c>
      <c r="X184" s="446" t="s">
        <v>1027</v>
      </c>
      <c r="Y184" s="446" t="s">
        <v>1028</v>
      </c>
      <c r="Z184" s="446" t="s">
        <v>1019</v>
      </c>
      <c r="AA184" s="446" t="s">
        <v>1</v>
      </c>
      <c r="AB184" s="446" t="s">
        <v>1</v>
      </c>
      <c r="AC184" s="446" t="s">
        <v>768</v>
      </c>
      <c r="AD184" s="446" t="s">
        <v>1</v>
      </c>
      <c r="AE184" s="467" t="s">
        <v>1</v>
      </c>
      <c r="AF184" s="468"/>
      <c r="AG184" s="468"/>
      <c r="AH184" s="468"/>
      <c r="AI184" s="468"/>
      <c r="AJ184" s="468"/>
      <c r="AK184" s="468"/>
      <c r="AL184" s="468"/>
      <c r="AM184" s="468"/>
      <c r="AN184" s="468"/>
      <c r="AO184" s="468"/>
      <c r="AP184" s="468"/>
      <c r="AQ184" s="468"/>
      <c r="AR184" s="468"/>
      <c r="AS184" s="468"/>
    </row>
    <row r="185" spans="1:45" s="469" customFormat="1" ht="46.5">
      <c r="A185" s="456"/>
      <c r="B185" s="457" t="s">
        <v>365</v>
      </c>
      <c r="C185" s="458" t="s">
        <v>1238</v>
      </c>
      <c r="D185" s="459" t="s">
        <v>764</v>
      </c>
      <c r="E185" s="446">
        <v>4</v>
      </c>
      <c r="F185" s="460" t="s">
        <v>1284</v>
      </c>
      <c r="G185" s="461" t="s">
        <v>744</v>
      </c>
      <c r="H185" s="461" t="s">
        <v>1</v>
      </c>
      <c r="I185" s="462" t="s">
        <v>757</v>
      </c>
      <c r="J185" s="463" t="s">
        <v>1</v>
      </c>
      <c r="K185" s="464" t="s">
        <v>1285</v>
      </c>
      <c r="L185" s="464" t="s">
        <v>1286</v>
      </c>
      <c r="M185" s="465" t="s">
        <v>65</v>
      </c>
      <c r="N185" s="466" t="s">
        <v>1287</v>
      </c>
      <c r="O185" s="466" t="s">
        <v>1288</v>
      </c>
      <c r="P185" s="466"/>
      <c r="Q185" s="466"/>
      <c r="R185" s="466" t="s">
        <v>1</v>
      </c>
      <c r="S185" s="466"/>
      <c r="T185" s="446">
        <v>1</v>
      </c>
      <c r="U185" s="446">
        <v>7</v>
      </c>
      <c r="V185" s="446" t="s">
        <v>1097</v>
      </c>
      <c r="W185" s="446" t="s">
        <v>953</v>
      </c>
      <c r="X185" s="446" t="s">
        <v>1027</v>
      </c>
      <c r="Y185" s="446" t="s">
        <v>1018</v>
      </c>
      <c r="Z185" s="446" t="s">
        <v>1019</v>
      </c>
      <c r="AA185" s="446" t="s">
        <v>1</v>
      </c>
      <c r="AB185" s="446" t="s">
        <v>1</v>
      </c>
      <c r="AC185" s="446" t="s">
        <v>768</v>
      </c>
      <c r="AD185" s="446" t="s">
        <v>1</v>
      </c>
      <c r="AE185" s="467" t="s">
        <v>1</v>
      </c>
      <c r="AF185" s="468"/>
      <c r="AG185" s="468"/>
      <c r="AH185" s="468"/>
      <c r="AI185" s="468"/>
      <c r="AJ185" s="468"/>
      <c r="AK185" s="468"/>
      <c r="AL185" s="468"/>
      <c r="AM185" s="468"/>
      <c r="AN185" s="468"/>
      <c r="AO185" s="468"/>
      <c r="AP185" s="468"/>
      <c r="AQ185" s="468"/>
      <c r="AR185" s="468"/>
      <c r="AS185" s="468"/>
    </row>
    <row r="186" spans="1:45" s="469" customFormat="1" ht="46.5">
      <c r="A186" s="456"/>
      <c r="B186" s="457" t="s">
        <v>365</v>
      </c>
      <c r="C186" s="458" t="s">
        <v>1238</v>
      </c>
      <c r="D186" s="459" t="s">
        <v>778</v>
      </c>
      <c r="E186" s="446">
        <v>1</v>
      </c>
      <c r="F186" s="460" t="s">
        <v>1289</v>
      </c>
      <c r="G186" s="461" t="s">
        <v>840</v>
      </c>
      <c r="H186" s="461" t="s">
        <v>1</v>
      </c>
      <c r="I186" s="462" t="s">
        <v>757</v>
      </c>
      <c r="J186" s="463" t="s">
        <v>1</v>
      </c>
      <c r="K186" s="464" t="s">
        <v>1290</v>
      </c>
      <c r="L186" s="464" t="s">
        <v>1291</v>
      </c>
      <c r="M186" s="465" t="s">
        <v>65</v>
      </c>
      <c r="N186" s="466" t="s">
        <v>1292</v>
      </c>
      <c r="O186" s="466" t="s">
        <v>1293</v>
      </c>
      <c r="P186" s="466"/>
      <c r="Q186" s="466"/>
      <c r="R186" s="466" t="s">
        <v>1</v>
      </c>
      <c r="S186" s="466"/>
      <c r="T186" s="446">
        <v>3</v>
      </c>
      <c r="U186" s="446">
        <v>15</v>
      </c>
      <c r="V186" s="446" t="s">
        <v>953</v>
      </c>
      <c r="W186" s="446" t="s">
        <v>953</v>
      </c>
      <c r="X186" s="446" t="s">
        <v>1027</v>
      </c>
      <c r="Y186" s="446" t="s">
        <v>1028</v>
      </c>
      <c r="Z186" s="446" t="s">
        <v>1019</v>
      </c>
      <c r="AA186" s="446" t="s">
        <v>1</v>
      </c>
      <c r="AB186" s="446" t="s">
        <v>1</v>
      </c>
      <c r="AC186" s="446" t="s">
        <v>768</v>
      </c>
      <c r="AD186" s="446" t="s">
        <v>1</v>
      </c>
      <c r="AE186" s="467" t="s">
        <v>1</v>
      </c>
      <c r="AF186" s="468"/>
      <c r="AG186" s="468"/>
      <c r="AH186" s="468"/>
      <c r="AI186" s="468"/>
      <c r="AJ186" s="468"/>
      <c r="AK186" s="468"/>
      <c r="AL186" s="468"/>
      <c r="AM186" s="468"/>
      <c r="AN186" s="468"/>
      <c r="AO186" s="468"/>
      <c r="AP186" s="468"/>
      <c r="AQ186" s="468"/>
      <c r="AR186" s="468"/>
      <c r="AS186" s="468"/>
    </row>
    <row r="187" spans="1:45" s="469" customFormat="1" ht="46.5">
      <c r="A187" s="456"/>
      <c r="B187" s="457" t="s">
        <v>365</v>
      </c>
      <c r="C187" s="458" t="s">
        <v>1238</v>
      </c>
      <c r="D187" s="459" t="s">
        <v>778</v>
      </c>
      <c r="E187" s="446">
        <v>2</v>
      </c>
      <c r="F187" s="460" t="s">
        <v>1294</v>
      </c>
      <c r="G187" s="461" t="s">
        <v>840</v>
      </c>
      <c r="H187" s="461" t="s">
        <v>1</v>
      </c>
      <c r="I187" s="462" t="s">
        <v>757</v>
      </c>
      <c r="J187" s="463" t="s">
        <v>1</v>
      </c>
      <c r="K187" s="464" t="s">
        <v>1295</v>
      </c>
      <c r="L187" s="464" t="s">
        <v>1296</v>
      </c>
      <c r="M187" s="465" t="s">
        <v>65</v>
      </c>
      <c r="N187" s="466" t="s">
        <v>1297</v>
      </c>
      <c r="O187" s="466" t="s">
        <v>1298</v>
      </c>
      <c r="P187" s="466"/>
      <c r="Q187" s="466"/>
      <c r="R187" s="466" t="s">
        <v>1</v>
      </c>
      <c r="S187" s="466"/>
      <c r="T187" s="446">
        <v>3</v>
      </c>
      <c r="U187" s="446">
        <v>15</v>
      </c>
      <c r="V187" s="446" t="s">
        <v>953</v>
      </c>
      <c r="W187" s="446" t="s">
        <v>953</v>
      </c>
      <c r="X187" s="446" t="s">
        <v>1027</v>
      </c>
      <c r="Y187" s="446" t="s">
        <v>1028</v>
      </c>
      <c r="Z187" s="446" t="s">
        <v>1019</v>
      </c>
      <c r="AA187" s="446" t="s">
        <v>1</v>
      </c>
      <c r="AB187" s="446" t="s">
        <v>1</v>
      </c>
      <c r="AC187" s="446" t="s">
        <v>768</v>
      </c>
      <c r="AD187" s="446" t="s">
        <v>1</v>
      </c>
      <c r="AE187" s="467" t="s">
        <v>1</v>
      </c>
      <c r="AF187" s="468"/>
      <c r="AG187" s="468"/>
      <c r="AH187" s="468"/>
      <c r="AI187" s="468"/>
      <c r="AJ187" s="468"/>
      <c r="AK187" s="468"/>
      <c r="AL187" s="468"/>
      <c r="AM187" s="468"/>
      <c r="AN187" s="468"/>
      <c r="AO187" s="468"/>
      <c r="AP187" s="468"/>
      <c r="AQ187" s="468"/>
      <c r="AR187" s="468"/>
      <c r="AS187" s="468"/>
    </row>
    <row r="188" spans="1:45" s="469" customFormat="1" ht="46.5">
      <c r="A188" s="456"/>
      <c r="B188" s="457" t="s">
        <v>365</v>
      </c>
      <c r="C188" s="458" t="s">
        <v>1238</v>
      </c>
      <c r="D188" s="459" t="s">
        <v>778</v>
      </c>
      <c r="E188" s="446">
        <v>3</v>
      </c>
      <c r="F188" s="460" t="s">
        <v>1299</v>
      </c>
      <c r="G188" s="461" t="s">
        <v>744</v>
      </c>
      <c r="H188" s="461" t="s">
        <v>1</v>
      </c>
      <c r="I188" s="462" t="s">
        <v>757</v>
      </c>
      <c r="J188" s="463" t="s">
        <v>1</v>
      </c>
      <c r="K188" s="464" t="s">
        <v>1300</v>
      </c>
      <c r="L188" s="464" t="s">
        <v>1301</v>
      </c>
      <c r="M188" s="465" t="s">
        <v>65</v>
      </c>
      <c r="N188" s="466" t="s">
        <v>1302</v>
      </c>
      <c r="O188" s="466" t="s">
        <v>1303</v>
      </c>
      <c r="P188" s="466"/>
      <c r="Q188" s="466"/>
      <c r="R188" s="466" t="s">
        <v>1</v>
      </c>
      <c r="S188" s="466"/>
      <c r="T188" s="446">
        <v>1</v>
      </c>
      <c r="U188" s="446">
        <v>7</v>
      </c>
      <c r="V188" s="446" t="s">
        <v>1097</v>
      </c>
      <c r="W188" s="446" t="s">
        <v>953</v>
      </c>
      <c r="X188" s="446" t="s">
        <v>1027</v>
      </c>
      <c r="Y188" s="446" t="s">
        <v>1018</v>
      </c>
      <c r="Z188" s="446" t="s">
        <v>1019</v>
      </c>
      <c r="AA188" s="446" t="s">
        <v>1</v>
      </c>
      <c r="AB188" s="446" t="s">
        <v>1</v>
      </c>
      <c r="AC188" s="446" t="s">
        <v>768</v>
      </c>
      <c r="AD188" s="446" t="s">
        <v>1</v>
      </c>
      <c r="AE188" s="467" t="s">
        <v>1</v>
      </c>
      <c r="AF188" s="468"/>
      <c r="AG188" s="468"/>
      <c r="AH188" s="468"/>
      <c r="AI188" s="468"/>
      <c r="AJ188" s="468"/>
      <c r="AK188" s="468"/>
      <c r="AL188" s="468"/>
      <c r="AM188" s="468"/>
      <c r="AN188" s="468"/>
      <c r="AO188" s="468"/>
      <c r="AP188" s="468"/>
      <c r="AQ188" s="468"/>
      <c r="AR188" s="468"/>
      <c r="AS188" s="468"/>
    </row>
    <row r="189" spans="1:45" s="469" customFormat="1" ht="46.5">
      <c r="A189" s="456"/>
      <c r="B189" s="457" t="s">
        <v>365</v>
      </c>
      <c r="C189" s="458" t="s">
        <v>1238</v>
      </c>
      <c r="D189" s="459" t="s">
        <v>778</v>
      </c>
      <c r="E189" s="446">
        <v>4</v>
      </c>
      <c r="F189" s="460" t="s">
        <v>1304</v>
      </c>
      <c r="G189" s="461" t="s">
        <v>744</v>
      </c>
      <c r="H189" s="461" t="s">
        <v>1</v>
      </c>
      <c r="I189" s="462" t="s">
        <v>757</v>
      </c>
      <c r="J189" s="463" t="s">
        <v>1</v>
      </c>
      <c r="K189" s="464" t="s">
        <v>1305</v>
      </c>
      <c r="L189" s="464" t="s">
        <v>1306</v>
      </c>
      <c r="M189" s="465" t="s">
        <v>65</v>
      </c>
      <c r="N189" s="466" t="s">
        <v>1307</v>
      </c>
      <c r="O189" s="466" t="s">
        <v>1308</v>
      </c>
      <c r="P189" s="466"/>
      <c r="Q189" s="466"/>
      <c r="R189" s="466" t="s">
        <v>1</v>
      </c>
      <c r="S189" s="466"/>
      <c r="T189" s="446">
        <v>1</v>
      </c>
      <c r="U189" s="446">
        <v>7</v>
      </c>
      <c r="V189" s="446" t="s">
        <v>1097</v>
      </c>
      <c r="W189" s="446" t="s">
        <v>953</v>
      </c>
      <c r="X189" s="446" t="s">
        <v>1027</v>
      </c>
      <c r="Y189" s="446" t="s">
        <v>1018</v>
      </c>
      <c r="Z189" s="446" t="s">
        <v>1019</v>
      </c>
      <c r="AA189" s="446" t="s">
        <v>1</v>
      </c>
      <c r="AB189" s="446" t="s">
        <v>1</v>
      </c>
      <c r="AC189" s="446" t="s">
        <v>768</v>
      </c>
      <c r="AD189" s="446" t="s">
        <v>1</v>
      </c>
      <c r="AE189" s="467" t="s">
        <v>1</v>
      </c>
      <c r="AF189" s="468"/>
      <c r="AG189" s="468"/>
      <c r="AH189" s="468"/>
      <c r="AI189" s="468"/>
      <c r="AJ189" s="468"/>
      <c r="AK189" s="468"/>
      <c r="AL189" s="468"/>
      <c r="AM189" s="468"/>
      <c r="AN189" s="468"/>
      <c r="AO189" s="468"/>
      <c r="AP189" s="468"/>
      <c r="AQ189" s="468"/>
      <c r="AR189" s="468"/>
      <c r="AS189" s="468"/>
    </row>
    <row r="190" spans="1:45" s="469" customFormat="1" ht="45">
      <c r="A190" s="456"/>
      <c r="B190" s="457" t="s">
        <v>384</v>
      </c>
      <c r="C190" s="458" t="s">
        <v>1309</v>
      </c>
      <c r="D190" s="446" t="s">
        <v>735</v>
      </c>
      <c r="E190" s="446">
        <v>1</v>
      </c>
      <c r="F190" s="460" t="s">
        <v>1310</v>
      </c>
      <c r="G190" s="461" t="s">
        <v>744</v>
      </c>
      <c r="H190" s="461" t="s">
        <v>1</v>
      </c>
      <c r="I190" s="462" t="s">
        <v>757</v>
      </c>
      <c r="J190" s="463" t="s">
        <v>1</v>
      </c>
      <c r="K190" s="464" t="s">
        <v>1311</v>
      </c>
      <c r="L190" s="464" t="s">
        <v>1312</v>
      </c>
      <c r="M190" s="465" t="s">
        <v>65</v>
      </c>
      <c r="N190" s="471" t="s">
        <v>1313</v>
      </c>
      <c r="O190" s="466" t="s">
        <v>1314</v>
      </c>
      <c r="P190" s="466"/>
      <c r="Q190" s="466"/>
      <c r="R190" s="466" t="s">
        <v>1</v>
      </c>
      <c r="S190" s="466"/>
      <c r="T190" s="446">
        <v>1</v>
      </c>
      <c r="U190" s="446">
        <v>7</v>
      </c>
      <c r="V190" s="446" t="s">
        <v>1097</v>
      </c>
      <c r="W190" s="446" t="s">
        <v>953</v>
      </c>
      <c r="X190" s="446" t="s">
        <v>1027</v>
      </c>
      <c r="Y190" s="446" t="s">
        <v>1018</v>
      </c>
      <c r="Z190" s="446" t="s">
        <v>1019</v>
      </c>
      <c r="AA190" s="446" t="s">
        <v>1</v>
      </c>
      <c r="AB190" s="446" t="s">
        <v>1</v>
      </c>
      <c r="AC190" s="446" t="s">
        <v>768</v>
      </c>
      <c r="AD190" s="446" t="s">
        <v>1</v>
      </c>
      <c r="AE190" s="467" t="s">
        <v>1</v>
      </c>
      <c r="AF190" s="468"/>
      <c r="AG190" s="468"/>
      <c r="AH190" s="468"/>
      <c r="AI190" s="468"/>
      <c r="AJ190" s="468"/>
      <c r="AK190" s="468"/>
      <c r="AL190" s="468"/>
      <c r="AM190" s="468"/>
      <c r="AN190" s="468"/>
      <c r="AO190" s="468"/>
      <c r="AP190" s="468"/>
      <c r="AQ190" s="468"/>
      <c r="AR190" s="468"/>
      <c r="AS190" s="468"/>
    </row>
    <row r="191" spans="1:45" s="469" customFormat="1" ht="210.75">
      <c r="A191" s="456"/>
      <c r="B191" s="457" t="s">
        <v>384</v>
      </c>
      <c r="C191" s="458" t="s">
        <v>1309</v>
      </c>
      <c r="D191" s="446" t="s">
        <v>735</v>
      </c>
      <c r="E191" s="446">
        <v>2</v>
      </c>
      <c r="F191" s="460" t="s">
        <v>1315</v>
      </c>
      <c r="G191" s="461" t="s">
        <v>828</v>
      </c>
      <c r="H191" s="461" t="s">
        <v>1</v>
      </c>
      <c r="I191" s="462" t="s">
        <v>757</v>
      </c>
      <c r="J191" s="463" t="s">
        <v>1</v>
      </c>
      <c r="K191" s="464" t="s">
        <v>1316</v>
      </c>
      <c r="L191" s="464" t="s">
        <v>1317</v>
      </c>
      <c r="M191" s="465" t="s">
        <v>65</v>
      </c>
      <c r="N191" s="466" t="s">
        <v>1318</v>
      </c>
      <c r="O191" s="466" t="s">
        <v>1319</v>
      </c>
      <c r="P191" s="466"/>
      <c r="Q191" s="466"/>
      <c r="R191" s="466" t="s">
        <v>1320</v>
      </c>
      <c r="S191" s="466" t="s">
        <v>1321</v>
      </c>
      <c r="T191" s="446">
        <v>1</v>
      </c>
      <c r="U191" s="446">
        <v>7</v>
      </c>
      <c r="V191" s="446" t="s">
        <v>1097</v>
      </c>
      <c r="W191" s="446" t="s">
        <v>953</v>
      </c>
      <c r="X191" s="446" t="s">
        <v>828</v>
      </c>
      <c r="Y191" s="446" t="s">
        <v>1018</v>
      </c>
      <c r="Z191" s="446" t="s">
        <v>1019</v>
      </c>
      <c r="AA191" s="446" t="s">
        <v>1</v>
      </c>
      <c r="AB191" s="446" t="s">
        <v>1</v>
      </c>
      <c r="AC191" s="446" t="s">
        <v>768</v>
      </c>
      <c r="AD191" s="446" t="s">
        <v>1</v>
      </c>
      <c r="AE191" s="467" t="s">
        <v>1</v>
      </c>
      <c r="AF191" s="468"/>
      <c r="AG191" s="468"/>
      <c r="AH191" s="468"/>
      <c r="AI191" s="468"/>
      <c r="AJ191" s="468"/>
      <c r="AK191" s="468"/>
      <c r="AL191" s="468"/>
      <c r="AM191" s="468"/>
      <c r="AN191" s="468"/>
      <c r="AO191" s="468"/>
      <c r="AP191" s="468"/>
      <c r="AQ191" s="468"/>
      <c r="AR191" s="468"/>
      <c r="AS191" s="468"/>
    </row>
    <row r="192" spans="1:45" ht="45">
      <c r="A192" s="214"/>
      <c r="B192" s="358" t="s">
        <v>384</v>
      </c>
      <c r="C192" s="370" t="s">
        <v>1309</v>
      </c>
      <c r="D192" s="380" t="s">
        <v>743</v>
      </c>
      <c r="E192" s="380">
        <v>1</v>
      </c>
      <c r="F192" s="299" t="s">
        <v>1322</v>
      </c>
      <c r="G192" s="384" t="s">
        <v>840</v>
      </c>
      <c r="H192" s="384" t="s">
        <v>1</v>
      </c>
      <c r="I192" s="395" t="s">
        <v>757</v>
      </c>
      <c r="J192" s="396" t="s">
        <v>1</v>
      </c>
      <c r="K192" s="385" t="s">
        <v>1323</v>
      </c>
      <c r="L192" s="385" t="s">
        <v>1324</v>
      </c>
      <c r="M192" s="386" t="s">
        <v>65</v>
      </c>
      <c r="N192" s="387" t="s">
        <v>1325</v>
      </c>
      <c r="O192" s="387" t="s">
        <v>1326</v>
      </c>
      <c r="P192" s="387"/>
      <c r="Q192" s="387"/>
      <c r="R192" s="387" t="s">
        <v>1</v>
      </c>
      <c r="S192" s="387"/>
      <c r="T192" s="380">
        <v>3</v>
      </c>
      <c r="U192" s="380">
        <v>15</v>
      </c>
      <c r="V192" s="380" t="s">
        <v>953</v>
      </c>
      <c r="W192" s="380" t="s">
        <v>953</v>
      </c>
      <c r="X192" s="380" t="s">
        <v>1027</v>
      </c>
      <c r="Y192" s="380" t="s">
        <v>1028</v>
      </c>
      <c r="Z192" s="380" t="s">
        <v>1019</v>
      </c>
      <c r="AA192" s="380" t="s">
        <v>1</v>
      </c>
      <c r="AB192" s="380" t="s">
        <v>1</v>
      </c>
      <c r="AC192" s="380" t="s">
        <v>768</v>
      </c>
      <c r="AD192" s="380" t="s">
        <v>1</v>
      </c>
      <c r="AE192" s="397" t="s">
        <v>1</v>
      </c>
      <c r="AF192" s="44"/>
      <c r="AG192" s="44"/>
      <c r="AH192" s="44"/>
      <c r="AI192" s="44"/>
      <c r="AJ192" s="44"/>
      <c r="AK192" s="44"/>
      <c r="AL192" s="44"/>
      <c r="AM192" s="44"/>
      <c r="AN192" s="44"/>
      <c r="AO192" s="44"/>
      <c r="AP192" s="44"/>
      <c r="AQ192" s="44"/>
      <c r="AR192" s="44"/>
      <c r="AS192" s="44"/>
    </row>
    <row r="193" spans="1:45" s="469" customFormat="1" ht="45">
      <c r="A193" s="456"/>
      <c r="B193" s="457" t="s">
        <v>384</v>
      </c>
      <c r="C193" s="458" t="s">
        <v>1309</v>
      </c>
      <c r="D193" s="446" t="s">
        <v>743</v>
      </c>
      <c r="E193" s="446">
        <v>2</v>
      </c>
      <c r="F193" s="460" t="s">
        <v>1327</v>
      </c>
      <c r="G193" s="461" t="s">
        <v>744</v>
      </c>
      <c r="H193" s="461" t="s">
        <v>1</v>
      </c>
      <c r="I193" s="462" t="s">
        <v>757</v>
      </c>
      <c r="J193" s="463" t="s">
        <v>1</v>
      </c>
      <c r="K193" s="464" t="s">
        <v>1328</v>
      </c>
      <c r="L193" s="464" t="s">
        <v>1329</v>
      </c>
      <c r="M193" s="465" t="s">
        <v>65</v>
      </c>
      <c r="N193" s="466" t="s">
        <v>1330</v>
      </c>
      <c r="O193" s="466" t="s">
        <v>1331</v>
      </c>
      <c r="P193" s="466"/>
      <c r="Q193" s="466"/>
      <c r="R193" s="466" t="s">
        <v>1</v>
      </c>
      <c r="S193" s="466"/>
      <c r="T193" s="446">
        <v>1</v>
      </c>
      <c r="U193" s="446">
        <v>7</v>
      </c>
      <c r="V193" s="446" t="s">
        <v>1097</v>
      </c>
      <c r="W193" s="446" t="s">
        <v>953</v>
      </c>
      <c r="X193" s="446" t="s">
        <v>1027</v>
      </c>
      <c r="Y193" s="446" t="s">
        <v>1018</v>
      </c>
      <c r="Z193" s="446" t="s">
        <v>1019</v>
      </c>
      <c r="AA193" s="446" t="s">
        <v>1</v>
      </c>
      <c r="AB193" s="446" t="s">
        <v>1</v>
      </c>
      <c r="AC193" s="446" t="s">
        <v>768</v>
      </c>
      <c r="AD193" s="446" t="s">
        <v>1</v>
      </c>
      <c r="AE193" s="467" t="s">
        <v>1</v>
      </c>
      <c r="AF193" s="468"/>
      <c r="AG193" s="468"/>
      <c r="AH193" s="468"/>
      <c r="AI193" s="468"/>
      <c r="AJ193" s="468"/>
      <c r="AK193" s="468"/>
      <c r="AL193" s="468"/>
      <c r="AM193" s="468"/>
      <c r="AN193" s="468"/>
      <c r="AO193" s="468"/>
      <c r="AP193" s="468"/>
      <c r="AQ193" s="468"/>
      <c r="AR193" s="468"/>
      <c r="AS193" s="468"/>
    </row>
    <row r="194" spans="1:45" s="469" customFormat="1" ht="31.5">
      <c r="A194" s="456"/>
      <c r="B194" s="457" t="s">
        <v>384</v>
      </c>
      <c r="C194" s="458" t="s">
        <v>1309</v>
      </c>
      <c r="D194" s="446" t="s">
        <v>750</v>
      </c>
      <c r="E194" s="446">
        <v>1</v>
      </c>
      <c r="F194" s="460" t="s">
        <v>1332</v>
      </c>
      <c r="G194" s="461" t="s">
        <v>840</v>
      </c>
      <c r="H194" s="461" t="s">
        <v>1</v>
      </c>
      <c r="I194" s="462" t="s">
        <v>757</v>
      </c>
      <c r="J194" s="463" t="s">
        <v>1</v>
      </c>
      <c r="K194" s="464" t="s">
        <v>1333</v>
      </c>
      <c r="L194" s="464" t="s">
        <v>1334</v>
      </c>
      <c r="M194" s="465" t="s">
        <v>65</v>
      </c>
      <c r="N194" s="466" t="s">
        <v>1335</v>
      </c>
      <c r="O194" s="466" t="s">
        <v>1336</v>
      </c>
      <c r="P194" s="466"/>
      <c r="Q194" s="466"/>
      <c r="R194" s="466" t="s">
        <v>1</v>
      </c>
      <c r="S194" s="466"/>
      <c r="T194" s="446">
        <v>3</v>
      </c>
      <c r="U194" s="446">
        <v>15</v>
      </c>
      <c r="V194" s="446" t="s">
        <v>953</v>
      </c>
      <c r="W194" s="446" t="s">
        <v>953</v>
      </c>
      <c r="X194" s="446" t="s">
        <v>1027</v>
      </c>
      <c r="Y194" s="446" t="s">
        <v>1028</v>
      </c>
      <c r="Z194" s="446" t="s">
        <v>1019</v>
      </c>
      <c r="AA194" s="446" t="s">
        <v>1</v>
      </c>
      <c r="AB194" s="446" t="s">
        <v>1</v>
      </c>
      <c r="AC194" s="446" t="s">
        <v>768</v>
      </c>
      <c r="AD194" s="446" t="s">
        <v>1</v>
      </c>
      <c r="AE194" s="467" t="s">
        <v>1</v>
      </c>
      <c r="AF194" s="468"/>
      <c r="AG194" s="468"/>
      <c r="AH194" s="468"/>
      <c r="AI194" s="468"/>
      <c r="AJ194" s="468"/>
      <c r="AK194" s="468"/>
      <c r="AL194" s="468"/>
      <c r="AM194" s="468"/>
      <c r="AN194" s="468"/>
      <c r="AO194" s="468"/>
      <c r="AP194" s="468"/>
      <c r="AQ194" s="468"/>
      <c r="AR194" s="468"/>
      <c r="AS194" s="468"/>
    </row>
    <row r="195" spans="1:45" ht="45">
      <c r="A195" s="214"/>
      <c r="B195" s="358" t="s">
        <v>384</v>
      </c>
      <c r="C195" s="370" t="s">
        <v>1309</v>
      </c>
      <c r="D195" s="381" t="s">
        <v>750</v>
      </c>
      <c r="E195" s="380">
        <v>2</v>
      </c>
      <c r="F195" s="299" t="s">
        <v>1337</v>
      </c>
      <c r="G195" s="384" t="s">
        <v>840</v>
      </c>
      <c r="H195" s="384" t="s">
        <v>1</v>
      </c>
      <c r="I195" s="395" t="s">
        <v>757</v>
      </c>
      <c r="J195" s="396" t="s">
        <v>1</v>
      </c>
      <c r="K195" s="385" t="s">
        <v>1338</v>
      </c>
      <c r="L195" s="385" t="s">
        <v>1339</v>
      </c>
      <c r="M195" s="386" t="s">
        <v>65</v>
      </c>
      <c r="N195" s="387" t="s">
        <v>1340</v>
      </c>
      <c r="O195" s="387" t="s">
        <v>1341</v>
      </c>
      <c r="P195" s="387"/>
      <c r="Q195" s="387"/>
      <c r="R195" s="387" t="s">
        <v>1</v>
      </c>
      <c r="S195" s="387"/>
      <c r="T195" s="380">
        <v>3</v>
      </c>
      <c r="U195" s="380">
        <v>15</v>
      </c>
      <c r="V195" s="380" t="s">
        <v>953</v>
      </c>
      <c r="W195" s="380" t="s">
        <v>953</v>
      </c>
      <c r="X195" s="380" t="s">
        <v>1027</v>
      </c>
      <c r="Y195" s="380" t="s">
        <v>1028</v>
      </c>
      <c r="Z195" s="380" t="s">
        <v>1019</v>
      </c>
      <c r="AA195" s="380" t="s">
        <v>1</v>
      </c>
      <c r="AB195" s="380" t="s">
        <v>1</v>
      </c>
      <c r="AC195" s="380" t="s">
        <v>768</v>
      </c>
      <c r="AD195" s="380" t="s">
        <v>1</v>
      </c>
      <c r="AE195" s="397" t="s">
        <v>1</v>
      </c>
      <c r="AF195" s="44"/>
      <c r="AG195" s="44"/>
      <c r="AH195" s="44"/>
      <c r="AI195" s="44"/>
      <c r="AJ195" s="44"/>
      <c r="AK195" s="44"/>
      <c r="AL195" s="44"/>
      <c r="AM195" s="44"/>
      <c r="AN195" s="44"/>
      <c r="AO195" s="44"/>
      <c r="AP195" s="44"/>
      <c r="AQ195" s="44"/>
      <c r="AR195" s="44"/>
      <c r="AS195" s="44"/>
    </row>
    <row r="196" spans="1:45" s="469" customFormat="1" ht="30.75">
      <c r="A196" s="456"/>
      <c r="B196" s="457" t="s">
        <v>384</v>
      </c>
      <c r="C196" s="458" t="s">
        <v>1309</v>
      </c>
      <c r="D196" s="459" t="s">
        <v>764</v>
      </c>
      <c r="E196" s="446">
        <v>1</v>
      </c>
      <c r="F196" s="460" t="s">
        <v>1342</v>
      </c>
      <c r="G196" s="461" t="s">
        <v>793</v>
      </c>
      <c r="H196" s="461" t="s">
        <v>1</v>
      </c>
      <c r="I196" s="462" t="s">
        <v>757</v>
      </c>
      <c r="J196" s="463" t="s">
        <v>1</v>
      </c>
      <c r="K196" s="464" t="s">
        <v>1343</v>
      </c>
      <c r="L196" s="464" t="s">
        <v>1344</v>
      </c>
      <c r="M196" s="465" t="s">
        <v>65</v>
      </c>
      <c r="N196" s="466" t="s">
        <v>1345</v>
      </c>
      <c r="O196" s="466" t="s">
        <v>1346</v>
      </c>
      <c r="P196" s="466"/>
      <c r="Q196" s="466"/>
      <c r="R196" s="466" t="s">
        <v>1</v>
      </c>
      <c r="S196" s="466"/>
      <c r="T196" s="446">
        <v>1</v>
      </c>
      <c r="U196" s="446">
        <v>7</v>
      </c>
      <c r="V196" s="446" t="s">
        <v>1097</v>
      </c>
      <c r="W196" s="446" t="s">
        <v>953</v>
      </c>
      <c r="X196" s="446" t="s">
        <v>1027</v>
      </c>
      <c r="Y196" s="446" t="s">
        <v>1018</v>
      </c>
      <c r="Z196" s="446" t="s">
        <v>1019</v>
      </c>
      <c r="AA196" s="446" t="s">
        <v>1</v>
      </c>
      <c r="AB196" s="446" t="s">
        <v>1</v>
      </c>
      <c r="AC196" s="446" t="s">
        <v>768</v>
      </c>
      <c r="AD196" s="446" t="s">
        <v>1</v>
      </c>
      <c r="AE196" s="467" t="s">
        <v>1</v>
      </c>
      <c r="AF196" s="468"/>
      <c r="AG196" s="468"/>
      <c r="AH196" s="468"/>
      <c r="AI196" s="468"/>
      <c r="AJ196" s="468"/>
      <c r="AK196" s="468"/>
      <c r="AL196" s="468"/>
      <c r="AM196" s="468"/>
      <c r="AN196" s="468"/>
      <c r="AO196" s="468"/>
      <c r="AP196" s="468"/>
      <c r="AQ196" s="468"/>
      <c r="AR196" s="468"/>
      <c r="AS196" s="468"/>
    </row>
    <row r="197" spans="1:45" ht="30.75">
      <c r="A197" s="214"/>
      <c r="B197" s="358" t="s">
        <v>384</v>
      </c>
      <c r="C197" s="370" t="s">
        <v>1309</v>
      </c>
      <c r="D197" s="382" t="s">
        <v>764</v>
      </c>
      <c r="E197" s="380">
        <v>2</v>
      </c>
      <c r="F197" s="299" t="s">
        <v>1347</v>
      </c>
      <c r="G197" s="384" t="s">
        <v>756</v>
      </c>
      <c r="H197" s="384" t="s">
        <v>1</v>
      </c>
      <c r="I197" s="395" t="s">
        <v>1045</v>
      </c>
      <c r="J197" s="396" t="s">
        <v>1</v>
      </c>
      <c r="K197" s="385" t="s">
        <v>1348</v>
      </c>
      <c r="L197" s="385" t="s">
        <v>1349</v>
      </c>
      <c r="M197" s="386" t="s">
        <v>65</v>
      </c>
      <c r="N197" s="387" t="s">
        <v>1350</v>
      </c>
      <c r="O197" s="387" t="s">
        <v>1351</v>
      </c>
      <c r="P197" s="387"/>
      <c r="Q197" s="387"/>
      <c r="R197" s="387" t="s">
        <v>1</v>
      </c>
      <c r="S197" s="387"/>
      <c r="T197" s="380">
        <v>3</v>
      </c>
      <c r="U197" s="380">
        <v>15</v>
      </c>
      <c r="V197" s="380" t="s">
        <v>1097</v>
      </c>
      <c r="W197" s="380" t="s">
        <v>953</v>
      </c>
      <c r="X197" s="380" t="s">
        <v>1027</v>
      </c>
      <c r="Y197" s="380" t="s">
        <v>1050</v>
      </c>
      <c r="Z197" s="380" t="s">
        <v>1051</v>
      </c>
      <c r="AA197" s="380" t="s">
        <v>1</v>
      </c>
      <c r="AB197" s="380" t="s">
        <v>1</v>
      </c>
      <c r="AC197" s="380" t="s">
        <v>768</v>
      </c>
      <c r="AD197" s="380" t="s">
        <v>1</v>
      </c>
      <c r="AE197" s="397" t="s">
        <v>1</v>
      </c>
      <c r="AF197" s="44"/>
      <c r="AG197" s="44"/>
      <c r="AH197" s="44"/>
      <c r="AI197" s="44"/>
      <c r="AJ197" s="44"/>
      <c r="AK197" s="44"/>
      <c r="AL197" s="44"/>
      <c r="AM197" s="44"/>
      <c r="AN197" s="44"/>
      <c r="AO197" s="44"/>
      <c r="AP197" s="44"/>
      <c r="AQ197" s="44"/>
      <c r="AR197" s="44"/>
      <c r="AS197" s="44"/>
    </row>
    <row r="198" spans="1:45" ht="226.5">
      <c r="A198" s="214"/>
      <c r="B198" s="358" t="s">
        <v>384</v>
      </c>
      <c r="C198" s="370" t="s">
        <v>1309</v>
      </c>
      <c r="D198" s="382" t="s">
        <v>764</v>
      </c>
      <c r="E198" s="380">
        <v>3</v>
      </c>
      <c r="F198" s="299" t="s">
        <v>1352</v>
      </c>
      <c r="G198" s="384" t="s">
        <v>828</v>
      </c>
      <c r="H198" s="384" t="s">
        <v>1</v>
      </c>
      <c r="I198" s="395" t="s">
        <v>757</v>
      </c>
      <c r="J198" s="396" t="s">
        <v>1</v>
      </c>
      <c r="K198" s="385" t="s">
        <v>1353</v>
      </c>
      <c r="L198" s="385" t="s">
        <v>1354</v>
      </c>
      <c r="M198" s="386" t="s">
        <v>65</v>
      </c>
      <c r="N198" s="387" t="s">
        <v>1355</v>
      </c>
      <c r="O198" s="387" t="s">
        <v>1356</v>
      </c>
      <c r="P198" s="387"/>
      <c r="Q198" s="387"/>
      <c r="R198" s="387" t="s">
        <v>1357</v>
      </c>
      <c r="S198" s="387" t="s">
        <v>1358</v>
      </c>
      <c r="T198" s="380">
        <v>1</v>
      </c>
      <c r="U198" s="380">
        <v>7</v>
      </c>
      <c r="V198" s="380" t="s">
        <v>1097</v>
      </c>
      <c r="W198" s="380" t="s">
        <v>953</v>
      </c>
      <c r="X198" s="380" t="s">
        <v>828</v>
      </c>
      <c r="Y198" s="380" t="s">
        <v>1018</v>
      </c>
      <c r="Z198" s="380" t="s">
        <v>1019</v>
      </c>
      <c r="AA198" s="380" t="s">
        <v>1</v>
      </c>
      <c r="AB198" s="380" t="s">
        <v>1</v>
      </c>
      <c r="AC198" s="380" t="s">
        <v>768</v>
      </c>
      <c r="AD198" s="380" t="s">
        <v>1</v>
      </c>
      <c r="AE198" s="397" t="s">
        <v>1</v>
      </c>
      <c r="AF198" s="44"/>
      <c r="AG198" s="44"/>
      <c r="AH198" s="44"/>
      <c r="AI198" s="44"/>
      <c r="AJ198" s="44"/>
      <c r="AK198" s="44"/>
      <c r="AL198" s="44"/>
      <c r="AM198" s="44"/>
      <c r="AN198" s="44"/>
      <c r="AO198" s="44"/>
      <c r="AP198" s="44"/>
      <c r="AQ198" s="44"/>
      <c r="AR198" s="44"/>
      <c r="AS198" s="44"/>
    </row>
    <row r="199" spans="1:45" s="469" customFormat="1" ht="30.75">
      <c r="A199" s="456"/>
      <c r="B199" s="457" t="s">
        <v>384</v>
      </c>
      <c r="C199" s="458" t="s">
        <v>1309</v>
      </c>
      <c r="D199" s="459" t="s">
        <v>764</v>
      </c>
      <c r="E199" s="446">
        <v>4</v>
      </c>
      <c r="F199" s="460" t="s">
        <v>1359</v>
      </c>
      <c r="G199" s="461" t="s">
        <v>840</v>
      </c>
      <c r="H199" s="461" t="s">
        <v>1</v>
      </c>
      <c r="I199" s="462" t="s">
        <v>757</v>
      </c>
      <c r="J199" s="463" t="s">
        <v>1</v>
      </c>
      <c r="K199" s="464" t="s">
        <v>1360</v>
      </c>
      <c r="L199" s="464" t="s">
        <v>1361</v>
      </c>
      <c r="M199" s="465" t="s">
        <v>65</v>
      </c>
      <c r="N199" s="466" t="s">
        <v>1362</v>
      </c>
      <c r="O199" s="466" t="s">
        <v>1363</v>
      </c>
      <c r="P199" s="466"/>
      <c r="Q199" s="466"/>
      <c r="R199" s="466" t="s">
        <v>1</v>
      </c>
      <c r="S199" s="466"/>
      <c r="T199" s="446">
        <v>3</v>
      </c>
      <c r="U199" s="446">
        <v>15</v>
      </c>
      <c r="V199" s="446" t="s">
        <v>953</v>
      </c>
      <c r="W199" s="446" t="s">
        <v>953</v>
      </c>
      <c r="X199" s="446" t="s">
        <v>1027</v>
      </c>
      <c r="Y199" s="446" t="s">
        <v>1028</v>
      </c>
      <c r="Z199" s="446" t="s">
        <v>1019</v>
      </c>
      <c r="AA199" s="446" t="s">
        <v>1</v>
      </c>
      <c r="AB199" s="446" t="s">
        <v>1</v>
      </c>
      <c r="AC199" s="446" t="s">
        <v>768</v>
      </c>
      <c r="AD199" s="446" t="s">
        <v>1</v>
      </c>
      <c r="AE199" s="467" t="s">
        <v>1</v>
      </c>
      <c r="AF199" s="468"/>
      <c r="AG199" s="468"/>
      <c r="AH199" s="468"/>
      <c r="AI199" s="468"/>
      <c r="AJ199" s="468"/>
      <c r="AK199" s="468"/>
      <c r="AL199" s="468"/>
      <c r="AM199" s="468"/>
      <c r="AN199" s="468"/>
      <c r="AO199" s="468"/>
      <c r="AP199" s="468"/>
      <c r="AQ199" s="468"/>
      <c r="AR199" s="468"/>
      <c r="AS199" s="468"/>
    </row>
    <row r="200" spans="1:45" s="469" customFormat="1" ht="45">
      <c r="A200" s="456"/>
      <c r="B200" s="457" t="s">
        <v>384</v>
      </c>
      <c r="C200" s="458" t="s">
        <v>1309</v>
      </c>
      <c r="D200" s="459" t="s">
        <v>778</v>
      </c>
      <c r="E200" s="446">
        <v>1</v>
      </c>
      <c r="F200" s="460" t="s">
        <v>1364</v>
      </c>
      <c r="G200" s="461" t="s">
        <v>744</v>
      </c>
      <c r="H200" s="461" t="s">
        <v>1</v>
      </c>
      <c r="I200" s="462" t="s">
        <v>757</v>
      </c>
      <c r="J200" s="463" t="s">
        <v>1</v>
      </c>
      <c r="K200" s="464" t="s">
        <v>1365</v>
      </c>
      <c r="L200" s="464" t="s">
        <v>1366</v>
      </c>
      <c r="M200" s="465" t="s">
        <v>65</v>
      </c>
      <c r="N200" s="466" t="s">
        <v>1367</v>
      </c>
      <c r="O200" s="466" t="s">
        <v>1368</v>
      </c>
      <c r="P200" s="466"/>
      <c r="Q200" s="466"/>
      <c r="R200" s="466" t="s">
        <v>1</v>
      </c>
      <c r="S200" s="466"/>
      <c r="T200" s="446">
        <v>1</v>
      </c>
      <c r="U200" s="446">
        <v>7</v>
      </c>
      <c r="V200" s="446" t="s">
        <v>1097</v>
      </c>
      <c r="W200" s="446" t="s">
        <v>953</v>
      </c>
      <c r="X200" s="446" t="s">
        <v>1027</v>
      </c>
      <c r="Y200" s="446" t="s">
        <v>1018</v>
      </c>
      <c r="Z200" s="446" t="s">
        <v>1019</v>
      </c>
      <c r="AA200" s="446" t="s">
        <v>1</v>
      </c>
      <c r="AB200" s="446" t="s">
        <v>1</v>
      </c>
      <c r="AC200" s="446" t="s">
        <v>768</v>
      </c>
      <c r="AD200" s="446" t="s">
        <v>1</v>
      </c>
      <c r="AE200" s="467" t="s">
        <v>1</v>
      </c>
      <c r="AF200" s="468"/>
      <c r="AG200" s="468"/>
      <c r="AH200" s="468"/>
      <c r="AI200" s="468"/>
      <c r="AJ200" s="468"/>
      <c r="AK200" s="468"/>
      <c r="AL200" s="468"/>
      <c r="AM200" s="468"/>
      <c r="AN200" s="468"/>
      <c r="AO200" s="468"/>
      <c r="AP200" s="468"/>
      <c r="AQ200" s="468"/>
      <c r="AR200" s="468"/>
      <c r="AS200" s="468"/>
    </row>
    <row r="201" spans="1:45" s="469" customFormat="1" ht="45">
      <c r="A201" s="456"/>
      <c r="B201" s="457" t="s">
        <v>384</v>
      </c>
      <c r="C201" s="458" t="s">
        <v>1309</v>
      </c>
      <c r="D201" s="459" t="s">
        <v>778</v>
      </c>
      <c r="E201" s="446">
        <v>2</v>
      </c>
      <c r="F201" s="460" t="s">
        <v>1369</v>
      </c>
      <c r="G201" s="461" t="s">
        <v>840</v>
      </c>
      <c r="H201" s="461" t="s">
        <v>1</v>
      </c>
      <c r="I201" s="462" t="s">
        <v>757</v>
      </c>
      <c r="J201" s="463" t="s">
        <v>1</v>
      </c>
      <c r="K201" s="464" t="s">
        <v>1370</v>
      </c>
      <c r="L201" s="464" t="s">
        <v>1371</v>
      </c>
      <c r="M201" s="465" t="s">
        <v>65</v>
      </c>
      <c r="N201" s="466" t="s">
        <v>1372</v>
      </c>
      <c r="O201" s="466" t="s">
        <v>1373</v>
      </c>
      <c r="P201" s="466"/>
      <c r="Q201" s="466"/>
      <c r="R201" s="466" t="s">
        <v>1</v>
      </c>
      <c r="S201" s="466"/>
      <c r="T201" s="446">
        <v>3</v>
      </c>
      <c r="U201" s="446">
        <v>15</v>
      </c>
      <c r="V201" s="446" t="s">
        <v>953</v>
      </c>
      <c r="W201" s="446" t="s">
        <v>953</v>
      </c>
      <c r="X201" s="446" t="s">
        <v>1027</v>
      </c>
      <c r="Y201" s="446" t="s">
        <v>1028</v>
      </c>
      <c r="Z201" s="446" t="s">
        <v>1019</v>
      </c>
      <c r="AA201" s="446" t="s">
        <v>1</v>
      </c>
      <c r="AB201" s="446" t="s">
        <v>1</v>
      </c>
      <c r="AC201" s="446" t="s">
        <v>768</v>
      </c>
      <c r="AD201" s="446" t="s">
        <v>1</v>
      </c>
      <c r="AE201" s="467" t="s">
        <v>1</v>
      </c>
      <c r="AF201" s="468"/>
      <c r="AG201" s="468"/>
      <c r="AH201" s="468"/>
      <c r="AI201" s="468"/>
      <c r="AJ201" s="468"/>
      <c r="AK201" s="468"/>
      <c r="AL201" s="468"/>
      <c r="AM201" s="468"/>
      <c r="AN201" s="468"/>
      <c r="AO201" s="468"/>
      <c r="AP201" s="468"/>
      <c r="AQ201" s="468"/>
      <c r="AR201" s="468"/>
      <c r="AS201" s="468"/>
    </row>
    <row r="202" spans="1:45" ht="45">
      <c r="A202" s="214"/>
      <c r="B202" s="358" t="s">
        <v>384</v>
      </c>
      <c r="C202" s="370" t="s">
        <v>1309</v>
      </c>
      <c r="D202" s="383" t="s">
        <v>778</v>
      </c>
      <c r="E202" s="380">
        <v>3</v>
      </c>
      <c r="F202" s="299" t="s">
        <v>1374</v>
      </c>
      <c r="G202" s="384" t="s">
        <v>887</v>
      </c>
      <c r="H202" s="384" t="s">
        <v>1</v>
      </c>
      <c r="I202" s="395" t="s">
        <v>757</v>
      </c>
      <c r="J202" s="396" t="s">
        <v>1</v>
      </c>
      <c r="K202" s="385" t="s">
        <v>1375</v>
      </c>
      <c r="L202" s="385" t="s">
        <v>1376</v>
      </c>
      <c r="M202" s="386" t="s">
        <v>65</v>
      </c>
      <c r="N202" s="387" t="s">
        <v>1377</v>
      </c>
      <c r="O202" s="387" t="s">
        <v>1378</v>
      </c>
      <c r="P202" s="387"/>
      <c r="Q202" s="387"/>
      <c r="R202" s="387" t="s">
        <v>1379</v>
      </c>
      <c r="S202" s="387" t="s">
        <v>1379</v>
      </c>
      <c r="T202" s="380">
        <v>1</v>
      </c>
      <c r="U202" s="380">
        <v>7</v>
      </c>
      <c r="V202" s="380" t="s">
        <v>1097</v>
      </c>
      <c r="W202" s="380" t="s">
        <v>953</v>
      </c>
      <c r="X202" s="380" t="s">
        <v>1027</v>
      </c>
      <c r="Y202" s="380" t="s">
        <v>1018</v>
      </c>
      <c r="Z202" s="380" t="s">
        <v>1019</v>
      </c>
      <c r="AA202" s="380" t="s">
        <v>1</v>
      </c>
      <c r="AB202" s="380" t="s">
        <v>1</v>
      </c>
      <c r="AC202" s="380" t="s">
        <v>768</v>
      </c>
      <c r="AD202" s="380" t="s">
        <v>1</v>
      </c>
      <c r="AE202" s="397" t="s">
        <v>1</v>
      </c>
      <c r="AF202" s="44"/>
      <c r="AG202" s="44"/>
      <c r="AH202" s="44"/>
      <c r="AI202" s="44"/>
      <c r="AJ202" s="44"/>
      <c r="AK202" s="44"/>
      <c r="AL202" s="44"/>
      <c r="AM202" s="44"/>
      <c r="AN202" s="44"/>
      <c r="AO202" s="44"/>
      <c r="AP202" s="44"/>
      <c r="AQ202" s="44"/>
      <c r="AR202" s="44"/>
      <c r="AS202" s="44"/>
    </row>
    <row r="203" spans="1:45" ht="45">
      <c r="A203" s="214"/>
      <c r="B203" s="358" t="s">
        <v>384</v>
      </c>
      <c r="C203" s="370" t="s">
        <v>1309</v>
      </c>
      <c r="D203" s="383" t="s">
        <v>778</v>
      </c>
      <c r="E203" s="380">
        <v>4</v>
      </c>
      <c r="F203" s="299" t="s">
        <v>1380</v>
      </c>
      <c r="G203" s="384" t="s">
        <v>793</v>
      </c>
      <c r="H203" s="384" t="s">
        <v>1</v>
      </c>
      <c r="I203" s="395" t="s">
        <v>757</v>
      </c>
      <c r="J203" s="396" t="s">
        <v>1</v>
      </c>
      <c r="K203" s="385" t="s">
        <v>1381</v>
      </c>
      <c r="L203" s="385" t="s">
        <v>1382</v>
      </c>
      <c r="M203" s="386" t="s">
        <v>65</v>
      </c>
      <c r="N203" s="387" t="s">
        <v>1383</v>
      </c>
      <c r="O203" s="387" t="s">
        <v>1384</v>
      </c>
      <c r="P203" s="387"/>
      <c r="Q203" s="387"/>
      <c r="R203" s="387" t="s">
        <v>1</v>
      </c>
      <c r="S203" s="387"/>
      <c r="T203" s="380">
        <v>1</v>
      </c>
      <c r="U203" s="380">
        <v>7</v>
      </c>
      <c r="V203" s="380" t="s">
        <v>1097</v>
      </c>
      <c r="W203" s="380" t="s">
        <v>953</v>
      </c>
      <c r="X203" s="380" t="s">
        <v>1027</v>
      </c>
      <c r="Y203" s="380" t="s">
        <v>1018</v>
      </c>
      <c r="Z203" s="380" t="s">
        <v>1019</v>
      </c>
      <c r="AA203" s="380" t="s">
        <v>1</v>
      </c>
      <c r="AB203" s="380" t="s">
        <v>1</v>
      </c>
      <c r="AC203" s="380" t="s">
        <v>768</v>
      </c>
      <c r="AD203" s="380" t="s">
        <v>1</v>
      </c>
      <c r="AE203" s="397" t="s">
        <v>1</v>
      </c>
      <c r="AF203" s="44"/>
      <c r="AG203" s="44"/>
      <c r="AH203" s="44"/>
      <c r="AI203" s="44"/>
      <c r="AJ203" s="44"/>
      <c r="AK203" s="44"/>
      <c r="AL203" s="44"/>
      <c r="AM203" s="44"/>
      <c r="AN203" s="44"/>
      <c r="AO203" s="44"/>
      <c r="AP203" s="44"/>
      <c r="AQ203" s="44"/>
      <c r="AR203" s="44"/>
      <c r="AS203" s="44"/>
    </row>
    <row r="204" spans="1:45" ht="59.25">
      <c r="A204" s="214"/>
      <c r="B204" s="359" t="s">
        <v>403</v>
      </c>
      <c r="C204" s="371" t="s">
        <v>1385</v>
      </c>
      <c r="D204" s="379" t="s">
        <v>735</v>
      </c>
      <c r="E204" s="380">
        <v>1</v>
      </c>
      <c r="F204" s="299" t="s">
        <v>1386</v>
      </c>
      <c r="G204" s="384" t="s">
        <v>744</v>
      </c>
      <c r="H204" s="384" t="s">
        <v>1</v>
      </c>
      <c r="I204" s="395" t="s">
        <v>757</v>
      </c>
      <c r="J204" s="396" t="s">
        <v>1</v>
      </c>
      <c r="K204" s="385" t="s">
        <v>1387</v>
      </c>
      <c r="L204" s="385" t="s">
        <v>1388</v>
      </c>
      <c r="M204" s="386" t="s">
        <v>65</v>
      </c>
      <c r="N204" s="387" t="s">
        <v>1389</v>
      </c>
      <c r="O204" s="387" t="s">
        <v>1390</v>
      </c>
      <c r="P204" s="469" t="s">
        <v>1391</v>
      </c>
      <c r="Q204" s="469" t="s">
        <v>1392</v>
      </c>
      <c r="R204" s="387" t="s">
        <v>1</v>
      </c>
      <c r="S204" s="387"/>
      <c r="T204" s="380">
        <v>1</v>
      </c>
      <c r="U204" s="380">
        <v>7</v>
      </c>
      <c r="V204" s="380" t="s">
        <v>1097</v>
      </c>
      <c r="W204" s="380" t="s">
        <v>953</v>
      </c>
      <c r="X204" s="380" t="s">
        <v>1027</v>
      </c>
      <c r="Y204" s="380" t="s">
        <v>1018</v>
      </c>
      <c r="Z204" s="380" t="s">
        <v>1019</v>
      </c>
      <c r="AA204" s="380" t="s">
        <v>1</v>
      </c>
      <c r="AB204" s="380" t="s">
        <v>1</v>
      </c>
      <c r="AC204" s="380" t="s">
        <v>768</v>
      </c>
      <c r="AD204" s="380" t="s">
        <v>1</v>
      </c>
      <c r="AE204" s="397" t="s">
        <v>1</v>
      </c>
      <c r="AF204" s="44"/>
      <c r="AG204" s="44"/>
      <c r="AH204" s="44"/>
      <c r="AI204" s="44"/>
      <c r="AJ204" s="44"/>
      <c r="AK204" s="44"/>
      <c r="AL204" s="44"/>
      <c r="AM204" s="44"/>
      <c r="AN204" s="44"/>
      <c r="AO204" s="44"/>
      <c r="AP204" s="44"/>
      <c r="AQ204" s="44"/>
      <c r="AR204" s="44"/>
      <c r="AS204" s="44"/>
    </row>
    <row r="205" spans="1:45" ht="59.25">
      <c r="A205" s="214"/>
      <c r="B205" s="359" t="s">
        <v>403</v>
      </c>
      <c r="C205" s="371" t="s">
        <v>1385</v>
      </c>
      <c r="D205" s="379" t="s">
        <v>735</v>
      </c>
      <c r="E205" s="380">
        <v>2</v>
      </c>
      <c r="F205" s="299" t="s">
        <v>1393</v>
      </c>
      <c r="G205" s="384" t="s">
        <v>744</v>
      </c>
      <c r="H205" s="384" t="s">
        <v>1</v>
      </c>
      <c r="I205" s="395" t="s">
        <v>757</v>
      </c>
      <c r="J205" s="396" t="s">
        <v>1</v>
      </c>
      <c r="K205" s="385" t="s">
        <v>1394</v>
      </c>
      <c r="L205" s="385" t="s">
        <v>1395</v>
      </c>
      <c r="M205" s="386" t="s">
        <v>65</v>
      </c>
      <c r="N205" s="387" t="s">
        <v>1396</v>
      </c>
      <c r="O205" s="387" t="s">
        <v>1397</v>
      </c>
      <c r="P205" s="469" t="s">
        <v>1398</v>
      </c>
      <c r="Q205" s="469" t="s">
        <v>1399</v>
      </c>
      <c r="R205" s="387" t="s">
        <v>1</v>
      </c>
      <c r="S205" s="387"/>
      <c r="T205" s="380">
        <v>1</v>
      </c>
      <c r="U205" s="380">
        <v>7</v>
      </c>
      <c r="V205" s="380" t="s">
        <v>1097</v>
      </c>
      <c r="W205" s="380" t="s">
        <v>953</v>
      </c>
      <c r="X205" s="380" t="s">
        <v>1027</v>
      </c>
      <c r="Y205" s="380" t="s">
        <v>1018</v>
      </c>
      <c r="Z205" s="380" t="s">
        <v>1019</v>
      </c>
      <c r="AA205" s="380" t="s">
        <v>1</v>
      </c>
      <c r="AB205" s="380" t="s">
        <v>1</v>
      </c>
      <c r="AC205" s="380" t="s">
        <v>768</v>
      </c>
      <c r="AD205" s="380" t="s">
        <v>1</v>
      </c>
      <c r="AE205" s="397" t="s">
        <v>1</v>
      </c>
      <c r="AF205" s="44"/>
      <c r="AG205" s="44"/>
      <c r="AH205" s="44"/>
      <c r="AI205" s="44"/>
      <c r="AJ205" s="44"/>
      <c r="AK205" s="44"/>
      <c r="AL205" s="44"/>
      <c r="AM205" s="44"/>
      <c r="AN205" s="44"/>
      <c r="AO205" s="44"/>
      <c r="AP205" s="44"/>
      <c r="AQ205" s="44"/>
      <c r="AR205" s="44"/>
      <c r="AS205" s="44"/>
    </row>
    <row r="206" spans="1:45" ht="30.75">
      <c r="A206" s="214"/>
      <c r="B206" s="359" t="s">
        <v>403</v>
      </c>
      <c r="C206" s="371" t="s">
        <v>1385</v>
      </c>
      <c r="D206" s="380" t="s">
        <v>743</v>
      </c>
      <c r="E206" s="380">
        <v>1</v>
      </c>
      <c r="F206" s="299" t="s">
        <v>1400</v>
      </c>
      <c r="G206" s="384" t="s">
        <v>840</v>
      </c>
      <c r="H206" s="384" t="s">
        <v>1</v>
      </c>
      <c r="I206" s="395" t="s">
        <v>757</v>
      </c>
      <c r="J206" s="396" t="s">
        <v>1</v>
      </c>
      <c r="K206" s="385" t="s">
        <v>1401</v>
      </c>
      <c r="L206" s="385" t="s">
        <v>1402</v>
      </c>
      <c r="M206" s="386" t="s">
        <v>65</v>
      </c>
      <c r="N206" s="387" t="s">
        <v>1403</v>
      </c>
      <c r="O206" s="387" t="s">
        <v>1404</v>
      </c>
      <c r="P206" t="s">
        <v>1405</v>
      </c>
      <c r="Q206" t="s">
        <v>1406</v>
      </c>
      <c r="R206" s="387" t="s">
        <v>1</v>
      </c>
      <c r="S206" s="387"/>
      <c r="T206" s="380">
        <v>3</v>
      </c>
      <c r="U206" s="380">
        <v>15</v>
      </c>
      <c r="V206" s="380" t="s">
        <v>953</v>
      </c>
      <c r="W206" s="380" t="s">
        <v>953</v>
      </c>
      <c r="X206" s="380" t="s">
        <v>1027</v>
      </c>
      <c r="Y206" s="380" t="s">
        <v>1028</v>
      </c>
      <c r="Z206" s="380" t="s">
        <v>1019</v>
      </c>
      <c r="AA206" s="380" t="s">
        <v>1</v>
      </c>
      <c r="AB206" s="380" t="s">
        <v>1</v>
      </c>
      <c r="AC206" s="380" t="s">
        <v>768</v>
      </c>
      <c r="AD206" s="380" t="s">
        <v>1</v>
      </c>
      <c r="AE206" s="397" t="s">
        <v>1</v>
      </c>
      <c r="AF206" s="44"/>
      <c r="AG206" s="44"/>
      <c r="AH206" s="44"/>
      <c r="AI206" s="44"/>
      <c r="AJ206" s="44"/>
      <c r="AK206" s="44"/>
      <c r="AL206" s="44"/>
      <c r="AM206" s="44"/>
      <c r="AN206" s="44"/>
      <c r="AO206" s="44"/>
      <c r="AP206" s="44"/>
      <c r="AQ206" s="44"/>
      <c r="AR206" s="44"/>
      <c r="AS206" s="44"/>
    </row>
    <row r="207" spans="1:45" ht="45">
      <c r="A207" s="214"/>
      <c r="B207" s="359" t="s">
        <v>403</v>
      </c>
      <c r="C207" s="371" t="s">
        <v>1385</v>
      </c>
      <c r="D207" s="380" t="s">
        <v>743</v>
      </c>
      <c r="E207" s="380">
        <v>2</v>
      </c>
      <c r="F207" s="299" t="s">
        <v>1407</v>
      </c>
      <c r="G207" s="384" t="s">
        <v>793</v>
      </c>
      <c r="H207" s="384" t="s">
        <v>1</v>
      </c>
      <c r="I207" s="395" t="s">
        <v>757</v>
      </c>
      <c r="J207" s="396" t="s">
        <v>1</v>
      </c>
      <c r="K207" s="385" t="s">
        <v>1408</v>
      </c>
      <c r="L207" s="385" t="s">
        <v>1409</v>
      </c>
      <c r="M207" s="386" t="s">
        <v>65</v>
      </c>
      <c r="N207" s="387" t="s">
        <v>1410</v>
      </c>
      <c r="O207" s="387" t="s">
        <v>1411</v>
      </c>
      <c r="P207" t="s">
        <v>1412</v>
      </c>
      <c r="Q207" t="s">
        <v>1413</v>
      </c>
      <c r="R207" s="387" t="s">
        <v>1</v>
      </c>
      <c r="S207" s="387"/>
      <c r="T207" s="380">
        <v>1</v>
      </c>
      <c r="U207" s="380">
        <v>7</v>
      </c>
      <c r="V207" s="380" t="s">
        <v>1097</v>
      </c>
      <c r="W207" s="380" t="s">
        <v>953</v>
      </c>
      <c r="X207" s="380" t="s">
        <v>1027</v>
      </c>
      <c r="Y207" s="380" t="s">
        <v>1018</v>
      </c>
      <c r="Z207" s="380" t="s">
        <v>1019</v>
      </c>
      <c r="AA207" s="380" t="s">
        <v>1</v>
      </c>
      <c r="AB207" s="380" t="s">
        <v>1</v>
      </c>
      <c r="AC207" s="380" t="s">
        <v>768</v>
      </c>
      <c r="AD207" s="380" t="s">
        <v>1</v>
      </c>
      <c r="AE207" s="397" t="s">
        <v>1</v>
      </c>
      <c r="AF207" s="44"/>
      <c r="AG207" s="44"/>
      <c r="AH207" s="44"/>
      <c r="AI207" s="44"/>
      <c r="AJ207" s="44"/>
      <c r="AK207" s="44"/>
      <c r="AL207" s="44"/>
      <c r="AM207" s="44"/>
      <c r="AN207" s="44"/>
      <c r="AO207" s="44"/>
      <c r="AP207" s="44"/>
      <c r="AQ207" s="44"/>
      <c r="AR207" s="44"/>
      <c r="AS207" s="44"/>
    </row>
    <row r="208" spans="1:45" ht="45">
      <c r="A208" s="214"/>
      <c r="B208" s="359" t="s">
        <v>403</v>
      </c>
      <c r="C208" s="371" t="s">
        <v>1385</v>
      </c>
      <c r="D208" s="381" t="s">
        <v>750</v>
      </c>
      <c r="E208" s="380">
        <v>1</v>
      </c>
      <c r="F208" s="299" t="s">
        <v>1414</v>
      </c>
      <c r="G208" s="384" t="s">
        <v>744</v>
      </c>
      <c r="H208" s="384" t="s">
        <v>1</v>
      </c>
      <c r="I208" s="395" t="s">
        <v>757</v>
      </c>
      <c r="J208" s="396" t="s">
        <v>1</v>
      </c>
      <c r="K208" s="385" t="s">
        <v>1415</v>
      </c>
      <c r="L208" s="385" t="s">
        <v>1416</v>
      </c>
      <c r="M208" s="386" t="s">
        <v>65</v>
      </c>
      <c r="N208" s="387" t="s">
        <v>1417</v>
      </c>
      <c r="O208" s="387" t="s">
        <v>1418</v>
      </c>
      <c r="P208" t="s">
        <v>1419</v>
      </c>
      <c r="Q208" t="s">
        <v>1420</v>
      </c>
      <c r="R208" s="387" t="s">
        <v>1</v>
      </c>
      <c r="S208" s="387"/>
      <c r="T208" s="380">
        <v>1</v>
      </c>
      <c r="U208" s="380">
        <v>7</v>
      </c>
      <c r="V208" s="380" t="s">
        <v>1097</v>
      </c>
      <c r="W208" s="380" t="s">
        <v>953</v>
      </c>
      <c r="X208" s="380" t="s">
        <v>1027</v>
      </c>
      <c r="Y208" s="380" t="s">
        <v>1018</v>
      </c>
      <c r="Z208" s="380" t="s">
        <v>1019</v>
      </c>
      <c r="AA208" s="380" t="s">
        <v>1</v>
      </c>
      <c r="AB208" s="380" t="s">
        <v>1</v>
      </c>
      <c r="AC208" s="380" t="s">
        <v>768</v>
      </c>
      <c r="AD208" s="380" t="s">
        <v>1</v>
      </c>
      <c r="AE208" s="397" t="s">
        <v>1</v>
      </c>
      <c r="AF208" s="44"/>
      <c r="AG208" s="44"/>
      <c r="AH208" s="44"/>
      <c r="AI208" s="44"/>
      <c r="AJ208" s="44"/>
      <c r="AK208" s="44"/>
      <c r="AL208" s="44"/>
      <c r="AM208" s="44"/>
      <c r="AN208" s="44"/>
      <c r="AO208" s="44"/>
      <c r="AP208" s="44"/>
      <c r="AQ208" s="44"/>
      <c r="AR208" s="44"/>
      <c r="AS208" s="44"/>
    </row>
    <row r="209" spans="1:45" ht="45">
      <c r="A209" s="214"/>
      <c r="B209" s="359" t="s">
        <v>403</v>
      </c>
      <c r="C209" s="371" t="s">
        <v>1385</v>
      </c>
      <c r="D209" s="381" t="s">
        <v>750</v>
      </c>
      <c r="E209" s="380">
        <v>2</v>
      </c>
      <c r="F209" s="299" t="s">
        <v>1421</v>
      </c>
      <c r="G209" s="384" t="s">
        <v>840</v>
      </c>
      <c r="H209" s="384" t="s">
        <v>1</v>
      </c>
      <c r="I209" s="395" t="s">
        <v>757</v>
      </c>
      <c r="J209" s="396" t="s">
        <v>1</v>
      </c>
      <c r="K209" s="385" t="s">
        <v>1422</v>
      </c>
      <c r="L209" s="385" t="s">
        <v>1423</v>
      </c>
      <c r="M209" s="386" t="s">
        <v>65</v>
      </c>
      <c r="N209" s="387" t="s">
        <v>1424</v>
      </c>
      <c r="O209" s="387" t="s">
        <v>1425</v>
      </c>
      <c r="P209" t="s">
        <v>1426</v>
      </c>
      <c r="Q209" t="s">
        <v>1427</v>
      </c>
      <c r="R209" s="387" t="s">
        <v>1</v>
      </c>
      <c r="S209" s="387"/>
      <c r="T209" s="380">
        <v>3</v>
      </c>
      <c r="U209" s="380">
        <v>15</v>
      </c>
      <c r="V209" s="380" t="s">
        <v>953</v>
      </c>
      <c r="W209" s="380" t="s">
        <v>953</v>
      </c>
      <c r="X209" s="380" t="s">
        <v>1027</v>
      </c>
      <c r="Y209" s="380" t="s">
        <v>1028</v>
      </c>
      <c r="Z209" s="380" t="s">
        <v>1019</v>
      </c>
      <c r="AA209" s="380" t="s">
        <v>1</v>
      </c>
      <c r="AB209" s="380" t="s">
        <v>1</v>
      </c>
      <c r="AC209" s="380" t="s">
        <v>768</v>
      </c>
      <c r="AD209" s="380" t="s">
        <v>1</v>
      </c>
      <c r="AE209" s="397" t="s">
        <v>1</v>
      </c>
      <c r="AF209" s="44"/>
      <c r="AG209" s="44"/>
      <c r="AH209" s="44"/>
      <c r="AI209" s="44"/>
      <c r="AJ209" s="44"/>
      <c r="AK209" s="44"/>
      <c r="AL209" s="44"/>
      <c r="AM209" s="44"/>
      <c r="AN209" s="44"/>
      <c r="AO209" s="44"/>
      <c r="AP209" s="44"/>
      <c r="AQ209" s="44"/>
      <c r="AR209" s="44"/>
      <c r="AS209" s="44"/>
    </row>
    <row r="210" spans="1:45" ht="30.75">
      <c r="A210" s="214"/>
      <c r="B210" s="359" t="s">
        <v>403</v>
      </c>
      <c r="C210" s="371" t="s">
        <v>1385</v>
      </c>
      <c r="D210" s="382" t="s">
        <v>764</v>
      </c>
      <c r="E210" s="380">
        <v>1</v>
      </c>
      <c r="F210" s="299" t="s">
        <v>1428</v>
      </c>
      <c r="G210" s="384" t="s">
        <v>756</v>
      </c>
      <c r="H210" s="384" t="s">
        <v>1</v>
      </c>
      <c r="I210" s="395" t="s">
        <v>1045</v>
      </c>
      <c r="J210" s="396" t="s">
        <v>1</v>
      </c>
      <c r="K210" s="385" t="s">
        <v>1429</v>
      </c>
      <c r="L210" s="385" t="s">
        <v>1430</v>
      </c>
      <c r="M210" s="386" t="s">
        <v>65</v>
      </c>
      <c r="N210" s="387" t="s">
        <v>1431</v>
      </c>
      <c r="O210" s="387" t="s">
        <v>1432</v>
      </c>
      <c r="P210" t="s">
        <v>1433</v>
      </c>
      <c r="Q210" t="s">
        <v>1434</v>
      </c>
      <c r="R210" s="387" t="s">
        <v>1</v>
      </c>
      <c r="S210" s="387"/>
      <c r="T210" s="380">
        <v>3</v>
      </c>
      <c r="U210" s="380">
        <v>15</v>
      </c>
      <c r="V210" s="380" t="s">
        <v>1097</v>
      </c>
      <c r="W210" s="380" t="s">
        <v>953</v>
      </c>
      <c r="X210" s="380" t="s">
        <v>1027</v>
      </c>
      <c r="Y210" s="380" t="s">
        <v>1050</v>
      </c>
      <c r="Z210" s="380" t="s">
        <v>1051</v>
      </c>
      <c r="AA210" s="380" t="s">
        <v>1</v>
      </c>
      <c r="AB210" s="380" t="s">
        <v>1</v>
      </c>
      <c r="AC210" s="380" t="s">
        <v>768</v>
      </c>
      <c r="AD210" s="380" t="s">
        <v>1</v>
      </c>
      <c r="AE210" s="397" t="s">
        <v>1</v>
      </c>
      <c r="AF210" s="44"/>
      <c r="AG210" s="44"/>
      <c r="AH210" s="44"/>
      <c r="AI210" s="44"/>
      <c r="AJ210" s="44"/>
      <c r="AK210" s="44"/>
      <c r="AL210" s="44"/>
      <c r="AM210" s="44"/>
      <c r="AN210" s="44"/>
      <c r="AO210" s="44"/>
      <c r="AP210" s="44"/>
      <c r="AQ210" s="44"/>
      <c r="AR210" s="44"/>
      <c r="AS210" s="44"/>
    </row>
    <row r="211" spans="1:45" ht="288.75">
      <c r="A211" s="214"/>
      <c r="B211" s="359" t="s">
        <v>403</v>
      </c>
      <c r="C211" s="371" t="s">
        <v>1385</v>
      </c>
      <c r="D211" s="382" t="s">
        <v>764</v>
      </c>
      <c r="E211" s="380">
        <v>2</v>
      </c>
      <c r="F211" s="299" t="s">
        <v>1435</v>
      </c>
      <c r="G211" s="384" t="s">
        <v>828</v>
      </c>
      <c r="H211" s="384" t="s">
        <v>1</v>
      </c>
      <c r="I211" s="395" t="s">
        <v>757</v>
      </c>
      <c r="J211" s="396" t="s">
        <v>1</v>
      </c>
      <c r="K211" s="385" t="s">
        <v>1436</v>
      </c>
      <c r="L211" s="385" t="s">
        <v>1437</v>
      </c>
      <c r="M211" s="386" t="s">
        <v>65</v>
      </c>
      <c r="N211" s="387" t="s">
        <v>1438</v>
      </c>
      <c r="O211" s="387" t="s">
        <v>1439</v>
      </c>
      <c r="P211" t="s">
        <v>1440</v>
      </c>
      <c r="Q211" t="s">
        <v>1441</v>
      </c>
      <c r="R211" s="387" t="s">
        <v>1442</v>
      </c>
      <c r="S211" s="387" t="s">
        <v>1443</v>
      </c>
      <c r="T211" s="380">
        <v>1</v>
      </c>
      <c r="U211" s="380">
        <v>7</v>
      </c>
      <c r="V211" s="380" t="s">
        <v>1097</v>
      </c>
      <c r="W211" s="380" t="s">
        <v>953</v>
      </c>
      <c r="X211" s="380" t="s">
        <v>828</v>
      </c>
      <c r="Y211" s="380" t="s">
        <v>1018</v>
      </c>
      <c r="Z211" s="380" t="s">
        <v>1019</v>
      </c>
      <c r="AA211" s="380" t="s">
        <v>1</v>
      </c>
      <c r="AB211" s="380" t="s">
        <v>1</v>
      </c>
      <c r="AC211" s="380" t="s">
        <v>768</v>
      </c>
      <c r="AD211" s="380" t="s">
        <v>1</v>
      </c>
      <c r="AE211" s="397" t="s">
        <v>1</v>
      </c>
      <c r="AF211" s="44"/>
      <c r="AG211" s="44"/>
      <c r="AH211" s="44"/>
      <c r="AI211" s="44"/>
      <c r="AJ211" s="44"/>
      <c r="AK211" s="44"/>
      <c r="AL211" s="44"/>
      <c r="AM211" s="44"/>
      <c r="AN211" s="44"/>
      <c r="AO211" s="44"/>
      <c r="AP211" s="44"/>
      <c r="AQ211" s="44"/>
      <c r="AR211" s="44"/>
      <c r="AS211" s="44"/>
    </row>
    <row r="212" spans="1:45" ht="45">
      <c r="A212" s="214"/>
      <c r="B212" s="359" t="s">
        <v>403</v>
      </c>
      <c r="C212" s="371" t="s">
        <v>1385</v>
      </c>
      <c r="D212" s="382" t="s">
        <v>764</v>
      </c>
      <c r="E212" s="380">
        <v>3</v>
      </c>
      <c r="F212" s="299" t="s">
        <v>1444</v>
      </c>
      <c r="G212" s="384" t="s">
        <v>744</v>
      </c>
      <c r="H212" s="384" t="s">
        <v>1</v>
      </c>
      <c r="I212" s="395" t="s">
        <v>757</v>
      </c>
      <c r="J212" s="396" t="s">
        <v>1</v>
      </c>
      <c r="K212" s="385" t="s">
        <v>1445</v>
      </c>
      <c r="L212" s="385" t="s">
        <v>1446</v>
      </c>
      <c r="M212" s="386" t="s">
        <v>65</v>
      </c>
      <c r="N212" s="387" t="s">
        <v>1447</v>
      </c>
      <c r="O212" s="387" t="s">
        <v>1448</v>
      </c>
      <c r="P212" t="s">
        <v>1449</v>
      </c>
      <c r="Q212" t="s">
        <v>1450</v>
      </c>
      <c r="R212" s="387" t="s">
        <v>1</v>
      </c>
      <c r="S212" s="387"/>
      <c r="T212" s="380">
        <v>1</v>
      </c>
      <c r="U212" s="380">
        <v>7</v>
      </c>
      <c r="V212" s="380" t="s">
        <v>1097</v>
      </c>
      <c r="W212" s="380" t="s">
        <v>953</v>
      </c>
      <c r="X212" s="380" t="s">
        <v>1027</v>
      </c>
      <c r="Y212" s="380" t="s">
        <v>1018</v>
      </c>
      <c r="Z212" s="380" t="s">
        <v>1019</v>
      </c>
      <c r="AA212" s="380" t="s">
        <v>1</v>
      </c>
      <c r="AB212" s="380" t="s">
        <v>1</v>
      </c>
      <c r="AC212" s="380" t="s">
        <v>768</v>
      </c>
      <c r="AD212" s="380" t="s">
        <v>1</v>
      </c>
      <c r="AE212" s="397" t="s">
        <v>1</v>
      </c>
      <c r="AF212" s="44"/>
      <c r="AG212" s="44"/>
      <c r="AH212" s="44"/>
      <c r="AI212" s="44"/>
      <c r="AJ212" s="44"/>
      <c r="AK212" s="44"/>
      <c r="AL212" s="44"/>
      <c r="AM212" s="44"/>
      <c r="AN212" s="44"/>
      <c r="AO212" s="44"/>
      <c r="AP212" s="44"/>
      <c r="AQ212" s="44"/>
      <c r="AR212" s="44"/>
      <c r="AS212" s="44"/>
    </row>
    <row r="213" spans="1:45" ht="46.5">
      <c r="A213" s="214"/>
      <c r="B213" s="359" t="s">
        <v>403</v>
      </c>
      <c r="C213" s="371" t="s">
        <v>1385</v>
      </c>
      <c r="D213" s="382" t="s">
        <v>764</v>
      </c>
      <c r="E213" s="380">
        <v>4</v>
      </c>
      <c r="F213" s="299" t="s">
        <v>1451</v>
      </c>
      <c r="G213" s="384" t="s">
        <v>840</v>
      </c>
      <c r="H213" s="384" t="s">
        <v>1</v>
      </c>
      <c r="I213" s="395" t="s">
        <v>757</v>
      </c>
      <c r="J213" s="396" t="s">
        <v>1</v>
      </c>
      <c r="K213" s="385" t="s">
        <v>1452</v>
      </c>
      <c r="L213" s="385" t="s">
        <v>1453</v>
      </c>
      <c r="M213" s="386" t="s">
        <v>65</v>
      </c>
      <c r="N213" s="387" t="s">
        <v>1454</v>
      </c>
      <c r="O213" s="387" t="s">
        <v>1455</v>
      </c>
      <c r="P213" t="s">
        <v>1456</v>
      </c>
      <c r="Q213" t="s">
        <v>1457</v>
      </c>
      <c r="R213" s="387" t="s">
        <v>1</v>
      </c>
      <c r="S213" s="387"/>
      <c r="T213" s="380">
        <v>3</v>
      </c>
      <c r="U213" s="380">
        <v>15</v>
      </c>
      <c r="V213" s="380" t="s">
        <v>953</v>
      </c>
      <c r="W213" s="380" t="s">
        <v>953</v>
      </c>
      <c r="X213" s="380" t="s">
        <v>1027</v>
      </c>
      <c r="Y213" s="380" t="s">
        <v>1028</v>
      </c>
      <c r="Z213" s="380" t="s">
        <v>1019</v>
      </c>
      <c r="AA213" s="380" t="s">
        <v>1</v>
      </c>
      <c r="AB213" s="380" t="s">
        <v>1</v>
      </c>
      <c r="AC213" s="380" t="s">
        <v>768</v>
      </c>
      <c r="AD213" s="380" t="s">
        <v>1</v>
      </c>
      <c r="AE213" s="397" t="s">
        <v>1</v>
      </c>
      <c r="AF213" s="44"/>
      <c r="AG213" s="44"/>
      <c r="AH213" s="44"/>
      <c r="AI213" s="44"/>
      <c r="AJ213" s="44"/>
      <c r="AK213" s="44"/>
      <c r="AL213" s="44"/>
      <c r="AM213" s="44"/>
      <c r="AN213" s="44"/>
      <c r="AO213" s="44"/>
      <c r="AP213" s="44"/>
      <c r="AQ213" s="44"/>
      <c r="AR213" s="44"/>
      <c r="AS213" s="44"/>
    </row>
    <row r="214" spans="1:45" ht="45">
      <c r="A214" s="214"/>
      <c r="B214" s="359" t="s">
        <v>403</v>
      </c>
      <c r="C214" s="371" t="s">
        <v>1385</v>
      </c>
      <c r="D214" s="383" t="s">
        <v>778</v>
      </c>
      <c r="E214" s="380">
        <v>1</v>
      </c>
      <c r="F214" s="299" t="s">
        <v>1458</v>
      </c>
      <c r="G214" s="384" t="s">
        <v>793</v>
      </c>
      <c r="H214" s="384" t="s">
        <v>1</v>
      </c>
      <c r="I214" s="395" t="s">
        <v>757</v>
      </c>
      <c r="J214" s="396" t="s">
        <v>1</v>
      </c>
      <c r="K214" s="385" t="s">
        <v>1459</v>
      </c>
      <c r="L214" s="385" t="s">
        <v>1460</v>
      </c>
      <c r="M214" s="386" t="s">
        <v>65</v>
      </c>
      <c r="N214" s="387" t="s">
        <v>1461</v>
      </c>
      <c r="O214" s="387" t="s">
        <v>1462</v>
      </c>
      <c r="P214" t="s">
        <v>1463</v>
      </c>
      <c r="Q214" t="s">
        <v>1464</v>
      </c>
      <c r="R214" s="387" t="s">
        <v>1</v>
      </c>
      <c r="S214" s="387"/>
      <c r="T214" s="380">
        <v>1</v>
      </c>
      <c r="U214" s="380">
        <v>7</v>
      </c>
      <c r="V214" s="380" t="s">
        <v>1097</v>
      </c>
      <c r="W214" s="380" t="s">
        <v>953</v>
      </c>
      <c r="X214" s="380" t="s">
        <v>1027</v>
      </c>
      <c r="Y214" s="380" t="s">
        <v>1018</v>
      </c>
      <c r="Z214" s="380" t="s">
        <v>1019</v>
      </c>
      <c r="AA214" s="380" t="s">
        <v>1</v>
      </c>
      <c r="AB214" s="380" t="s">
        <v>1</v>
      </c>
      <c r="AC214" s="380" t="s">
        <v>768</v>
      </c>
      <c r="AD214" s="380" t="s">
        <v>1</v>
      </c>
      <c r="AE214" s="397" t="s">
        <v>1</v>
      </c>
      <c r="AF214" s="44"/>
      <c r="AG214" s="44"/>
      <c r="AH214" s="44"/>
      <c r="AI214" s="44"/>
      <c r="AJ214" s="44"/>
      <c r="AK214" s="44"/>
      <c r="AL214" s="44"/>
      <c r="AM214" s="44"/>
      <c r="AN214" s="44"/>
      <c r="AO214" s="44"/>
      <c r="AP214" s="44"/>
      <c r="AQ214" s="44"/>
      <c r="AR214" s="44"/>
      <c r="AS214" s="44"/>
    </row>
    <row r="215" spans="1:45" ht="45">
      <c r="A215" s="214"/>
      <c r="B215" s="359" t="s">
        <v>403</v>
      </c>
      <c r="C215" s="371" t="s">
        <v>1385</v>
      </c>
      <c r="D215" s="383" t="s">
        <v>778</v>
      </c>
      <c r="E215" s="380">
        <v>2</v>
      </c>
      <c r="F215" s="299" t="s">
        <v>1465</v>
      </c>
      <c r="G215" s="384" t="s">
        <v>793</v>
      </c>
      <c r="H215" s="384" t="s">
        <v>1</v>
      </c>
      <c r="I215" s="395" t="s">
        <v>757</v>
      </c>
      <c r="J215" s="396" t="s">
        <v>1</v>
      </c>
      <c r="K215" s="385" t="s">
        <v>1466</v>
      </c>
      <c r="L215" s="385" t="s">
        <v>1467</v>
      </c>
      <c r="M215" s="386" t="s">
        <v>65</v>
      </c>
      <c r="N215" s="387" t="s">
        <v>1468</v>
      </c>
      <c r="O215" s="387" t="s">
        <v>1469</v>
      </c>
      <c r="P215" t="s">
        <v>1470</v>
      </c>
      <c r="Q215" t="s">
        <v>1471</v>
      </c>
      <c r="R215" s="387" t="s">
        <v>1</v>
      </c>
      <c r="S215" s="387"/>
      <c r="T215" s="380">
        <v>1</v>
      </c>
      <c r="U215" s="380">
        <v>7</v>
      </c>
      <c r="V215" s="380" t="s">
        <v>1097</v>
      </c>
      <c r="W215" s="380" t="s">
        <v>953</v>
      </c>
      <c r="X215" s="380" t="s">
        <v>1027</v>
      </c>
      <c r="Y215" s="380" t="s">
        <v>1018</v>
      </c>
      <c r="Z215" s="380" t="s">
        <v>1019</v>
      </c>
      <c r="AA215" s="380" t="s">
        <v>1</v>
      </c>
      <c r="AB215" s="380" t="s">
        <v>1</v>
      </c>
      <c r="AC215" s="380" t="s">
        <v>768</v>
      </c>
      <c r="AD215" s="380" t="s">
        <v>1</v>
      </c>
      <c r="AE215" s="397" t="s">
        <v>1</v>
      </c>
      <c r="AF215" s="44"/>
      <c r="AG215" s="44"/>
      <c r="AH215" s="44"/>
      <c r="AI215" s="44"/>
      <c r="AJ215" s="44"/>
      <c r="AK215" s="44"/>
      <c r="AL215" s="44"/>
      <c r="AM215" s="44"/>
      <c r="AN215" s="44"/>
      <c r="AO215" s="44"/>
      <c r="AP215" s="44"/>
      <c r="AQ215" s="44"/>
      <c r="AR215" s="44"/>
      <c r="AS215" s="44"/>
    </row>
    <row r="216" spans="1:45" ht="30.75">
      <c r="A216" s="214"/>
      <c r="B216" s="359" t="s">
        <v>403</v>
      </c>
      <c r="C216" s="371" t="s">
        <v>1385</v>
      </c>
      <c r="D216" s="383" t="s">
        <v>778</v>
      </c>
      <c r="E216" s="380">
        <v>3</v>
      </c>
      <c r="F216" s="299" t="s">
        <v>1472</v>
      </c>
      <c r="G216" s="384" t="s">
        <v>840</v>
      </c>
      <c r="H216" s="384" t="s">
        <v>1</v>
      </c>
      <c r="I216" s="395" t="s">
        <v>757</v>
      </c>
      <c r="J216" s="396" t="s">
        <v>1</v>
      </c>
      <c r="K216" s="385" t="s">
        <v>1473</v>
      </c>
      <c r="L216" s="385" t="s">
        <v>1474</v>
      </c>
      <c r="M216" s="386" t="s">
        <v>65</v>
      </c>
      <c r="N216" s="387" t="s">
        <v>1475</v>
      </c>
      <c r="O216" s="387" t="s">
        <v>1476</v>
      </c>
      <c r="P216" t="s">
        <v>1477</v>
      </c>
      <c r="Q216" t="s">
        <v>1478</v>
      </c>
      <c r="R216" s="387" t="s">
        <v>1</v>
      </c>
      <c r="S216" s="387"/>
      <c r="T216" s="380">
        <v>3</v>
      </c>
      <c r="U216" s="380">
        <v>15</v>
      </c>
      <c r="V216" s="380" t="s">
        <v>953</v>
      </c>
      <c r="W216" s="380" t="s">
        <v>953</v>
      </c>
      <c r="X216" s="380" t="s">
        <v>1027</v>
      </c>
      <c r="Y216" s="380" t="s">
        <v>1028</v>
      </c>
      <c r="Z216" s="380" t="s">
        <v>1019</v>
      </c>
      <c r="AA216" s="380" t="s">
        <v>1</v>
      </c>
      <c r="AB216" s="380" t="s">
        <v>1</v>
      </c>
      <c r="AC216" s="380" t="s">
        <v>768</v>
      </c>
      <c r="AD216" s="380" t="s">
        <v>1</v>
      </c>
      <c r="AE216" s="397" t="s">
        <v>1</v>
      </c>
      <c r="AF216" s="44"/>
      <c r="AG216" s="44"/>
      <c r="AH216" s="44"/>
      <c r="AI216" s="44"/>
      <c r="AJ216" s="44"/>
      <c r="AK216" s="44"/>
      <c r="AL216" s="44"/>
      <c r="AM216" s="44"/>
      <c r="AN216" s="44"/>
      <c r="AO216" s="44"/>
      <c r="AP216" s="44"/>
      <c r="AQ216" s="44"/>
      <c r="AR216" s="44"/>
      <c r="AS216" s="44"/>
    </row>
    <row r="217" spans="1:45" ht="45">
      <c r="A217" s="214"/>
      <c r="B217" s="359" t="s">
        <v>403</v>
      </c>
      <c r="C217" s="371" t="s">
        <v>1385</v>
      </c>
      <c r="D217" s="383" t="s">
        <v>778</v>
      </c>
      <c r="E217" s="380">
        <v>4</v>
      </c>
      <c r="F217" s="299" t="s">
        <v>1479</v>
      </c>
      <c r="G217" s="384" t="s">
        <v>840</v>
      </c>
      <c r="H217" s="384" t="s">
        <v>1</v>
      </c>
      <c r="I217" s="395" t="s">
        <v>757</v>
      </c>
      <c r="J217" s="396" t="s">
        <v>1</v>
      </c>
      <c r="K217" s="385" t="s">
        <v>1480</v>
      </c>
      <c r="L217" s="385" t="s">
        <v>1481</v>
      </c>
      <c r="M217" s="386" t="s">
        <v>65</v>
      </c>
      <c r="N217" s="387" t="s">
        <v>1482</v>
      </c>
      <c r="O217" s="387" t="s">
        <v>1483</v>
      </c>
      <c r="P217" t="s">
        <v>1484</v>
      </c>
      <c r="Q217" t="s">
        <v>1485</v>
      </c>
      <c r="R217" s="387" t="s">
        <v>1</v>
      </c>
      <c r="S217" s="387"/>
      <c r="T217" s="380">
        <v>3</v>
      </c>
      <c r="U217" s="380">
        <v>15</v>
      </c>
      <c r="V217" s="380" t="s">
        <v>953</v>
      </c>
      <c r="W217" s="380" t="s">
        <v>953</v>
      </c>
      <c r="X217" s="380" t="s">
        <v>1027</v>
      </c>
      <c r="Y217" s="380" t="s">
        <v>1028</v>
      </c>
      <c r="Z217" s="380" t="s">
        <v>1019</v>
      </c>
      <c r="AA217" s="380" t="s">
        <v>1</v>
      </c>
      <c r="AB217" s="380" t="s">
        <v>1</v>
      </c>
      <c r="AC217" s="380" t="s">
        <v>768</v>
      </c>
      <c r="AD217" s="380" t="s">
        <v>1</v>
      </c>
      <c r="AE217" s="397" t="s">
        <v>1</v>
      </c>
      <c r="AF217" s="44"/>
      <c r="AG217" s="44"/>
      <c r="AH217" s="44"/>
      <c r="AI217" s="44"/>
      <c r="AJ217" s="44"/>
      <c r="AK217" s="44"/>
      <c r="AL217" s="44"/>
      <c r="AM217" s="44"/>
      <c r="AN217" s="44"/>
      <c r="AO217" s="44"/>
      <c r="AP217" s="44"/>
      <c r="AQ217" s="44"/>
      <c r="AR217" s="44"/>
      <c r="AS217" s="44"/>
    </row>
    <row r="218" spans="1:45" ht="45">
      <c r="A218" s="214"/>
      <c r="B218" s="359" t="s">
        <v>403</v>
      </c>
      <c r="C218" s="371" t="s">
        <v>1486</v>
      </c>
      <c r="D218" s="379" t="s">
        <v>735</v>
      </c>
      <c r="E218" s="380">
        <v>1</v>
      </c>
      <c r="F218" s="299" t="s">
        <v>1487</v>
      </c>
      <c r="G218" s="384" t="s">
        <v>744</v>
      </c>
      <c r="H218" s="384" t="s">
        <v>1</v>
      </c>
      <c r="I218" s="395" t="s">
        <v>757</v>
      </c>
      <c r="J218" s="396" t="s">
        <v>1</v>
      </c>
      <c r="K218" s="385" t="s">
        <v>1488</v>
      </c>
      <c r="L218" s="385" t="s">
        <v>1489</v>
      </c>
      <c r="M218" s="386" t="s">
        <v>65</v>
      </c>
      <c r="N218" s="387" t="s">
        <v>1490</v>
      </c>
      <c r="O218" s="387" t="s">
        <v>1491</v>
      </c>
      <c r="P218" t="s">
        <v>1492</v>
      </c>
      <c r="Q218" t="s">
        <v>1493</v>
      </c>
      <c r="R218" s="387" t="s">
        <v>1</v>
      </c>
      <c r="S218" s="387"/>
      <c r="T218" s="380">
        <v>1</v>
      </c>
      <c r="U218" s="380">
        <v>7</v>
      </c>
      <c r="V218" s="380" t="s">
        <v>1097</v>
      </c>
      <c r="W218" s="380" t="s">
        <v>953</v>
      </c>
      <c r="X218" s="380" t="s">
        <v>1027</v>
      </c>
      <c r="Y218" s="380" t="s">
        <v>1018</v>
      </c>
      <c r="Z218" s="380" t="s">
        <v>1019</v>
      </c>
      <c r="AA218" s="380" t="s">
        <v>1</v>
      </c>
      <c r="AB218" s="380" t="s">
        <v>1</v>
      </c>
      <c r="AC218" s="380" t="s">
        <v>768</v>
      </c>
      <c r="AD218" s="380" t="s">
        <v>1</v>
      </c>
      <c r="AE218" s="397" t="s">
        <v>1</v>
      </c>
      <c r="AF218" s="44"/>
      <c r="AG218" s="44"/>
      <c r="AH218" s="44"/>
      <c r="AI218" s="44"/>
      <c r="AJ218" s="44"/>
      <c r="AK218" s="44"/>
      <c r="AL218" s="44"/>
      <c r="AM218" s="44"/>
      <c r="AN218" s="44"/>
      <c r="AO218" s="44"/>
      <c r="AP218" s="44"/>
      <c r="AQ218" s="44"/>
      <c r="AR218" s="44"/>
      <c r="AS218" s="44"/>
    </row>
    <row r="219" spans="1:45" ht="274.5">
      <c r="A219" s="214"/>
      <c r="B219" s="359" t="s">
        <v>403</v>
      </c>
      <c r="C219" s="371" t="s">
        <v>1486</v>
      </c>
      <c r="D219" s="379" t="s">
        <v>735</v>
      </c>
      <c r="E219" s="380">
        <v>2</v>
      </c>
      <c r="F219" s="299" t="s">
        <v>1494</v>
      </c>
      <c r="G219" s="384" t="s">
        <v>833</v>
      </c>
      <c r="H219" s="384" t="s">
        <v>1</v>
      </c>
      <c r="I219" s="395" t="s">
        <v>757</v>
      </c>
      <c r="J219" s="396" t="s">
        <v>1</v>
      </c>
      <c r="K219" s="385" t="s">
        <v>1495</v>
      </c>
      <c r="L219" s="385" t="s">
        <v>1496</v>
      </c>
      <c r="M219" s="386" t="s">
        <v>65</v>
      </c>
      <c r="N219" s="387" t="s">
        <v>1497</v>
      </c>
      <c r="O219" s="387" t="s">
        <v>1498</v>
      </c>
      <c r="P219" t="s">
        <v>1499</v>
      </c>
      <c r="Q219" t="s">
        <v>1500</v>
      </c>
      <c r="R219" s="387" t="s">
        <v>1501</v>
      </c>
      <c r="S219" s="387" t="s">
        <v>1502</v>
      </c>
      <c r="T219" s="380">
        <v>1</v>
      </c>
      <c r="U219" s="380">
        <v>7</v>
      </c>
      <c r="V219" s="380" t="s">
        <v>1097</v>
      </c>
      <c r="W219" s="380" t="s">
        <v>953</v>
      </c>
      <c r="X219" s="380" t="s">
        <v>1027</v>
      </c>
      <c r="Y219" s="380" t="s">
        <v>1018</v>
      </c>
      <c r="Z219" s="380" t="s">
        <v>1019</v>
      </c>
      <c r="AA219" s="380" t="s">
        <v>1</v>
      </c>
      <c r="AB219" s="380" t="s">
        <v>1</v>
      </c>
      <c r="AC219" s="380" t="s">
        <v>768</v>
      </c>
      <c r="AD219" s="380" t="s">
        <v>1</v>
      </c>
      <c r="AE219" s="397" t="s">
        <v>1</v>
      </c>
      <c r="AF219" s="44"/>
      <c r="AG219" s="44"/>
      <c r="AH219" s="44"/>
      <c r="AI219" s="44"/>
      <c r="AJ219" s="44"/>
      <c r="AK219" s="44"/>
      <c r="AL219" s="44"/>
      <c r="AM219" s="44"/>
      <c r="AN219" s="44"/>
      <c r="AO219" s="44"/>
      <c r="AP219" s="44"/>
      <c r="AQ219" s="44"/>
      <c r="AR219" s="44"/>
      <c r="AS219" s="44"/>
    </row>
    <row r="220" spans="1:45" ht="30.75">
      <c r="A220" s="214"/>
      <c r="B220" s="359" t="s">
        <v>403</v>
      </c>
      <c r="C220" s="371" t="s">
        <v>1486</v>
      </c>
      <c r="D220" s="380" t="s">
        <v>743</v>
      </c>
      <c r="E220" s="380">
        <v>1</v>
      </c>
      <c r="F220" s="299" t="s">
        <v>1503</v>
      </c>
      <c r="G220" s="384" t="s">
        <v>840</v>
      </c>
      <c r="H220" s="384" t="s">
        <v>1</v>
      </c>
      <c r="I220" s="395" t="s">
        <v>757</v>
      </c>
      <c r="J220" s="396" t="s">
        <v>1</v>
      </c>
      <c r="K220" s="385" t="s">
        <v>1504</v>
      </c>
      <c r="L220" s="385" t="s">
        <v>1505</v>
      </c>
      <c r="M220" s="386" t="s">
        <v>65</v>
      </c>
      <c r="N220" s="387" t="s">
        <v>1506</v>
      </c>
      <c r="O220" s="387" t="s">
        <v>1507</v>
      </c>
      <c r="P220" t="s">
        <v>1508</v>
      </c>
      <c r="Q220" t="s">
        <v>1509</v>
      </c>
      <c r="R220" s="387" t="s">
        <v>1</v>
      </c>
      <c r="S220" s="387"/>
      <c r="T220" s="380">
        <v>3</v>
      </c>
      <c r="U220" s="380">
        <v>15</v>
      </c>
      <c r="V220" s="380" t="s">
        <v>953</v>
      </c>
      <c r="W220" s="380" t="s">
        <v>953</v>
      </c>
      <c r="X220" s="380" t="s">
        <v>1027</v>
      </c>
      <c r="Y220" s="380" t="s">
        <v>1028</v>
      </c>
      <c r="Z220" s="380" t="s">
        <v>1019</v>
      </c>
      <c r="AA220" s="380" t="s">
        <v>1</v>
      </c>
      <c r="AB220" s="380" t="s">
        <v>1</v>
      </c>
      <c r="AC220" s="380" t="s">
        <v>768</v>
      </c>
      <c r="AD220" s="380" t="s">
        <v>1</v>
      </c>
      <c r="AE220" s="397" t="s">
        <v>1</v>
      </c>
      <c r="AF220" s="44"/>
      <c r="AG220" s="44"/>
      <c r="AH220" s="44"/>
      <c r="AI220" s="44"/>
      <c r="AJ220" s="44"/>
      <c r="AK220" s="44"/>
      <c r="AL220" s="44"/>
      <c r="AM220" s="44"/>
      <c r="AN220" s="44"/>
      <c r="AO220" s="44"/>
      <c r="AP220" s="44"/>
      <c r="AQ220" s="44"/>
      <c r="AR220" s="44"/>
      <c r="AS220" s="44"/>
    </row>
    <row r="221" spans="1:45" ht="45">
      <c r="A221" s="214"/>
      <c r="B221" s="359" t="s">
        <v>403</v>
      </c>
      <c r="C221" s="371" t="s">
        <v>1486</v>
      </c>
      <c r="D221" s="380" t="s">
        <v>743</v>
      </c>
      <c r="E221" s="380">
        <v>2</v>
      </c>
      <c r="F221" s="299" t="s">
        <v>1510</v>
      </c>
      <c r="G221" s="384" t="s">
        <v>744</v>
      </c>
      <c r="H221" s="384" t="s">
        <v>1</v>
      </c>
      <c r="I221" s="395" t="s">
        <v>757</v>
      </c>
      <c r="J221" s="396" t="s">
        <v>1</v>
      </c>
      <c r="K221" s="385" t="s">
        <v>1511</v>
      </c>
      <c r="L221" s="385" t="s">
        <v>1512</v>
      </c>
      <c r="M221" s="386" t="s">
        <v>65</v>
      </c>
      <c r="N221" s="387" t="s">
        <v>1513</v>
      </c>
      <c r="O221" s="387" t="s">
        <v>1514</v>
      </c>
      <c r="P221" t="s">
        <v>1515</v>
      </c>
      <c r="Q221" t="s">
        <v>1516</v>
      </c>
      <c r="R221" s="387" t="s">
        <v>1</v>
      </c>
      <c r="S221" s="387"/>
      <c r="T221" s="380">
        <v>1</v>
      </c>
      <c r="U221" s="380">
        <v>7</v>
      </c>
      <c r="V221" s="380" t="s">
        <v>1097</v>
      </c>
      <c r="W221" s="380" t="s">
        <v>953</v>
      </c>
      <c r="X221" s="380" t="s">
        <v>1027</v>
      </c>
      <c r="Y221" s="380" t="s">
        <v>1018</v>
      </c>
      <c r="Z221" s="380" t="s">
        <v>1019</v>
      </c>
      <c r="AA221" s="380" t="s">
        <v>1</v>
      </c>
      <c r="AB221" s="380" t="s">
        <v>1</v>
      </c>
      <c r="AC221" s="380" t="s">
        <v>768</v>
      </c>
      <c r="AD221" s="380" t="s">
        <v>1</v>
      </c>
      <c r="AE221" s="397" t="s">
        <v>1</v>
      </c>
      <c r="AF221" s="44"/>
      <c r="AG221" s="44"/>
      <c r="AH221" s="44"/>
      <c r="AI221" s="44"/>
      <c r="AJ221" s="44"/>
      <c r="AK221" s="44"/>
      <c r="AL221" s="44"/>
      <c r="AM221" s="44"/>
      <c r="AN221" s="44"/>
      <c r="AO221" s="44"/>
      <c r="AP221" s="44"/>
      <c r="AQ221" s="44"/>
      <c r="AR221" s="44"/>
      <c r="AS221" s="44"/>
    </row>
    <row r="222" spans="1:45" ht="45">
      <c r="A222" s="214"/>
      <c r="B222" s="359" t="s">
        <v>403</v>
      </c>
      <c r="C222" s="371" t="s">
        <v>1486</v>
      </c>
      <c r="D222" s="381" t="s">
        <v>750</v>
      </c>
      <c r="E222" s="380">
        <v>1</v>
      </c>
      <c r="F222" s="299" t="s">
        <v>1517</v>
      </c>
      <c r="G222" s="384" t="s">
        <v>756</v>
      </c>
      <c r="H222" s="384" t="s">
        <v>1</v>
      </c>
      <c r="I222" s="395" t="s">
        <v>1045</v>
      </c>
      <c r="J222" s="396" t="s">
        <v>1</v>
      </c>
      <c r="K222" s="385" t="s">
        <v>1518</v>
      </c>
      <c r="L222" s="385" t="s">
        <v>1519</v>
      </c>
      <c r="M222" s="386" t="s">
        <v>65</v>
      </c>
      <c r="N222" s="387" t="s">
        <v>1520</v>
      </c>
      <c r="O222" s="387" t="s">
        <v>1521</v>
      </c>
      <c r="P222" t="s">
        <v>1522</v>
      </c>
      <c r="Q222" t="s">
        <v>1523</v>
      </c>
      <c r="R222" s="387" t="s">
        <v>1</v>
      </c>
      <c r="S222" s="387"/>
      <c r="T222" s="380">
        <v>1</v>
      </c>
      <c r="U222" s="380">
        <v>7</v>
      </c>
      <c r="V222" s="380" t="s">
        <v>1097</v>
      </c>
      <c r="W222" s="380" t="s">
        <v>953</v>
      </c>
      <c r="X222" s="380" t="s">
        <v>1027</v>
      </c>
      <c r="Y222" s="380" t="s">
        <v>1050</v>
      </c>
      <c r="Z222" s="380" t="s">
        <v>1051</v>
      </c>
      <c r="AA222" s="380" t="s">
        <v>1</v>
      </c>
      <c r="AB222" s="380" t="s">
        <v>1</v>
      </c>
      <c r="AC222" s="380" t="s">
        <v>768</v>
      </c>
      <c r="AD222" s="380" t="s">
        <v>1</v>
      </c>
      <c r="AE222" s="397" t="s">
        <v>1</v>
      </c>
      <c r="AF222" s="44"/>
      <c r="AG222" s="44"/>
      <c r="AH222" s="44"/>
      <c r="AI222" s="44"/>
      <c r="AJ222" s="44"/>
      <c r="AK222" s="44"/>
      <c r="AL222" s="44"/>
      <c r="AM222" s="44"/>
      <c r="AN222" s="44"/>
      <c r="AO222" s="44"/>
      <c r="AP222" s="44"/>
      <c r="AQ222" s="44"/>
      <c r="AR222" s="44"/>
      <c r="AS222" s="44"/>
    </row>
    <row r="223" spans="1:45" ht="45">
      <c r="A223" s="214"/>
      <c r="B223" s="359" t="s">
        <v>403</v>
      </c>
      <c r="C223" s="371" t="s">
        <v>1486</v>
      </c>
      <c r="D223" s="381" t="s">
        <v>750</v>
      </c>
      <c r="E223" s="380">
        <v>2</v>
      </c>
      <c r="F223" s="299" t="s">
        <v>1524</v>
      </c>
      <c r="G223" s="384" t="s">
        <v>744</v>
      </c>
      <c r="H223" s="384" t="s">
        <v>1</v>
      </c>
      <c r="I223" s="395" t="s">
        <v>757</v>
      </c>
      <c r="J223" s="396" t="s">
        <v>1</v>
      </c>
      <c r="K223" s="385" t="s">
        <v>1525</v>
      </c>
      <c r="L223" s="385" t="s">
        <v>1526</v>
      </c>
      <c r="M223" s="386" t="s">
        <v>65</v>
      </c>
      <c r="N223" s="387" t="s">
        <v>1527</v>
      </c>
      <c r="O223" s="387" t="s">
        <v>1528</v>
      </c>
      <c r="P223" t="s">
        <v>1529</v>
      </c>
      <c r="Q223" t="s">
        <v>1530</v>
      </c>
      <c r="R223" s="387" t="s">
        <v>1</v>
      </c>
      <c r="S223" s="387"/>
      <c r="T223" s="380">
        <v>1</v>
      </c>
      <c r="U223" s="380">
        <v>7</v>
      </c>
      <c r="V223" s="380" t="s">
        <v>1097</v>
      </c>
      <c r="W223" s="380" t="s">
        <v>953</v>
      </c>
      <c r="X223" s="380" t="s">
        <v>1027</v>
      </c>
      <c r="Y223" s="380" t="s">
        <v>1018</v>
      </c>
      <c r="Z223" s="380" t="s">
        <v>1019</v>
      </c>
      <c r="AA223" s="380" t="s">
        <v>1</v>
      </c>
      <c r="AB223" s="380" t="s">
        <v>1</v>
      </c>
      <c r="AC223" s="380" t="s">
        <v>768</v>
      </c>
      <c r="AD223" s="380" t="s">
        <v>1</v>
      </c>
      <c r="AE223" s="397" t="s">
        <v>1</v>
      </c>
      <c r="AF223" s="44"/>
      <c r="AG223" s="44"/>
      <c r="AH223" s="44"/>
      <c r="AI223" s="44"/>
      <c r="AJ223" s="44"/>
      <c r="AK223" s="44"/>
      <c r="AL223" s="44"/>
      <c r="AM223" s="44"/>
      <c r="AN223" s="44"/>
      <c r="AO223" s="44"/>
      <c r="AP223" s="44"/>
      <c r="AQ223" s="44"/>
      <c r="AR223" s="44"/>
      <c r="AS223" s="44"/>
    </row>
    <row r="224" spans="1:45" ht="45">
      <c r="A224" s="214"/>
      <c r="B224" s="359" t="s">
        <v>403</v>
      </c>
      <c r="C224" s="371" t="s">
        <v>1486</v>
      </c>
      <c r="D224" s="382" t="s">
        <v>764</v>
      </c>
      <c r="E224" s="380">
        <v>1</v>
      </c>
      <c r="F224" s="299" t="s">
        <v>1531</v>
      </c>
      <c r="G224" s="384" t="s">
        <v>756</v>
      </c>
      <c r="H224" s="384" t="s">
        <v>1</v>
      </c>
      <c r="I224" s="395" t="s">
        <v>1045</v>
      </c>
      <c r="J224" s="396" t="s">
        <v>1</v>
      </c>
      <c r="K224" s="385" t="s">
        <v>1532</v>
      </c>
      <c r="L224" s="385" t="s">
        <v>1533</v>
      </c>
      <c r="M224" s="386" t="s">
        <v>65</v>
      </c>
      <c r="N224" s="447" t="s">
        <v>1534</v>
      </c>
      <c r="O224" s="387" t="s">
        <v>1535</v>
      </c>
      <c r="P224" s="469" t="s">
        <v>1536</v>
      </c>
      <c r="Q224" s="469" t="s">
        <v>1537</v>
      </c>
      <c r="R224" s="387" t="s">
        <v>1</v>
      </c>
      <c r="S224" s="387"/>
      <c r="T224" s="380">
        <v>2</v>
      </c>
      <c r="U224" s="380">
        <v>15</v>
      </c>
      <c r="V224" s="380" t="s">
        <v>1097</v>
      </c>
      <c r="W224" s="380" t="s">
        <v>953</v>
      </c>
      <c r="X224" s="380" t="s">
        <v>1027</v>
      </c>
      <c r="Y224" s="380" t="s">
        <v>1050</v>
      </c>
      <c r="Z224" s="380" t="s">
        <v>1051</v>
      </c>
      <c r="AA224" s="380" t="s">
        <v>1</v>
      </c>
      <c r="AB224" s="380" t="s">
        <v>1</v>
      </c>
      <c r="AC224" s="380" t="s">
        <v>768</v>
      </c>
      <c r="AD224" s="380" t="s">
        <v>1</v>
      </c>
      <c r="AE224" s="397" t="s">
        <v>1</v>
      </c>
      <c r="AF224" s="44"/>
      <c r="AG224" s="44"/>
      <c r="AH224" s="44"/>
      <c r="AI224" s="44"/>
      <c r="AJ224" s="44"/>
      <c r="AK224" s="44"/>
      <c r="AL224" s="44"/>
      <c r="AM224" s="44"/>
      <c r="AN224" s="44"/>
      <c r="AO224" s="44"/>
      <c r="AP224" s="44"/>
      <c r="AQ224" s="44"/>
      <c r="AR224" s="44"/>
      <c r="AS224" s="44"/>
    </row>
    <row r="225" spans="1:45" ht="174">
      <c r="A225" s="214"/>
      <c r="B225" s="359" t="s">
        <v>403</v>
      </c>
      <c r="C225" s="371" t="s">
        <v>1486</v>
      </c>
      <c r="D225" s="382" t="s">
        <v>764</v>
      </c>
      <c r="E225" s="380">
        <v>2</v>
      </c>
      <c r="F225" s="299" t="s">
        <v>1538</v>
      </c>
      <c r="G225" s="384" t="s">
        <v>828</v>
      </c>
      <c r="H225" s="384" t="s">
        <v>1</v>
      </c>
      <c r="I225" s="395" t="s">
        <v>757</v>
      </c>
      <c r="J225" s="396" t="s">
        <v>1</v>
      </c>
      <c r="K225" s="385" t="s">
        <v>1539</v>
      </c>
      <c r="L225" s="385" t="s">
        <v>1540</v>
      </c>
      <c r="M225" s="386" t="s">
        <v>65</v>
      </c>
      <c r="N225" s="387" t="s">
        <v>1541</v>
      </c>
      <c r="O225" s="387" t="s">
        <v>1542</v>
      </c>
      <c r="P225" s="478" t="s">
        <v>1543</v>
      </c>
      <c r="Q225" s="478" t="s">
        <v>1544</v>
      </c>
      <c r="R225" s="387" t="s">
        <v>1545</v>
      </c>
      <c r="S225" s="387" t="s">
        <v>1546</v>
      </c>
      <c r="T225" s="380">
        <v>1</v>
      </c>
      <c r="U225" s="380">
        <v>7</v>
      </c>
      <c r="V225" s="380" t="s">
        <v>1097</v>
      </c>
      <c r="W225" s="380" t="s">
        <v>953</v>
      </c>
      <c r="X225" s="380" t="s">
        <v>828</v>
      </c>
      <c r="Y225" s="380" t="s">
        <v>1018</v>
      </c>
      <c r="Z225" s="380" t="s">
        <v>1019</v>
      </c>
      <c r="AA225" s="380" t="s">
        <v>1</v>
      </c>
      <c r="AB225" s="380" t="s">
        <v>1</v>
      </c>
      <c r="AC225" s="380" t="s">
        <v>768</v>
      </c>
      <c r="AD225" s="380" t="s">
        <v>1</v>
      </c>
      <c r="AE225" s="397" t="s">
        <v>1</v>
      </c>
      <c r="AF225" s="44"/>
      <c r="AG225" s="44"/>
      <c r="AH225" s="44"/>
      <c r="AI225" s="44"/>
      <c r="AJ225" s="44"/>
      <c r="AK225" s="44"/>
      <c r="AL225" s="44"/>
      <c r="AM225" s="44"/>
      <c r="AN225" s="44"/>
      <c r="AO225" s="44"/>
      <c r="AP225" s="44"/>
      <c r="AQ225" s="44"/>
      <c r="AR225" s="44"/>
      <c r="AS225" s="44"/>
    </row>
    <row r="226" spans="1:45" ht="45">
      <c r="A226" s="214"/>
      <c r="B226" s="359" t="s">
        <v>403</v>
      </c>
      <c r="C226" s="371" t="s">
        <v>1486</v>
      </c>
      <c r="D226" s="382" t="s">
        <v>764</v>
      </c>
      <c r="E226" s="380">
        <v>3</v>
      </c>
      <c r="F226" s="299" t="s">
        <v>1547</v>
      </c>
      <c r="G226" s="384" t="s">
        <v>840</v>
      </c>
      <c r="H226" s="384" t="s">
        <v>1</v>
      </c>
      <c r="I226" s="395" t="s">
        <v>757</v>
      </c>
      <c r="J226" s="396" t="s">
        <v>1</v>
      </c>
      <c r="K226" s="385" t="s">
        <v>1548</v>
      </c>
      <c r="L226" s="385" t="s">
        <v>1549</v>
      </c>
      <c r="M226" s="386" t="s">
        <v>65</v>
      </c>
      <c r="N226" s="387" t="s">
        <v>1550</v>
      </c>
      <c r="O226" s="387" t="s">
        <v>1551</v>
      </c>
      <c r="P226" t="s">
        <v>1552</v>
      </c>
      <c r="Q226" t="s">
        <v>1553</v>
      </c>
      <c r="R226" s="387" t="s">
        <v>1</v>
      </c>
      <c r="S226" s="387"/>
      <c r="T226" s="380">
        <v>3</v>
      </c>
      <c r="U226" s="380">
        <v>15</v>
      </c>
      <c r="V226" s="380" t="s">
        <v>953</v>
      </c>
      <c r="W226" s="380" t="s">
        <v>953</v>
      </c>
      <c r="X226" s="380" t="s">
        <v>1027</v>
      </c>
      <c r="Y226" s="380" t="s">
        <v>1028</v>
      </c>
      <c r="Z226" s="380" t="s">
        <v>1019</v>
      </c>
      <c r="AA226" s="380" t="s">
        <v>1</v>
      </c>
      <c r="AB226" s="380" t="s">
        <v>1</v>
      </c>
      <c r="AC226" s="380" t="s">
        <v>768</v>
      </c>
      <c r="AD226" s="380" t="s">
        <v>1</v>
      </c>
      <c r="AE226" s="397" t="s">
        <v>1</v>
      </c>
      <c r="AF226" s="44"/>
      <c r="AG226" s="44"/>
      <c r="AH226" s="44"/>
      <c r="AI226" s="44"/>
      <c r="AJ226" s="44"/>
      <c r="AK226" s="44"/>
      <c r="AL226" s="44"/>
      <c r="AM226" s="44"/>
      <c r="AN226" s="44"/>
      <c r="AO226" s="44"/>
      <c r="AP226" s="44"/>
      <c r="AQ226" s="44"/>
      <c r="AR226" s="44"/>
      <c r="AS226" s="44"/>
    </row>
    <row r="227" spans="1:45" ht="45">
      <c r="A227" s="214"/>
      <c r="B227" s="359" t="s">
        <v>403</v>
      </c>
      <c r="C227" s="371" t="s">
        <v>1486</v>
      </c>
      <c r="D227" s="382" t="s">
        <v>764</v>
      </c>
      <c r="E227" s="380">
        <v>4</v>
      </c>
      <c r="F227" s="299" t="s">
        <v>1554</v>
      </c>
      <c r="G227" s="384" t="s">
        <v>840</v>
      </c>
      <c r="H227" s="384" t="s">
        <v>1</v>
      </c>
      <c r="I227" s="395" t="s">
        <v>757</v>
      </c>
      <c r="J227" s="396" t="s">
        <v>1</v>
      </c>
      <c r="K227" s="385" t="s">
        <v>1555</v>
      </c>
      <c r="L227" s="385" t="s">
        <v>1556</v>
      </c>
      <c r="M227" s="386" t="s">
        <v>65</v>
      </c>
      <c r="N227" s="387" t="s">
        <v>1557</v>
      </c>
      <c r="O227" s="387" t="s">
        <v>1558</v>
      </c>
      <c r="P227" t="s">
        <v>1559</v>
      </c>
      <c r="Q227" t="s">
        <v>1560</v>
      </c>
      <c r="R227" s="387" t="s">
        <v>1</v>
      </c>
      <c r="S227" s="387"/>
      <c r="T227" s="380">
        <v>3</v>
      </c>
      <c r="U227" s="380">
        <v>15</v>
      </c>
      <c r="V227" s="380" t="s">
        <v>953</v>
      </c>
      <c r="W227" s="380" t="s">
        <v>953</v>
      </c>
      <c r="X227" s="380" t="s">
        <v>1027</v>
      </c>
      <c r="Y227" s="380" t="s">
        <v>1028</v>
      </c>
      <c r="Z227" s="380" t="s">
        <v>1019</v>
      </c>
      <c r="AA227" s="380" t="s">
        <v>1</v>
      </c>
      <c r="AB227" s="380" t="s">
        <v>1</v>
      </c>
      <c r="AC227" s="380" t="s">
        <v>768</v>
      </c>
      <c r="AD227" s="380" t="s">
        <v>1</v>
      </c>
      <c r="AE227" s="397" t="s">
        <v>1</v>
      </c>
      <c r="AF227" s="44"/>
      <c r="AG227" s="44"/>
      <c r="AH227" s="44"/>
      <c r="AI227" s="44"/>
      <c r="AJ227" s="44"/>
      <c r="AK227" s="44"/>
      <c r="AL227" s="44"/>
      <c r="AM227" s="44"/>
      <c r="AN227" s="44"/>
      <c r="AO227" s="44"/>
      <c r="AP227" s="44"/>
      <c r="AQ227" s="44"/>
      <c r="AR227" s="44"/>
      <c r="AS227" s="44"/>
    </row>
    <row r="228" spans="1:45" ht="45">
      <c r="A228" s="214"/>
      <c r="B228" s="359" t="s">
        <v>403</v>
      </c>
      <c r="C228" s="371" t="s">
        <v>1486</v>
      </c>
      <c r="D228" s="383" t="s">
        <v>778</v>
      </c>
      <c r="E228" s="380">
        <v>1</v>
      </c>
      <c r="F228" s="299" t="s">
        <v>1561</v>
      </c>
      <c r="G228" s="384" t="s">
        <v>744</v>
      </c>
      <c r="H228" s="384" t="s">
        <v>1</v>
      </c>
      <c r="I228" s="395" t="s">
        <v>757</v>
      </c>
      <c r="J228" s="396" t="s">
        <v>1</v>
      </c>
      <c r="K228" s="385" t="s">
        <v>1562</v>
      </c>
      <c r="L228" s="385" t="s">
        <v>1563</v>
      </c>
      <c r="M228" s="386" t="s">
        <v>65</v>
      </c>
      <c r="N228" s="387" t="s">
        <v>1564</v>
      </c>
      <c r="O228" s="387" t="s">
        <v>1565</v>
      </c>
      <c r="P228" t="s">
        <v>1566</v>
      </c>
      <c r="Q228" t="s">
        <v>1567</v>
      </c>
      <c r="R228" s="387" t="s">
        <v>1</v>
      </c>
      <c r="S228" s="387"/>
      <c r="T228" s="380">
        <v>1</v>
      </c>
      <c r="U228" s="380">
        <v>7</v>
      </c>
      <c r="V228" s="380" t="s">
        <v>1097</v>
      </c>
      <c r="W228" s="380" t="s">
        <v>953</v>
      </c>
      <c r="X228" s="380" t="s">
        <v>1027</v>
      </c>
      <c r="Y228" s="380" t="s">
        <v>1018</v>
      </c>
      <c r="Z228" s="380" t="s">
        <v>1019</v>
      </c>
      <c r="AA228" s="380" t="s">
        <v>1</v>
      </c>
      <c r="AB228" s="380" t="s">
        <v>1</v>
      </c>
      <c r="AC228" s="380" t="s">
        <v>768</v>
      </c>
      <c r="AD228" s="380" t="s">
        <v>1</v>
      </c>
      <c r="AE228" s="397" t="s">
        <v>1</v>
      </c>
      <c r="AF228" s="44"/>
      <c r="AG228" s="44"/>
      <c r="AH228" s="44"/>
      <c r="AI228" s="44"/>
      <c r="AJ228" s="44"/>
      <c r="AK228" s="44"/>
      <c r="AL228" s="44"/>
      <c r="AM228" s="44"/>
      <c r="AN228" s="44"/>
      <c r="AO228" s="44"/>
      <c r="AP228" s="44"/>
      <c r="AQ228" s="44"/>
      <c r="AR228" s="44"/>
      <c r="AS228" s="44"/>
    </row>
    <row r="229" spans="1:45" ht="45">
      <c r="A229" s="214"/>
      <c r="B229" s="359" t="s">
        <v>403</v>
      </c>
      <c r="C229" s="371" t="s">
        <v>1486</v>
      </c>
      <c r="D229" s="383" t="s">
        <v>778</v>
      </c>
      <c r="E229" s="380">
        <v>2</v>
      </c>
      <c r="F229" s="299" t="s">
        <v>1568</v>
      </c>
      <c r="G229" s="384" t="s">
        <v>840</v>
      </c>
      <c r="H229" s="384" t="s">
        <v>1</v>
      </c>
      <c r="I229" s="395" t="s">
        <v>757</v>
      </c>
      <c r="J229" s="396" t="s">
        <v>1</v>
      </c>
      <c r="K229" s="385" t="s">
        <v>1569</v>
      </c>
      <c r="L229" s="385" t="s">
        <v>1570</v>
      </c>
      <c r="M229" s="386" t="s">
        <v>65</v>
      </c>
      <c r="N229" s="387" t="s">
        <v>1571</v>
      </c>
      <c r="O229" s="387" t="s">
        <v>1572</v>
      </c>
      <c r="P229" t="s">
        <v>1573</v>
      </c>
      <c r="Q229" t="s">
        <v>1574</v>
      </c>
      <c r="R229" s="387" t="s">
        <v>1</v>
      </c>
      <c r="S229" s="387"/>
      <c r="T229" s="380">
        <v>3</v>
      </c>
      <c r="U229" s="380">
        <v>15</v>
      </c>
      <c r="V229" s="380" t="s">
        <v>953</v>
      </c>
      <c r="W229" s="380" t="s">
        <v>953</v>
      </c>
      <c r="X229" s="380" t="s">
        <v>1027</v>
      </c>
      <c r="Y229" s="380" t="s">
        <v>1028</v>
      </c>
      <c r="Z229" s="380" t="s">
        <v>1019</v>
      </c>
      <c r="AA229" s="380" t="s">
        <v>1</v>
      </c>
      <c r="AB229" s="380" t="s">
        <v>1</v>
      </c>
      <c r="AC229" s="380" t="s">
        <v>768</v>
      </c>
      <c r="AD229" s="380" t="s">
        <v>1</v>
      </c>
      <c r="AE229" s="397" t="s">
        <v>1</v>
      </c>
      <c r="AF229" s="44"/>
      <c r="AG229" s="44"/>
      <c r="AH229" s="44"/>
      <c r="AI229" s="44"/>
      <c r="AJ229" s="44"/>
      <c r="AK229" s="44"/>
      <c r="AL229" s="44"/>
      <c r="AM229" s="44"/>
      <c r="AN229" s="44"/>
      <c r="AO229" s="44"/>
      <c r="AP229" s="44"/>
      <c r="AQ229" s="44"/>
      <c r="AR229" s="44"/>
      <c r="AS229" s="44"/>
    </row>
    <row r="230" spans="1:45" ht="260.25">
      <c r="A230" s="214"/>
      <c r="B230" s="359" t="s">
        <v>403</v>
      </c>
      <c r="C230" s="371" t="s">
        <v>1486</v>
      </c>
      <c r="D230" s="383" t="s">
        <v>778</v>
      </c>
      <c r="E230" s="380">
        <v>3</v>
      </c>
      <c r="F230" s="299" t="s">
        <v>1575</v>
      </c>
      <c r="G230" s="384" t="s">
        <v>833</v>
      </c>
      <c r="H230" s="384" t="s">
        <v>1</v>
      </c>
      <c r="I230" s="395" t="s">
        <v>757</v>
      </c>
      <c r="J230" s="396" t="s">
        <v>1</v>
      </c>
      <c r="K230" s="385" t="s">
        <v>1576</v>
      </c>
      <c r="L230" s="385" t="s">
        <v>1577</v>
      </c>
      <c r="M230" s="386" t="s">
        <v>65</v>
      </c>
      <c r="N230" s="387" t="s">
        <v>1578</v>
      </c>
      <c r="O230" s="387" t="s">
        <v>1579</v>
      </c>
      <c r="P230" t="s">
        <v>1580</v>
      </c>
      <c r="Q230" t="s">
        <v>1581</v>
      </c>
      <c r="R230" s="387" t="s">
        <v>1582</v>
      </c>
      <c r="S230" s="387" t="s">
        <v>1583</v>
      </c>
      <c r="T230" s="380">
        <v>1</v>
      </c>
      <c r="U230" s="380">
        <v>7</v>
      </c>
      <c r="V230" s="380" t="s">
        <v>1097</v>
      </c>
      <c r="W230" s="380" t="s">
        <v>953</v>
      </c>
      <c r="X230" s="380" t="s">
        <v>1027</v>
      </c>
      <c r="Y230" s="380" t="s">
        <v>1018</v>
      </c>
      <c r="Z230" s="380" t="s">
        <v>1019</v>
      </c>
      <c r="AA230" s="380" t="s">
        <v>1</v>
      </c>
      <c r="AB230" s="380" t="s">
        <v>1</v>
      </c>
      <c r="AC230" s="380" t="s">
        <v>768</v>
      </c>
      <c r="AD230" s="380" t="s">
        <v>1</v>
      </c>
      <c r="AE230" s="397" t="s">
        <v>1</v>
      </c>
      <c r="AF230" s="44"/>
      <c r="AG230" s="44"/>
      <c r="AH230" s="44"/>
      <c r="AI230" s="44"/>
      <c r="AJ230" s="44"/>
      <c r="AK230" s="44"/>
      <c r="AL230" s="44"/>
      <c r="AM230" s="44"/>
      <c r="AN230" s="44"/>
      <c r="AO230" s="44"/>
      <c r="AP230" s="44"/>
      <c r="AQ230" s="44"/>
      <c r="AR230" s="44"/>
      <c r="AS230" s="44"/>
    </row>
    <row r="231" spans="1:45" ht="45">
      <c r="A231" s="214"/>
      <c r="B231" s="359" t="s">
        <v>403</v>
      </c>
      <c r="C231" s="371" t="s">
        <v>1486</v>
      </c>
      <c r="D231" s="383" t="s">
        <v>778</v>
      </c>
      <c r="E231" s="380">
        <v>4</v>
      </c>
      <c r="F231" s="299" t="s">
        <v>1584</v>
      </c>
      <c r="G231" s="384" t="s">
        <v>793</v>
      </c>
      <c r="H231" s="384" t="s">
        <v>1</v>
      </c>
      <c r="I231" s="395" t="s">
        <v>757</v>
      </c>
      <c r="J231" s="396" t="s">
        <v>1</v>
      </c>
      <c r="K231" s="385" t="s">
        <v>1585</v>
      </c>
      <c r="L231" s="385" t="s">
        <v>1586</v>
      </c>
      <c r="M231" s="386" t="s">
        <v>65</v>
      </c>
      <c r="N231" s="387" t="s">
        <v>1587</v>
      </c>
      <c r="O231" s="387" t="s">
        <v>1588</v>
      </c>
      <c r="P231" t="s">
        <v>1589</v>
      </c>
      <c r="Q231" t="s">
        <v>1590</v>
      </c>
      <c r="R231" s="387" t="s">
        <v>1</v>
      </c>
      <c r="S231" s="387"/>
      <c r="T231" s="380">
        <v>1</v>
      </c>
      <c r="U231" s="380">
        <v>7</v>
      </c>
      <c r="V231" s="380" t="s">
        <v>1097</v>
      </c>
      <c r="W231" s="380" t="s">
        <v>953</v>
      </c>
      <c r="X231" s="380" t="s">
        <v>1027</v>
      </c>
      <c r="Y231" s="380" t="s">
        <v>1018</v>
      </c>
      <c r="Z231" s="380" t="s">
        <v>1019</v>
      </c>
      <c r="AA231" s="380" t="s">
        <v>1</v>
      </c>
      <c r="AB231" s="380" t="s">
        <v>1</v>
      </c>
      <c r="AC231" s="380" t="s">
        <v>768</v>
      </c>
      <c r="AD231" s="380" t="s">
        <v>1</v>
      </c>
      <c r="AE231" s="397" t="s">
        <v>1</v>
      </c>
      <c r="AF231" s="44"/>
      <c r="AG231" s="44"/>
      <c r="AH231" s="44"/>
      <c r="AI231" s="44"/>
      <c r="AJ231" s="44"/>
      <c r="AK231" s="44"/>
      <c r="AL231" s="44"/>
      <c r="AM231" s="44"/>
      <c r="AN231" s="44"/>
      <c r="AO231" s="44"/>
      <c r="AP231" s="44"/>
      <c r="AQ231" s="44"/>
      <c r="AR231" s="44"/>
      <c r="AS231" s="44"/>
    </row>
    <row r="232" spans="1:45" ht="30.75">
      <c r="A232" s="214"/>
      <c r="B232" s="360" t="s">
        <v>436</v>
      </c>
      <c r="C232" s="372" t="s">
        <v>1591</v>
      </c>
      <c r="D232" s="379" t="s">
        <v>735</v>
      </c>
      <c r="E232" s="380">
        <v>1</v>
      </c>
      <c r="F232" s="299" t="s">
        <v>1592</v>
      </c>
      <c r="G232" s="384" t="s">
        <v>793</v>
      </c>
      <c r="H232" s="384" t="s">
        <v>1</v>
      </c>
      <c r="I232" s="395" t="s">
        <v>757</v>
      </c>
      <c r="J232" s="396" t="s">
        <v>1</v>
      </c>
      <c r="K232" s="385" t="s">
        <v>1593</v>
      </c>
      <c r="L232" s="385" t="s">
        <v>1594</v>
      </c>
      <c r="M232" s="386" t="s">
        <v>65</v>
      </c>
      <c r="N232" s="387" t="s">
        <v>1595</v>
      </c>
      <c r="O232" s="387" t="s">
        <v>1596</v>
      </c>
      <c r="P232" s="469" t="s">
        <v>1597</v>
      </c>
      <c r="Q232" s="469" t="s">
        <v>1598</v>
      </c>
      <c r="R232" s="387" t="s">
        <v>1</v>
      </c>
      <c r="S232" s="387"/>
      <c r="T232" s="380">
        <v>1</v>
      </c>
      <c r="U232" s="380">
        <v>7</v>
      </c>
      <c r="V232" s="380" t="s">
        <v>1097</v>
      </c>
      <c r="W232" s="380" t="s">
        <v>953</v>
      </c>
      <c r="X232" s="380" t="s">
        <v>1027</v>
      </c>
      <c r="Y232" s="380" t="s">
        <v>1018</v>
      </c>
      <c r="Z232" s="380" t="s">
        <v>1019</v>
      </c>
      <c r="AA232" s="380" t="s">
        <v>1</v>
      </c>
      <c r="AB232" s="380" t="s">
        <v>1</v>
      </c>
      <c r="AC232" s="380" t="s">
        <v>768</v>
      </c>
      <c r="AD232" s="380" t="s">
        <v>1</v>
      </c>
      <c r="AE232" s="397" t="s">
        <v>1</v>
      </c>
      <c r="AF232" s="44"/>
      <c r="AG232" s="44"/>
      <c r="AH232" s="44"/>
      <c r="AI232" s="44"/>
      <c r="AJ232" s="44"/>
      <c r="AK232" s="44"/>
      <c r="AL232" s="44"/>
      <c r="AM232" s="44"/>
      <c r="AN232" s="44"/>
      <c r="AO232" s="44"/>
      <c r="AP232" s="44"/>
      <c r="AQ232" s="44"/>
      <c r="AR232" s="44"/>
      <c r="AS232" s="44"/>
    </row>
    <row r="233" spans="1:45" ht="45">
      <c r="A233" s="214"/>
      <c r="B233" s="360" t="s">
        <v>436</v>
      </c>
      <c r="C233" s="372" t="s">
        <v>1591</v>
      </c>
      <c r="D233" s="379" t="s">
        <v>735</v>
      </c>
      <c r="E233" s="380">
        <v>2</v>
      </c>
      <c r="F233" s="299" t="s">
        <v>1599</v>
      </c>
      <c r="G233" s="384" t="s">
        <v>744</v>
      </c>
      <c r="H233" s="384" t="s">
        <v>1</v>
      </c>
      <c r="I233" s="395" t="s">
        <v>757</v>
      </c>
      <c r="J233" s="396" t="s">
        <v>1</v>
      </c>
      <c r="K233" s="385" t="s">
        <v>1600</v>
      </c>
      <c r="L233" s="385" t="s">
        <v>1601</v>
      </c>
      <c r="M233" s="386" t="s">
        <v>65</v>
      </c>
      <c r="N233" s="387" t="s">
        <v>1602</v>
      </c>
      <c r="O233" s="387" t="s">
        <v>1603</v>
      </c>
      <c r="P233" s="469" t="s">
        <v>1604</v>
      </c>
      <c r="Q233" s="469" t="s">
        <v>1605</v>
      </c>
      <c r="R233" s="387" t="s">
        <v>1</v>
      </c>
      <c r="S233" s="387"/>
      <c r="T233" s="380">
        <v>1</v>
      </c>
      <c r="U233" s="380">
        <v>7</v>
      </c>
      <c r="V233" s="380" t="s">
        <v>1097</v>
      </c>
      <c r="W233" s="380" t="s">
        <v>953</v>
      </c>
      <c r="X233" s="380" t="s">
        <v>1027</v>
      </c>
      <c r="Y233" s="380" t="s">
        <v>1018</v>
      </c>
      <c r="Z233" s="380" t="s">
        <v>1019</v>
      </c>
      <c r="AA233" s="380" t="s">
        <v>1</v>
      </c>
      <c r="AB233" s="380" t="s">
        <v>1</v>
      </c>
      <c r="AC233" s="380" t="s">
        <v>768</v>
      </c>
      <c r="AD233" s="380" t="s">
        <v>1</v>
      </c>
      <c r="AE233" s="397" t="s">
        <v>1</v>
      </c>
      <c r="AF233" s="44"/>
      <c r="AG233" s="44"/>
      <c r="AH233" s="44"/>
      <c r="AI233" s="44"/>
      <c r="AJ233" s="44"/>
      <c r="AK233" s="44"/>
      <c r="AL233" s="44"/>
      <c r="AM233" s="44"/>
      <c r="AN233" s="44"/>
      <c r="AO233" s="44"/>
      <c r="AP233" s="44"/>
      <c r="AQ233" s="44"/>
      <c r="AR233" s="44"/>
      <c r="AS233" s="44"/>
    </row>
    <row r="234" spans="1:45" ht="45">
      <c r="A234" s="214"/>
      <c r="B234" s="360" t="s">
        <v>436</v>
      </c>
      <c r="C234" s="372" t="s">
        <v>1591</v>
      </c>
      <c r="D234" s="380" t="s">
        <v>743</v>
      </c>
      <c r="E234" s="380">
        <v>1</v>
      </c>
      <c r="F234" s="299" t="s">
        <v>1606</v>
      </c>
      <c r="G234" s="384" t="s">
        <v>744</v>
      </c>
      <c r="H234" s="384" t="s">
        <v>1</v>
      </c>
      <c r="I234" s="395" t="s">
        <v>757</v>
      </c>
      <c r="J234" s="396" t="s">
        <v>1</v>
      </c>
      <c r="K234" s="385" t="s">
        <v>1607</v>
      </c>
      <c r="L234" s="385" t="s">
        <v>1608</v>
      </c>
      <c r="M234" s="386" t="s">
        <v>65</v>
      </c>
      <c r="N234" s="387" t="s">
        <v>1609</v>
      </c>
      <c r="O234" s="387" t="s">
        <v>1610</v>
      </c>
      <c r="P234" s="469" t="s">
        <v>1611</v>
      </c>
      <c r="Q234" s="469" t="s">
        <v>1612</v>
      </c>
      <c r="R234" s="387" t="s">
        <v>1</v>
      </c>
      <c r="S234" s="387"/>
      <c r="T234" s="380">
        <v>1</v>
      </c>
      <c r="U234" s="380">
        <v>7</v>
      </c>
      <c r="V234" s="380" t="s">
        <v>1097</v>
      </c>
      <c r="W234" s="380" t="s">
        <v>953</v>
      </c>
      <c r="X234" s="380" t="s">
        <v>1027</v>
      </c>
      <c r="Y234" s="380" t="s">
        <v>1018</v>
      </c>
      <c r="Z234" s="380" t="s">
        <v>1019</v>
      </c>
      <c r="AA234" s="380" t="s">
        <v>1</v>
      </c>
      <c r="AB234" s="380" t="s">
        <v>1</v>
      </c>
      <c r="AC234" s="380" t="s">
        <v>768</v>
      </c>
      <c r="AD234" s="380" t="s">
        <v>1</v>
      </c>
      <c r="AE234" s="397" t="s">
        <v>1</v>
      </c>
      <c r="AF234" s="44"/>
      <c r="AG234" s="44"/>
      <c r="AH234" s="44"/>
      <c r="AI234" s="44"/>
      <c r="AJ234" s="44"/>
      <c r="AK234" s="44"/>
      <c r="AL234" s="44"/>
      <c r="AM234" s="44"/>
      <c r="AN234" s="44"/>
      <c r="AO234" s="44"/>
      <c r="AP234" s="44"/>
      <c r="AQ234" s="44"/>
      <c r="AR234" s="44"/>
      <c r="AS234" s="44"/>
    </row>
    <row r="235" spans="1:45" ht="101.25">
      <c r="A235" s="214"/>
      <c r="B235" s="360"/>
      <c r="C235" s="372"/>
      <c r="D235" s="380"/>
      <c r="E235" s="380"/>
      <c r="F235" s="299" t="str">
        <f>""&amp;Table12[[#This Row],[TTM Stage]]&amp;Table12[[#This Row],[Task No.]]&amp;"-"&amp;Table12[[#This Row],[Type of activity]]&amp;"-"&amp;Table12[[#This Row],[TargetGroup]]</f>
        <v>--</v>
      </c>
      <c r="G235" s="384"/>
      <c r="H235" s="384"/>
      <c r="I235" s="395"/>
      <c r="J235" s="396"/>
      <c r="K235" s="385"/>
      <c r="L235" s="431" t="s">
        <v>1613</v>
      </c>
      <c r="M235" s="386"/>
      <c r="N235" s="387"/>
      <c r="O235" s="394" t="s">
        <v>1614</v>
      </c>
      <c r="P235" s="469" t="s">
        <v>1615</v>
      </c>
      <c r="Q235" s="480" t="s">
        <v>1616</v>
      </c>
      <c r="R235" s="387"/>
      <c r="S235" s="394"/>
      <c r="T235" s="380"/>
      <c r="U235" s="380"/>
      <c r="V235" s="380"/>
      <c r="W235" s="380"/>
      <c r="X235" s="380"/>
      <c r="Y235" s="380"/>
      <c r="Z235" s="380"/>
      <c r="AA235" s="380"/>
      <c r="AB235" s="380"/>
      <c r="AC235" s="380"/>
      <c r="AD235" s="380"/>
      <c r="AE235" s="397"/>
      <c r="AF235" s="44"/>
      <c r="AG235" s="44"/>
      <c r="AH235" s="44"/>
      <c r="AI235" s="44"/>
      <c r="AJ235" s="44"/>
      <c r="AK235" s="44"/>
      <c r="AL235" s="44"/>
      <c r="AM235" s="44"/>
      <c r="AN235" s="44"/>
      <c r="AO235" s="44"/>
      <c r="AP235" s="44"/>
      <c r="AQ235" s="44"/>
      <c r="AR235" s="44"/>
      <c r="AS235" s="44"/>
    </row>
    <row r="236" spans="1:45" ht="45">
      <c r="A236" s="214"/>
      <c r="B236" s="360" t="s">
        <v>436</v>
      </c>
      <c r="C236" s="372" t="s">
        <v>1591</v>
      </c>
      <c r="D236" s="380" t="s">
        <v>743</v>
      </c>
      <c r="E236" s="380">
        <v>2</v>
      </c>
      <c r="F236" s="299" t="s">
        <v>1617</v>
      </c>
      <c r="G236" s="384" t="s">
        <v>744</v>
      </c>
      <c r="H236" s="384" t="s">
        <v>1</v>
      </c>
      <c r="I236" s="395" t="s">
        <v>757</v>
      </c>
      <c r="J236" s="396" t="s">
        <v>1</v>
      </c>
      <c r="K236" s="385" t="s">
        <v>1618</v>
      </c>
      <c r="L236" s="385" t="s">
        <v>1619</v>
      </c>
      <c r="M236" s="386" t="s">
        <v>65</v>
      </c>
      <c r="N236" s="447" t="s">
        <v>1620</v>
      </c>
      <c r="O236" s="387" t="s">
        <v>1621</v>
      </c>
      <c r="P236" s="469" t="s">
        <v>1622</v>
      </c>
      <c r="Q236" s="480" t="s">
        <v>1623</v>
      </c>
      <c r="R236" s="387" t="s">
        <v>1</v>
      </c>
      <c r="S236" s="387"/>
      <c r="T236" s="380">
        <v>1</v>
      </c>
      <c r="U236" s="380">
        <v>7</v>
      </c>
      <c r="V236" s="380" t="s">
        <v>1097</v>
      </c>
      <c r="W236" s="380" t="s">
        <v>953</v>
      </c>
      <c r="X236" s="380" t="s">
        <v>1027</v>
      </c>
      <c r="Y236" s="380" t="s">
        <v>1018</v>
      </c>
      <c r="Z236" s="380" t="s">
        <v>1019</v>
      </c>
      <c r="AA236" s="380" t="s">
        <v>1</v>
      </c>
      <c r="AB236" s="380" t="s">
        <v>1</v>
      </c>
      <c r="AC236" s="380" t="s">
        <v>768</v>
      </c>
      <c r="AD236" s="380" t="s">
        <v>1</v>
      </c>
      <c r="AE236" s="397" t="s">
        <v>1</v>
      </c>
      <c r="AF236" s="44"/>
      <c r="AG236" s="44"/>
      <c r="AH236" s="44"/>
      <c r="AI236" s="44"/>
      <c r="AJ236" s="44"/>
      <c r="AK236" s="44"/>
      <c r="AL236" s="44"/>
      <c r="AM236" s="44"/>
      <c r="AN236" s="44"/>
      <c r="AO236" s="44"/>
      <c r="AP236" s="44"/>
      <c r="AQ236" s="44"/>
      <c r="AR236" s="44"/>
      <c r="AS236" s="44"/>
    </row>
    <row r="237" spans="1:45">
      <c r="A237" s="214"/>
      <c r="B237" s="360"/>
      <c r="C237" s="372"/>
      <c r="D237" s="380"/>
      <c r="E237" s="380"/>
      <c r="F237" s="299" t="str">
        <f>""&amp;Table12[[#This Row],[TTM Stage]]&amp;Table12[[#This Row],[Task No.]]&amp;"-"&amp;Table12[[#This Row],[Type of activity]]&amp;"-"&amp;Table12[[#This Row],[TargetGroup]]</f>
        <v>--</v>
      </c>
      <c r="G237" s="384"/>
      <c r="H237" s="384"/>
      <c r="I237" s="395"/>
      <c r="J237" s="396"/>
      <c r="K237" s="385"/>
      <c r="L237" t="s">
        <v>1624</v>
      </c>
      <c r="M237" s="386"/>
      <c r="N237" s="447"/>
      <c r="O237" t="s">
        <v>1625</v>
      </c>
      <c r="P237" s="469" t="s">
        <v>1626</v>
      </c>
      <c r="Q237" t="s">
        <v>1627</v>
      </c>
      <c r="R237" s="387"/>
      <c r="S237" s="394"/>
      <c r="T237" s="380"/>
      <c r="U237" s="380"/>
      <c r="V237" s="380"/>
      <c r="W237" s="380"/>
      <c r="X237" s="380"/>
      <c r="Y237" s="380"/>
      <c r="Z237" s="380"/>
      <c r="AA237" s="380"/>
      <c r="AB237" s="380"/>
      <c r="AC237" s="380"/>
      <c r="AD237" s="380"/>
      <c r="AE237" s="397"/>
      <c r="AF237" s="44"/>
      <c r="AG237" s="44"/>
      <c r="AH237" s="44"/>
      <c r="AI237" s="44"/>
      <c r="AJ237" s="44"/>
      <c r="AK237" s="44"/>
      <c r="AL237" s="44"/>
      <c r="AM237" s="44"/>
      <c r="AN237" s="44"/>
      <c r="AO237" s="44"/>
      <c r="AP237" s="44"/>
      <c r="AQ237" s="44"/>
      <c r="AR237" s="44"/>
      <c r="AS237" s="44"/>
    </row>
    <row r="238" spans="1:45" ht="45">
      <c r="A238" s="214"/>
      <c r="B238" s="360" t="s">
        <v>436</v>
      </c>
      <c r="C238" s="372" t="s">
        <v>1591</v>
      </c>
      <c r="D238" s="381" t="s">
        <v>750</v>
      </c>
      <c r="E238" s="380">
        <v>1</v>
      </c>
      <c r="F238" s="299" t="s">
        <v>1628</v>
      </c>
      <c r="G238" s="384" t="s">
        <v>756</v>
      </c>
      <c r="H238" s="384" t="s">
        <v>1</v>
      </c>
      <c r="I238" s="395" t="s">
        <v>1045</v>
      </c>
      <c r="J238" s="396" t="s">
        <v>1</v>
      </c>
      <c r="K238" s="385" t="s">
        <v>1629</v>
      </c>
      <c r="L238" s="385" t="s">
        <v>1630</v>
      </c>
      <c r="M238" s="386" t="s">
        <v>65</v>
      </c>
      <c r="N238" s="387" t="s">
        <v>1631</v>
      </c>
      <c r="O238" s="387" t="s">
        <v>1632</v>
      </c>
      <c r="P238" s="478" t="s">
        <v>1633</v>
      </c>
      <c r="Q238" s="478" t="s">
        <v>1634</v>
      </c>
      <c r="R238" s="387" t="s">
        <v>1</v>
      </c>
      <c r="S238" s="387"/>
      <c r="T238" s="380">
        <v>1</v>
      </c>
      <c r="U238" s="380">
        <v>7</v>
      </c>
      <c r="V238" s="380" t="s">
        <v>1097</v>
      </c>
      <c r="W238" s="380" t="s">
        <v>953</v>
      </c>
      <c r="X238" s="380" t="s">
        <v>1027</v>
      </c>
      <c r="Y238" s="380" t="s">
        <v>1050</v>
      </c>
      <c r="Z238" s="380" t="s">
        <v>1051</v>
      </c>
      <c r="AA238" s="380" t="s">
        <v>1</v>
      </c>
      <c r="AB238" s="380" t="s">
        <v>1</v>
      </c>
      <c r="AC238" s="380" t="s">
        <v>768</v>
      </c>
      <c r="AD238" s="380" t="s">
        <v>1</v>
      </c>
      <c r="AE238" s="397" t="s">
        <v>1</v>
      </c>
      <c r="AF238" s="44"/>
      <c r="AG238" s="44"/>
      <c r="AH238" s="44"/>
      <c r="AI238" s="44"/>
      <c r="AJ238" s="44"/>
      <c r="AK238" s="44"/>
      <c r="AL238" s="44"/>
      <c r="AM238" s="44"/>
      <c r="AN238" s="44"/>
      <c r="AO238" s="44"/>
      <c r="AP238" s="44"/>
      <c r="AQ238" s="44"/>
      <c r="AR238" s="44"/>
      <c r="AS238" s="44"/>
    </row>
    <row r="239" spans="1:45" ht="45">
      <c r="A239" s="214"/>
      <c r="B239" s="360" t="s">
        <v>436</v>
      </c>
      <c r="C239" s="372" t="s">
        <v>1591</v>
      </c>
      <c r="D239" s="381" t="s">
        <v>750</v>
      </c>
      <c r="E239" s="380">
        <v>2</v>
      </c>
      <c r="F239" s="299" t="s">
        <v>1635</v>
      </c>
      <c r="G239" s="384" t="s">
        <v>756</v>
      </c>
      <c r="H239" s="384" t="s">
        <v>1</v>
      </c>
      <c r="I239" s="395" t="s">
        <v>1045</v>
      </c>
      <c r="J239" s="396" t="s">
        <v>1</v>
      </c>
      <c r="K239" s="385" t="s">
        <v>1636</v>
      </c>
      <c r="L239" s="385" t="s">
        <v>1637</v>
      </c>
      <c r="M239" s="386" t="s">
        <v>65</v>
      </c>
      <c r="N239" s="387" t="s">
        <v>1638</v>
      </c>
      <c r="O239" s="387" t="s">
        <v>1639</v>
      </c>
      <c r="P239" s="469" t="s">
        <v>1640</v>
      </c>
      <c r="Q239" s="469" t="s">
        <v>1641</v>
      </c>
      <c r="R239" s="387" t="s">
        <v>1</v>
      </c>
      <c r="S239" s="387"/>
      <c r="T239" s="380">
        <v>1</v>
      </c>
      <c r="U239" s="380">
        <v>7</v>
      </c>
      <c r="V239" s="380" t="s">
        <v>1097</v>
      </c>
      <c r="W239" s="380" t="s">
        <v>953</v>
      </c>
      <c r="X239" s="380" t="s">
        <v>1027</v>
      </c>
      <c r="Y239" s="380" t="s">
        <v>1050</v>
      </c>
      <c r="Z239" s="380" t="s">
        <v>1051</v>
      </c>
      <c r="AA239" s="380" t="s">
        <v>1</v>
      </c>
      <c r="AB239" s="380" t="s">
        <v>1</v>
      </c>
      <c r="AC239" s="380" t="s">
        <v>768</v>
      </c>
      <c r="AD239" s="380" t="s">
        <v>1</v>
      </c>
      <c r="AE239" s="397" t="s">
        <v>1</v>
      </c>
      <c r="AF239" s="44"/>
      <c r="AG239" s="44"/>
      <c r="AH239" s="44"/>
      <c r="AI239" s="44"/>
      <c r="AJ239" s="44"/>
      <c r="AK239" s="44"/>
      <c r="AL239" s="44"/>
      <c r="AM239" s="44"/>
      <c r="AN239" s="44"/>
      <c r="AO239" s="44"/>
      <c r="AP239" s="44"/>
      <c r="AQ239" s="44"/>
      <c r="AR239" s="44"/>
      <c r="AS239" s="44"/>
    </row>
    <row r="240" spans="1:45" ht="45">
      <c r="A240" s="214"/>
      <c r="B240" s="360" t="s">
        <v>436</v>
      </c>
      <c r="C240" s="372" t="s">
        <v>1591</v>
      </c>
      <c r="D240" s="382" t="s">
        <v>764</v>
      </c>
      <c r="E240" s="380">
        <v>1</v>
      </c>
      <c r="F240" s="299" t="s">
        <v>1642</v>
      </c>
      <c r="G240" s="384" t="s">
        <v>840</v>
      </c>
      <c r="H240" s="384" t="s">
        <v>1</v>
      </c>
      <c r="I240" s="395" t="s">
        <v>757</v>
      </c>
      <c r="J240" s="396" t="s">
        <v>1</v>
      </c>
      <c r="K240" s="385" t="s">
        <v>1643</v>
      </c>
      <c r="L240" s="385" t="s">
        <v>1644</v>
      </c>
      <c r="M240" s="386" t="s">
        <v>65</v>
      </c>
      <c r="N240" s="387" t="s">
        <v>1645</v>
      </c>
      <c r="O240" s="387" t="s">
        <v>1646</v>
      </c>
      <c r="P240" s="469" t="s">
        <v>1647</v>
      </c>
      <c r="Q240" s="469" t="s">
        <v>1648</v>
      </c>
      <c r="R240" s="387" t="s">
        <v>1</v>
      </c>
      <c r="S240" s="387"/>
      <c r="T240" s="380">
        <v>3</v>
      </c>
      <c r="U240" s="380">
        <v>15</v>
      </c>
      <c r="V240" s="380" t="s">
        <v>953</v>
      </c>
      <c r="W240" s="380" t="s">
        <v>953</v>
      </c>
      <c r="X240" s="380" t="s">
        <v>1027</v>
      </c>
      <c r="Y240" s="380" t="s">
        <v>1028</v>
      </c>
      <c r="Z240" s="380" t="s">
        <v>1019</v>
      </c>
      <c r="AA240" s="380" t="s">
        <v>1</v>
      </c>
      <c r="AB240" s="380" t="s">
        <v>1</v>
      </c>
      <c r="AC240" s="380" t="s">
        <v>768</v>
      </c>
      <c r="AD240" s="380" t="s">
        <v>1</v>
      </c>
      <c r="AE240" s="397" t="s">
        <v>1</v>
      </c>
      <c r="AF240" s="44"/>
      <c r="AG240" s="44"/>
      <c r="AH240" s="44"/>
      <c r="AI240" s="44"/>
      <c r="AJ240" s="44"/>
      <c r="AK240" s="44"/>
      <c r="AL240" s="44"/>
      <c r="AM240" s="44"/>
      <c r="AN240" s="44"/>
      <c r="AO240" s="44"/>
      <c r="AP240" s="44"/>
      <c r="AQ240" s="44"/>
      <c r="AR240" s="44"/>
      <c r="AS240" s="44"/>
    </row>
    <row r="241" spans="1:45" ht="45">
      <c r="A241" s="214"/>
      <c r="B241" s="360" t="s">
        <v>436</v>
      </c>
      <c r="C241" s="372" t="s">
        <v>1591</v>
      </c>
      <c r="D241" s="382" t="s">
        <v>764</v>
      </c>
      <c r="E241" s="380">
        <v>2</v>
      </c>
      <c r="F241" s="299" t="s">
        <v>1649</v>
      </c>
      <c r="G241" s="384" t="s">
        <v>744</v>
      </c>
      <c r="H241" s="384" t="s">
        <v>1</v>
      </c>
      <c r="I241" s="395" t="s">
        <v>757</v>
      </c>
      <c r="J241" s="396" t="s">
        <v>1</v>
      </c>
      <c r="K241" s="385" t="s">
        <v>1650</v>
      </c>
      <c r="L241" s="385" t="s">
        <v>1651</v>
      </c>
      <c r="M241" s="386" t="s">
        <v>65</v>
      </c>
      <c r="N241" s="387" t="s">
        <v>1652</v>
      </c>
      <c r="O241" s="387" t="s">
        <v>1653</v>
      </c>
      <c r="P241" s="469" t="s">
        <v>1654</v>
      </c>
      <c r="Q241" s="469" t="s">
        <v>1655</v>
      </c>
      <c r="R241" s="387" t="s">
        <v>1</v>
      </c>
      <c r="S241" s="387"/>
      <c r="T241" s="380">
        <v>1</v>
      </c>
      <c r="U241" s="380">
        <v>7</v>
      </c>
      <c r="V241" s="380" t="s">
        <v>1097</v>
      </c>
      <c r="W241" s="380" t="s">
        <v>953</v>
      </c>
      <c r="X241" s="380" t="s">
        <v>1027</v>
      </c>
      <c r="Y241" s="380" t="s">
        <v>1018</v>
      </c>
      <c r="Z241" s="380" t="s">
        <v>1019</v>
      </c>
      <c r="AA241" s="380" t="s">
        <v>1</v>
      </c>
      <c r="AB241" s="380" t="s">
        <v>1</v>
      </c>
      <c r="AC241" s="380" t="s">
        <v>768</v>
      </c>
      <c r="AD241" s="380" t="s">
        <v>1</v>
      </c>
      <c r="AE241" s="397" t="s">
        <v>1</v>
      </c>
      <c r="AF241" s="44"/>
      <c r="AG241" s="44"/>
      <c r="AH241" s="44"/>
      <c r="AI241" s="44"/>
      <c r="AJ241" s="44"/>
      <c r="AK241" s="44"/>
      <c r="AL241" s="44"/>
      <c r="AM241" s="44"/>
      <c r="AN241" s="44"/>
      <c r="AO241" s="44"/>
      <c r="AP241" s="44"/>
      <c r="AQ241" s="44"/>
      <c r="AR241" s="44"/>
      <c r="AS241" s="44"/>
    </row>
    <row r="242" spans="1:45" ht="45">
      <c r="A242" s="214"/>
      <c r="B242" s="360" t="s">
        <v>436</v>
      </c>
      <c r="C242" s="372" t="s">
        <v>1591</v>
      </c>
      <c r="D242" s="382" t="s">
        <v>764</v>
      </c>
      <c r="E242" s="380">
        <v>3</v>
      </c>
      <c r="F242" s="299" t="s">
        <v>1656</v>
      </c>
      <c r="G242" s="384" t="s">
        <v>840</v>
      </c>
      <c r="H242" s="384" t="s">
        <v>1</v>
      </c>
      <c r="I242" s="395" t="s">
        <v>757</v>
      </c>
      <c r="J242" s="396" t="s">
        <v>1</v>
      </c>
      <c r="K242" s="385" t="s">
        <v>1657</v>
      </c>
      <c r="L242" s="385" t="s">
        <v>1658</v>
      </c>
      <c r="M242" s="386" t="s">
        <v>65</v>
      </c>
      <c r="N242" s="387" t="s">
        <v>1659</v>
      </c>
      <c r="O242" s="387" t="s">
        <v>1660</v>
      </c>
      <c r="P242" s="469" t="s">
        <v>1661</v>
      </c>
      <c r="Q242" s="469" t="s">
        <v>1662</v>
      </c>
      <c r="R242" s="387" t="s">
        <v>1</v>
      </c>
      <c r="S242" s="387"/>
      <c r="T242" s="380">
        <v>3</v>
      </c>
      <c r="U242" s="380">
        <v>15</v>
      </c>
      <c r="V242" s="380" t="s">
        <v>953</v>
      </c>
      <c r="W242" s="380" t="s">
        <v>953</v>
      </c>
      <c r="X242" s="380" t="s">
        <v>1027</v>
      </c>
      <c r="Y242" s="380" t="s">
        <v>1028</v>
      </c>
      <c r="Z242" s="380" t="s">
        <v>1019</v>
      </c>
      <c r="AA242" s="380" t="s">
        <v>1</v>
      </c>
      <c r="AB242" s="380" t="s">
        <v>1</v>
      </c>
      <c r="AC242" s="380" t="s">
        <v>768</v>
      </c>
      <c r="AD242" s="380" t="s">
        <v>1</v>
      </c>
      <c r="AE242" s="397" t="s">
        <v>1</v>
      </c>
      <c r="AF242" s="44"/>
      <c r="AG242" s="44"/>
      <c r="AH242" s="44"/>
      <c r="AI242" s="44"/>
      <c r="AJ242" s="44"/>
      <c r="AK242" s="44"/>
      <c r="AL242" s="44"/>
      <c r="AM242" s="44"/>
      <c r="AN242" s="44"/>
      <c r="AO242" s="44"/>
      <c r="AP242" s="44"/>
      <c r="AQ242" s="44"/>
      <c r="AR242" s="44"/>
      <c r="AS242" s="44"/>
    </row>
    <row r="243" spans="1:45" ht="45">
      <c r="A243" s="214"/>
      <c r="B243" s="360" t="s">
        <v>436</v>
      </c>
      <c r="C243" s="372" t="s">
        <v>1591</v>
      </c>
      <c r="D243" s="382" t="s">
        <v>764</v>
      </c>
      <c r="E243" s="380">
        <v>4</v>
      </c>
      <c r="F243" s="299" t="s">
        <v>1663</v>
      </c>
      <c r="G243" s="384" t="s">
        <v>840</v>
      </c>
      <c r="H243" s="384" t="s">
        <v>1</v>
      </c>
      <c r="I243" s="395" t="s">
        <v>757</v>
      </c>
      <c r="J243" s="396" t="s">
        <v>1</v>
      </c>
      <c r="K243" s="385" t="s">
        <v>1664</v>
      </c>
      <c r="L243" s="385" t="s">
        <v>1665</v>
      </c>
      <c r="M243" s="386" t="s">
        <v>65</v>
      </c>
      <c r="N243" s="387" t="s">
        <v>1666</v>
      </c>
      <c r="O243" s="387" t="s">
        <v>1667</v>
      </c>
      <c r="P243" s="469" t="s">
        <v>1668</v>
      </c>
      <c r="Q243" s="469" t="s">
        <v>1669</v>
      </c>
      <c r="R243" s="387" t="s">
        <v>1</v>
      </c>
      <c r="S243" s="387"/>
      <c r="T243" s="380">
        <v>3</v>
      </c>
      <c r="U243" s="380">
        <v>15</v>
      </c>
      <c r="V243" s="380" t="s">
        <v>953</v>
      </c>
      <c r="W243" s="380" t="s">
        <v>953</v>
      </c>
      <c r="X243" s="380" t="s">
        <v>1027</v>
      </c>
      <c r="Y243" s="380" t="s">
        <v>1028</v>
      </c>
      <c r="Z243" s="380" t="s">
        <v>1019</v>
      </c>
      <c r="AA243" s="380" t="s">
        <v>1</v>
      </c>
      <c r="AB243" s="380" t="s">
        <v>1</v>
      </c>
      <c r="AC243" s="380" t="s">
        <v>768</v>
      </c>
      <c r="AD243" s="380" t="s">
        <v>1</v>
      </c>
      <c r="AE243" s="397" t="s">
        <v>1</v>
      </c>
      <c r="AF243" s="44"/>
      <c r="AG243" s="44"/>
      <c r="AH243" s="44"/>
      <c r="AI243" s="44"/>
      <c r="AJ243" s="44"/>
      <c r="AK243" s="44"/>
      <c r="AL243" s="44"/>
      <c r="AM243" s="44"/>
      <c r="AN243" s="44"/>
      <c r="AO243" s="44"/>
      <c r="AP243" s="44"/>
      <c r="AQ243" s="44"/>
      <c r="AR243" s="44"/>
      <c r="AS243" s="44"/>
    </row>
    <row r="244" spans="1:45" ht="130.5">
      <c r="A244" s="214"/>
      <c r="B244" s="360" t="s">
        <v>436</v>
      </c>
      <c r="C244" s="372" t="s">
        <v>1591</v>
      </c>
      <c r="D244" s="383" t="s">
        <v>778</v>
      </c>
      <c r="E244" s="380">
        <v>1</v>
      </c>
      <c r="F244" s="299" t="s">
        <v>1670</v>
      </c>
      <c r="G244" s="384" t="s">
        <v>828</v>
      </c>
      <c r="H244" s="384" t="s">
        <v>1</v>
      </c>
      <c r="I244" s="395" t="s">
        <v>757</v>
      </c>
      <c r="J244" s="396" t="s">
        <v>1</v>
      </c>
      <c r="K244" s="385" t="s">
        <v>1671</v>
      </c>
      <c r="L244" s="385" t="s">
        <v>1672</v>
      </c>
      <c r="M244" s="386" t="s">
        <v>65</v>
      </c>
      <c r="N244" s="387" t="s">
        <v>1673</v>
      </c>
      <c r="O244" s="479" t="s">
        <v>1674</v>
      </c>
      <c r="P244" s="478" t="s">
        <v>1675</v>
      </c>
      <c r="Q244" s="478" t="s">
        <v>1676</v>
      </c>
      <c r="R244" s="387" t="s">
        <v>1677</v>
      </c>
      <c r="S244" s="387" t="s">
        <v>1678</v>
      </c>
      <c r="T244" s="380">
        <v>1</v>
      </c>
      <c r="U244" s="380">
        <v>7</v>
      </c>
      <c r="V244" s="380" t="s">
        <v>1097</v>
      </c>
      <c r="W244" s="380" t="s">
        <v>953</v>
      </c>
      <c r="X244" s="380" t="s">
        <v>828</v>
      </c>
      <c r="Y244" s="380" t="s">
        <v>1018</v>
      </c>
      <c r="Z244" s="380" t="s">
        <v>1019</v>
      </c>
      <c r="AA244" s="380" t="s">
        <v>1</v>
      </c>
      <c r="AB244" s="380" t="s">
        <v>1</v>
      </c>
      <c r="AC244" s="380" t="s">
        <v>768</v>
      </c>
      <c r="AD244" s="380" t="s">
        <v>1</v>
      </c>
      <c r="AE244" s="397" t="s">
        <v>1</v>
      </c>
      <c r="AF244" s="44"/>
      <c r="AG244" s="44"/>
      <c r="AH244" s="44"/>
      <c r="AI244" s="44"/>
      <c r="AJ244" s="44"/>
      <c r="AK244" s="44"/>
      <c r="AL244" s="44"/>
      <c r="AM244" s="44"/>
      <c r="AN244" s="44"/>
      <c r="AO244" s="44"/>
      <c r="AP244" s="44"/>
      <c r="AQ244" s="44"/>
      <c r="AR244" s="44"/>
      <c r="AS244" s="44"/>
    </row>
    <row r="245" spans="1:45" ht="45">
      <c r="A245" s="214"/>
      <c r="B245" s="360" t="s">
        <v>436</v>
      </c>
      <c r="C245" s="372" t="s">
        <v>1591</v>
      </c>
      <c r="D245" s="383" t="s">
        <v>778</v>
      </c>
      <c r="E245" s="380">
        <v>2</v>
      </c>
      <c r="F245" s="299" t="s">
        <v>1679</v>
      </c>
      <c r="G245" s="384" t="s">
        <v>840</v>
      </c>
      <c r="H245" s="384" t="s">
        <v>1</v>
      </c>
      <c r="I245" s="395" t="s">
        <v>757</v>
      </c>
      <c r="J245" s="396" t="s">
        <v>1</v>
      </c>
      <c r="K245" s="385" t="s">
        <v>1680</v>
      </c>
      <c r="L245" s="385" t="s">
        <v>1681</v>
      </c>
      <c r="M245" s="386" t="s">
        <v>65</v>
      </c>
      <c r="N245" s="387" t="s">
        <v>1682</v>
      </c>
      <c r="O245" s="387" t="s">
        <v>1683</v>
      </c>
      <c r="P245" s="469" t="s">
        <v>1684</v>
      </c>
      <c r="Q245" s="469" t="s">
        <v>1685</v>
      </c>
      <c r="R245" s="387" t="s">
        <v>1</v>
      </c>
      <c r="S245" s="387"/>
      <c r="T245" s="380">
        <v>3</v>
      </c>
      <c r="U245" s="380">
        <v>15</v>
      </c>
      <c r="V245" s="380" t="s">
        <v>953</v>
      </c>
      <c r="W245" s="380" t="s">
        <v>953</v>
      </c>
      <c r="X245" s="380" t="s">
        <v>1027</v>
      </c>
      <c r="Y245" s="380" t="s">
        <v>1028</v>
      </c>
      <c r="Z245" s="380" t="s">
        <v>1019</v>
      </c>
      <c r="AA245" s="380" t="s">
        <v>1</v>
      </c>
      <c r="AB245" s="380" t="s">
        <v>1</v>
      </c>
      <c r="AC245" s="380" t="s">
        <v>768</v>
      </c>
      <c r="AD245" s="380" t="s">
        <v>1</v>
      </c>
      <c r="AE245" s="397" t="s">
        <v>1</v>
      </c>
      <c r="AF245" s="44"/>
      <c r="AG245" s="44"/>
      <c r="AH245" s="44"/>
      <c r="AI245" s="44"/>
      <c r="AJ245" s="44"/>
      <c r="AK245" s="44"/>
      <c r="AL245" s="44"/>
      <c r="AM245" s="44"/>
      <c r="AN245" s="44"/>
      <c r="AO245" s="44"/>
      <c r="AP245" s="44"/>
      <c r="AQ245" s="44"/>
      <c r="AR245" s="44"/>
      <c r="AS245" s="44"/>
    </row>
    <row r="246" spans="1:45">
      <c r="A246" s="214"/>
      <c r="B246" s="360"/>
      <c r="C246" s="372"/>
      <c r="D246" s="383"/>
      <c r="E246" s="380"/>
      <c r="F246" s="299" t="str">
        <f>""&amp;Table12[[#This Row],[TTM Stage]]&amp;Table12[[#This Row],[Task No.]]&amp;"-"&amp;Table12[[#This Row],[Type of activity]]&amp;"-"&amp;Table12[[#This Row],[TargetGroup]]</f>
        <v>--</v>
      </c>
      <c r="G246" s="384"/>
      <c r="H246" s="384"/>
      <c r="I246" s="395"/>
      <c r="J246" s="396"/>
      <c r="K246" s="385"/>
      <c r="L246" s="431"/>
      <c r="M246" s="386"/>
      <c r="N246" s="387"/>
      <c r="O246" s="394"/>
      <c r="P246" s="191"/>
      <c r="Q246" s="191"/>
      <c r="R246" s="387"/>
      <c r="S246" s="394"/>
      <c r="T246" s="380"/>
      <c r="U246" s="380"/>
      <c r="V246" s="380"/>
      <c r="W246" s="380"/>
      <c r="X246" s="380"/>
      <c r="Y246" s="380"/>
      <c r="Z246" s="380"/>
      <c r="AA246" s="380"/>
      <c r="AB246" s="380"/>
      <c r="AC246" s="380"/>
      <c r="AD246" s="380"/>
      <c r="AE246" s="397"/>
      <c r="AF246" s="44"/>
      <c r="AG246" s="44"/>
      <c r="AH246" s="44"/>
      <c r="AI246" s="44"/>
      <c r="AJ246" s="44"/>
      <c r="AK246" s="44"/>
      <c r="AL246" s="44"/>
      <c r="AM246" s="44"/>
      <c r="AN246" s="44"/>
      <c r="AO246" s="44"/>
      <c r="AP246" s="44"/>
      <c r="AQ246" s="44"/>
      <c r="AR246" s="44"/>
      <c r="AS246" s="44"/>
    </row>
    <row r="247" spans="1:45" ht="45">
      <c r="A247" s="214"/>
      <c r="B247" s="360" t="s">
        <v>436</v>
      </c>
      <c r="C247" s="372" t="s">
        <v>1591</v>
      </c>
      <c r="D247" s="383" t="s">
        <v>778</v>
      </c>
      <c r="E247" s="380">
        <v>3</v>
      </c>
      <c r="F247" s="299" t="s">
        <v>1686</v>
      </c>
      <c r="G247" s="384" t="s">
        <v>744</v>
      </c>
      <c r="H247" s="384" t="s">
        <v>1</v>
      </c>
      <c r="I247" s="395" t="s">
        <v>757</v>
      </c>
      <c r="J247" s="396" t="s">
        <v>1</v>
      </c>
      <c r="K247" s="385" t="s">
        <v>1687</v>
      </c>
      <c r="L247" s="385" t="s">
        <v>1688</v>
      </c>
      <c r="M247" s="386" t="s">
        <v>65</v>
      </c>
      <c r="N247" s="387" t="s">
        <v>1689</v>
      </c>
      <c r="O247" s="387" t="s">
        <v>1690</v>
      </c>
      <c r="P247" s="469" t="s">
        <v>1691</v>
      </c>
      <c r="Q247" s="469" t="s">
        <v>1692</v>
      </c>
      <c r="R247" s="387" t="s">
        <v>1</v>
      </c>
      <c r="S247" s="387"/>
      <c r="T247" s="380">
        <v>1</v>
      </c>
      <c r="U247" s="380">
        <v>7</v>
      </c>
      <c r="V247" s="380" t="s">
        <v>1097</v>
      </c>
      <c r="W247" s="380" t="s">
        <v>953</v>
      </c>
      <c r="X247" s="380" t="s">
        <v>1027</v>
      </c>
      <c r="Y247" s="380" t="s">
        <v>1018</v>
      </c>
      <c r="Z247" s="380" t="s">
        <v>1019</v>
      </c>
      <c r="AA247" s="380" t="s">
        <v>1</v>
      </c>
      <c r="AB247" s="380" t="s">
        <v>1</v>
      </c>
      <c r="AC247" s="380" t="s">
        <v>768</v>
      </c>
      <c r="AD247" s="380" t="s">
        <v>1</v>
      </c>
      <c r="AE247" s="397" t="s">
        <v>1</v>
      </c>
      <c r="AF247" s="44"/>
      <c r="AG247" s="44"/>
      <c r="AH247" s="44"/>
      <c r="AI247" s="44"/>
      <c r="AJ247" s="44"/>
      <c r="AK247" s="44"/>
      <c r="AL247" s="44"/>
      <c r="AM247" s="44"/>
      <c r="AN247" s="44"/>
      <c r="AO247" s="44"/>
      <c r="AP247" s="44"/>
      <c r="AQ247" s="44"/>
      <c r="AR247" s="44"/>
      <c r="AS247" s="44"/>
    </row>
    <row r="248" spans="1:45" s="469" customFormat="1" ht="45">
      <c r="A248" s="214"/>
      <c r="B248" s="360" t="s">
        <v>436</v>
      </c>
      <c r="C248" s="372" t="s">
        <v>1591</v>
      </c>
      <c r="D248" s="383" t="s">
        <v>778</v>
      </c>
      <c r="E248" s="380">
        <v>4</v>
      </c>
      <c r="F248" s="299" t="s">
        <v>1693</v>
      </c>
      <c r="G248" s="384" t="s">
        <v>840</v>
      </c>
      <c r="H248" s="384" t="s">
        <v>1</v>
      </c>
      <c r="I248" s="395" t="s">
        <v>757</v>
      </c>
      <c r="J248" s="396" t="s">
        <v>1</v>
      </c>
      <c r="K248" s="385" t="s">
        <v>1694</v>
      </c>
      <c r="L248" s="385" t="s">
        <v>1695</v>
      </c>
      <c r="M248" s="386" t="s">
        <v>65</v>
      </c>
      <c r="N248" s="387" t="s">
        <v>1696</v>
      </c>
      <c r="O248" s="387" t="s">
        <v>1697</v>
      </c>
      <c r="P248" s="469" t="s">
        <v>1698</v>
      </c>
      <c r="Q248" t="s">
        <v>1699</v>
      </c>
      <c r="R248" s="387" t="s">
        <v>1</v>
      </c>
      <c r="S248" s="387"/>
      <c r="T248" s="380">
        <v>3</v>
      </c>
      <c r="U248" s="380">
        <v>15</v>
      </c>
      <c r="V248" s="380" t="s">
        <v>953</v>
      </c>
      <c r="W248" s="380" t="s">
        <v>953</v>
      </c>
      <c r="X248" s="380" t="s">
        <v>1027</v>
      </c>
      <c r="Y248" s="380" t="s">
        <v>1028</v>
      </c>
      <c r="Z248" s="380" t="s">
        <v>1019</v>
      </c>
      <c r="AA248" s="380" t="s">
        <v>1</v>
      </c>
      <c r="AB248" s="380" t="s">
        <v>1</v>
      </c>
      <c r="AC248" s="380" t="s">
        <v>768</v>
      </c>
      <c r="AD248" s="380" t="s">
        <v>1</v>
      </c>
      <c r="AE248" s="397" t="s">
        <v>1</v>
      </c>
      <c r="AF248" s="468"/>
      <c r="AG248" s="468"/>
      <c r="AH248" s="468"/>
      <c r="AI248" s="468"/>
      <c r="AJ248" s="468"/>
      <c r="AK248" s="468"/>
      <c r="AL248" s="468"/>
      <c r="AM248" s="468"/>
      <c r="AN248" s="468"/>
      <c r="AO248" s="468"/>
      <c r="AP248" s="468"/>
      <c r="AQ248" s="468"/>
      <c r="AR248" s="468"/>
      <c r="AS248" s="468"/>
    </row>
    <row r="249" spans="1:45" s="469" customFormat="1" ht="30.75">
      <c r="A249" s="456"/>
      <c r="B249" s="457" t="s">
        <v>454</v>
      </c>
      <c r="C249" s="458" t="s">
        <v>1700</v>
      </c>
      <c r="D249" s="446" t="s">
        <v>735</v>
      </c>
      <c r="E249" s="446">
        <v>1</v>
      </c>
      <c r="F249" s="460" t="s">
        <v>1701</v>
      </c>
      <c r="G249" s="461" t="s">
        <v>751</v>
      </c>
      <c r="H249" s="461" t="s">
        <v>1</v>
      </c>
      <c r="I249" s="462" t="s">
        <v>757</v>
      </c>
      <c r="J249" s="463" t="s">
        <v>1</v>
      </c>
      <c r="K249" s="464" t="s">
        <v>1702</v>
      </c>
      <c r="L249" s="464" t="s">
        <v>1703</v>
      </c>
      <c r="M249" s="465" t="s">
        <v>65</v>
      </c>
      <c r="N249" s="466" t="s">
        <v>1704</v>
      </c>
      <c r="O249" s="466" t="s">
        <v>1705</v>
      </c>
      <c r="P249" s="466"/>
      <c r="Q249" s="466"/>
      <c r="R249" s="466" t="s">
        <v>1706</v>
      </c>
      <c r="S249" s="466"/>
      <c r="T249" s="446">
        <v>1</v>
      </c>
      <c r="U249" s="446">
        <v>7</v>
      </c>
      <c r="V249" s="446" t="s">
        <v>1097</v>
      </c>
      <c r="W249" s="446" t="s">
        <v>953</v>
      </c>
      <c r="X249" s="446" t="s">
        <v>1027</v>
      </c>
      <c r="Y249" s="446" t="s">
        <v>1707</v>
      </c>
      <c r="Z249" s="446" t="s">
        <v>1019</v>
      </c>
      <c r="AA249" s="446" t="s">
        <v>1</v>
      </c>
      <c r="AB249" s="446" t="s">
        <v>1</v>
      </c>
      <c r="AC249" s="446" t="s">
        <v>768</v>
      </c>
      <c r="AD249" s="446" t="s">
        <v>1</v>
      </c>
      <c r="AE249" s="467" t="s">
        <v>1</v>
      </c>
      <c r="AF249" s="468"/>
      <c r="AG249" s="468"/>
      <c r="AH249" s="468"/>
      <c r="AI249" s="468"/>
      <c r="AJ249" s="468"/>
      <c r="AK249" s="468"/>
      <c r="AL249" s="468"/>
      <c r="AM249" s="468"/>
      <c r="AN249" s="468"/>
      <c r="AO249" s="468"/>
      <c r="AP249" s="468"/>
      <c r="AQ249" s="468"/>
      <c r="AR249" s="468"/>
      <c r="AS249" s="468"/>
    </row>
    <row r="250" spans="1:45" ht="30.75">
      <c r="A250" s="456"/>
      <c r="B250" s="457" t="s">
        <v>454</v>
      </c>
      <c r="C250" s="458" t="s">
        <v>1700</v>
      </c>
      <c r="D250" s="446" t="s">
        <v>735</v>
      </c>
      <c r="E250" s="446">
        <v>2</v>
      </c>
      <c r="F250" s="460" t="s">
        <v>1708</v>
      </c>
      <c r="G250" s="461" t="s">
        <v>840</v>
      </c>
      <c r="H250" s="461" t="s">
        <v>1</v>
      </c>
      <c r="I250" s="462" t="s">
        <v>757</v>
      </c>
      <c r="J250" s="463" t="s">
        <v>1</v>
      </c>
      <c r="K250" s="464" t="s">
        <v>1709</v>
      </c>
      <c r="L250" s="464" t="s">
        <v>1710</v>
      </c>
      <c r="M250" s="465" t="s">
        <v>65</v>
      </c>
      <c r="N250" s="466" t="s">
        <v>1711</v>
      </c>
      <c r="O250" s="466" t="s">
        <v>1712</v>
      </c>
      <c r="P250" s="466"/>
      <c r="Q250" s="466"/>
      <c r="R250" s="466" t="s">
        <v>1</v>
      </c>
      <c r="S250" s="466"/>
      <c r="T250" s="446">
        <v>3</v>
      </c>
      <c r="U250" s="446">
        <v>15</v>
      </c>
      <c r="V250" s="446" t="s">
        <v>953</v>
      </c>
      <c r="W250" s="446" t="s">
        <v>953</v>
      </c>
      <c r="X250" s="446" t="s">
        <v>1027</v>
      </c>
      <c r="Y250" s="446" t="s">
        <v>1028</v>
      </c>
      <c r="Z250" s="446" t="s">
        <v>1019</v>
      </c>
      <c r="AA250" s="446" t="s">
        <v>1</v>
      </c>
      <c r="AB250" s="446" t="s">
        <v>1</v>
      </c>
      <c r="AC250" s="446" t="s">
        <v>768</v>
      </c>
      <c r="AD250" s="446" t="s">
        <v>1</v>
      </c>
      <c r="AE250" s="467" t="s">
        <v>1</v>
      </c>
      <c r="AF250" s="44"/>
      <c r="AG250" s="44"/>
      <c r="AH250" s="44"/>
      <c r="AI250" s="44"/>
      <c r="AJ250" s="44"/>
      <c r="AK250" s="44"/>
      <c r="AL250" s="44"/>
      <c r="AM250" s="44"/>
      <c r="AN250" s="44"/>
      <c r="AO250" s="44"/>
      <c r="AP250" s="44"/>
      <c r="AQ250" s="44"/>
      <c r="AR250" s="44"/>
      <c r="AS250" s="44"/>
    </row>
    <row r="251" spans="1:45" ht="45">
      <c r="A251" s="214"/>
      <c r="B251" s="361" t="s">
        <v>454</v>
      </c>
      <c r="C251" s="373" t="s">
        <v>1700</v>
      </c>
      <c r="D251" s="380" t="s">
        <v>743</v>
      </c>
      <c r="E251" s="380">
        <v>1</v>
      </c>
      <c r="F251" s="299" t="s">
        <v>1713</v>
      </c>
      <c r="G251" s="384" t="s">
        <v>744</v>
      </c>
      <c r="H251" s="384" t="s">
        <v>1</v>
      </c>
      <c r="I251" s="395" t="s">
        <v>757</v>
      </c>
      <c r="J251" s="396" t="s">
        <v>1</v>
      </c>
      <c r="K251" s="385" t="s">
        <v>1714</v>
      </c>
      <c r="L251" s="385" t="s">
        <v>1715</v>
      </c>
      <c r="M251" s="386" t="s">
        <v>65</v>
      </c>
      <c r="N251" s="387" t="s">
        <v>1716</v>
      </c>
      <c r="O251" s="387" t="s">
        <v>1717</v>
      </c>
      <c r="P251" s="478" t="s">
        <v>1718</v>
      </c>
      <c r="Q251" s="478" t="s">
        <v>1719</v>
      </c>
      <c r="R251" s="387" t="s">
        <v>1</v>
      </c>
      <c r="S251" s="387"/>
      <c r="T251" s="380">
        <v>1</v>
      </c>
      <c r="U251" s="380">
        <v>7</v>
      </c>
      <c r="V251" s="380" t="s">
        <v>1097</v>
      </c>
      <c r="W251" s="380" t="s">
        <v>953</v>
      </c>
      <c r="X251" s="380" t="s">
        <v>1027</v>
      </c>
      <c r="Y251" s="380" t="s">
        <v>1707</v>
      </c>
      <c r="Z251" s="380" t="s">
        <v>1019</v>
      </c>
      <c r="AA251" s="380" t="s">
        <v>1</v>
      </c>
      <c r="AB251" s="380" t="s">
        <v>1</v>
      </c>
      <c r="AC251" s="380" t="s">
        <v>768</v>
      </c>
      <c r="AD251" s="380" t="s">
        <v>1</v>
      </c>
      <c r="AE251" s="397" t="s">
        <v>1</v>
      </c>
      <c r="AF251" s="44"/>
      <c r="AG251" s="44"/>
      <c r="AH251" s="44"/>
      <c r="AI251" s="44"/>
      <c r="AJ251" s="44"/>
      <c r="AK251" s="44"/>
      <c r="AL251" s="44"/>
      <c r="AM251" s="44"/>
      <c r="AN251" s="44"/>
      <c r="AO251" s="44"/>
      <c r="AP251" s="44"/>
      <c r="AQ251" s="44"/>
      <c r="AR251" s="44"/>
      <c r="AS251" s="44"/>
    </row>
    <row r="252" spans="1:45" ht="45">
      <c r="A252" s="214"/>
      <c r="B252" s="361" t="s">
        <v>454</v>
      </c>
      <c r="C252" s="373" t="s">
        <v>1700</v>
      </c>
      <c r="D252" s="380" t="s">
        <v>743</v>
      </c>
      <c r="E252" s="380">
        <v>2</v>
      </c>
      <c r="F252" s="299" t="s">
        <v>1720</v>
      </c>
      <c r="G252" s="384" t="s">
        <v>840</v>
      </c>
      <c r="H252" s="384" t="s">
        <v>1</v>
      </c>
      <c r="I252" s="395" t="s">
        <v>757</v>
      </c>
      <c r="J252" s="396" t="s">
        <v>1</v>
      </c>
      <c r="K252" s="385" t="s">
        <v>1721</v>
      </c>
      <c r="L252" s="385" t="s">
        <v>1722</v>
      </c>
      <c r="M252" s="386" t="s">
        <v>65</v>
      </c>
      <c r="N252" s="387" t="s">
        <v>1723</v>
      </c>
      <c r="O252" s="387" t="s">
        <v>1724</v>
      </c>
      <c r="P252" t="s">
        <v>1725</v>
      </c>
      <c r="Q252" t="s">
        <v>1726</v>
      </c>
      <c r="R252" s="387" t="s">
        <v>1</v>
      </c>
      <c r="S252" s="387"/>
      <c r="T252" s="380">
        <v>3</v>
      </c>
      <c r="U252" s="380">
        <v>15</v>
      </c>
      <c r="V252" s="380" t="s">
        <v>953</v>
      </c>
      <c r="W252" s="380" t="s">
        <v>953</v>
      </c>
      <c r="X252" s="380" t="s">
        <v>1027</v>
      </c>
      <c r="Y252" s="380" t="s">
        <v>1028</v>
      </c>
      <c r="Z252" s="380" t="s">
        <v>1019</v>
      </c>
      <c r="AA252" s="380" t="s">
        <v>1</v>
      </c>
      <c r="AB252" s="380" t="s">
        <v>1</v>
      </c>
      <c r="AC252" s="380" t="s">
        <v>768</v>
      </c>
      <c r="AD252" s="380" t="s">
        <v>1</v>
      </c>
      <c r="AE252" s="397" t="s">
        <v>1</v>
      </c>
      <c r="AF252" s="44"/>
      <c r="AG252" s="44"/>
      <c r="AH252" s="44"/>
      <c r="AI252" s="44"/>
      <c r="AJ252" s="44"/>
      <c r="AK252" s="44"/>
      <c r="AL252" s="44"/>
      <c r="AM252" s="44"/>
      <c r="AN252" s="44"/>
      <c r="AO252" s="44"/>
      <c r="AP252" s="44"/>
      <c r="AQ252" s="44"/>
      <c r="AR252" s="44"/>
      <c r="AS252" s="44"/>
    </row>
    <row r="253" spans="1:45" ht="45">
      <c r="A253" s="214"/>
      <c r="B253" s="361" t="s">
        <v>454</v>
      </c>
      <c r="C253" s="373" t="s">
        <v>1700</v>
      </c>
      <c r="D253" s="381" t="s">
        <v>750</v>
      </c>
      <c r="E253" s="380">
        <v>1</v>
      </c>
      <c r="F253" s="299" t="s">
        <v>1727</v>
      </c>
      <c r="G253" s="384" t="s">
        <v>744</v>
      </c>
      <c r="H253" s="384" t="s">
        <v>1</v>
      </c>
      <c r="I253" s="395" t="s">
        <v>757</v>
      </c>
      <c r="J253" s="396" t="s">
        <v>1</v>
      </c>
      <c r="K253" s="385" t="s">
        <v>1728</v>
      </c>
      <c r="L253" s="385" t="s">
        <v>1729</v>
      </c>
      <c r="M253" s="386" t="s">
        <v>65</v>
      </c>
      <c r="N253" s="387" t="s">
        <v>1730</v>
      </c>
      <c r="O253" s="387" t="s">
        <v>1731</v>
      </c>
      <c r="P253" s="469" t="s">
        <v>1732</v>
      </c>
      <c r="Q253" s="469" t="s">
        <v>1733</v>
      </c>
      <c r="R253" s="387" t="s">
        <v>1</v>
      </c>
      <c r="S253" s="387"/>
      <c r="T253" s="380">
        <v>1</v>
      </c>
      <c r="U253" s="380">
        <v>7</v>
      </c>
      <c r="V253" s="380" t="s">
        <v>1097</v>
      </c>
      <c r="W253" s="380" t="s">
        <v>953</v>
      </c>
      <c r="X253" s="380" t="s">
        <v>1027</v>
      </c>
      <c r="Y253" s="380" t="s">
        <v>1707</v>
      </c>
      <c r="Z253" s="380" t="s">
        <v>1019</v>
      </c>
      <c r="AA253" s="380" t="s">
        <v>1</v>
      </c>
      <c r="AB253" s="380" t="s">
        <v>1</v>
      </c>
      <c r="AC253" s="380" t="s">
        <v>768</v>
      </c>
      <c r="AD253" s="380" t="s">
        <v>1</v>
      </c>
      <c r="AE253" s="397" t="s">
        <v>1</v>
      </c>
      <c r="AF253" s="44"/>
      <c r="AG253" s="44"/>
      <c r="AH253" s="44"/>
      <c r="AI253" s="44"/>
      <c r="AJ253" s="44"/>
      <c r="AK253" s="44"/>
      <c r="AL253" s="44"/>
      <c r="AM253" s="44"/>
      <c r="AN253" s="44"/>
      <c r="AO253" s="44"/>
      <c r="AP253" s="44"/>
      <c r="AQ253" s="44"/>
      <c r="AR253" s="44"/>
      <c r="AS253" s="44"/>
    </row>
    <row r="254" spans="1:45" ht="30.75">
      <c r="A254" s="214"/>
      <c r="B254" s="361" t="s">
        <v>454</v>
      </c>
      <c r="C254" s="373" t="s">
        <v>1700</v>
      </c>
      <c r="D254" s="381" t="s">
        <v>750</v>
      </c>
      <c r="E254" s="380">
        <v>2</v>
      </c>
      <c r="F254" s="299" t="s">
        <v>1734</v>
      </c>
      <c r="G254" s="384" t="s">
        <v>793</v>
      </c>
      <c r="H254" s="384" t="s">
        <v>1</v>
      </c>
      <c r="I254" s="395" t="s">
        <v>757</v>
      </c>
      <c r="J254" s="396" t="s">
        <v>1</v>
      </c>
      <c r="K254" s="385" t="s">
        <v>1735</v>
      </c>
      <c r="L254" s="385" t="s">
        <v>1736</v>
      </c>
      <c r="M254" s="386" t="s">
        <v>65</v>
      </c>
      <c r="N254" s="387" t="s">
        <v>1737</v>
      </c>
      <c r="O254" s="387" t="s">
        <v>1738</v>
      </c>
      <c r="P254" s="485" t="s">
        <v>1739</v>
      </c>
      <c r="Q254" s="469" t="s">
        <v>1740</v>
      </c>
      <c r="R254" s="387" t="s">
        <v>1</v>
      </c>
      <c r="S254" s="387"/>
      <c r="T254" s="380">
        <v>1</v>
      </c>
      <c r="U254" s="380">
        <v>7</v>
      </c>
      <c r="V254" s="380" t="s">
        <v>1097</v>
      </c>
      <c r="W254" s="380" t="s">
        <v>953</v>
      </c>
      <c r="X254" s="380" t="s">
        <v>1027</v>
      </c>
      <c r="Y254" s="380" t="s">
        <v>1707</v>
      </c>
      <c r="Z254" s="380" t="s">
        <v>1019</v>
      </c>
      <c r="AA254" s="380" t="s">
        <v>1</v>
      </c>
      <c r="AB254" s="380" t="s">
        <v>1</v>
      </c>
      <c r="AC254" s="380" t="s">
        <v>768</v>
      </c>
      <c r="AD254" s="380" t="s">
        <v>1</v>
      </c>
      <c r="AE254" s="397" t="s">
        <v>1</v>
      </c>
      <c r="AF254" s="44"/>
      <c r="AG254" s="44"/>
      <c r="AH254" s="44"/>
      <c r="AI254" s="44"/>
      <c r="AJ254" s="44"/>
      <c r="AK254" s="44"/>
      <c r="AL254" s="44"/>
      <c r="AM254" s="44"/>
      <c r="AN254" s="44"/>
      <c r="AO254" s="44"/>
      <c r="AP254" s="44"/>
      <c r="AQ254" s="44"/>
      <c r="AR254" s="44"/>
      <c r="AS254" s="44"/>
    </row>
    <row r="255" spans="1:45" ht="45">
      <c r="A255" s="214"/>
      <c r="B255" s="361" t="s">
        <v>454</v>
      </c>
      <c r="C255" s="373" t="s">
        <v>1700</v>
      </c>
      <c r="D255" s="382" t="s">
        <v>764</v>
      </c>
      <c r="E255" s="380">
        <v>1</v>
      </c>
      <c r="F255" s="299" t="s">
        <v>1741</v>
      </c>
      <c r="G255" s="384" t="s">
        <v>840</v>
      </c>
      <c r="H255" s="384" t="s">
        <v>1</v>
      </c>
      <c r="I255" s="395" t="s">
        <v>757</v>
      </c>
      <c r="J255" s="396" t="s">
        <v>1</v>
      </c>
      <c r="K255" s="385" t="s">
        <v>1742</v>
      </c>
      <c r="L255" s="385" t="s">
        <v>1743</v>
      </c>
      <c r="M255" s="386" t="s">
        <v>65</v>
      </c>
      <c r="N255" s="387" t="s">
        <v>1744</v>
      </c>
      <c r="O255" s="387" t="s">
        <v>1745</v>
      </c>
      <c r="P255" s="469" t="s">
        <v>1746</v>
      </c>
      <c r="Q255" s="469" t="s">
        <v>1747</v>
      </c>
      <c r="R255" s="387" t="s">
        <v>1</v>
      </c>
      <c r="S255" s="387"/>
      <c r="T255" s="380">
        <v>3</v>
      </c>
      <c r="U255" s="380">
        <v>15</v>
      </c>
      <c r="V255" s="380" t="s">
        <v>953</v>
      </c>
      <c r="W255" s="380" t="s">
        <v>953</v>
      </c>
      <c r="X255" s="380" t="s">
        <v>1027</v>
      </c>
      <c r="Y255" s="380" t="s">
        <v>1028</v>
      </c>
      <c r="Z255" s="380" t="s">
        <v>1019</v>
      </c>
      <c r="AA255" s="380" t="s">
        <v>1</v>
      </c>
      <c r="AB255" s="380" t="s">
        <v>1</v>
      </c>
      <c r="AC255" s="380" t="s">
        <v>768</v>
      </c>
      <c r="AD255" s="380" t="s">
        <v>1</v>
      </c>
      <c r="AE255" s="397" t="s">
        <v>1</v>
      </c>
      <c r="AF255" s="44"/>
      <c r="AG255" s="44"/>
      <c r="AH255" s="44"/>
      <c r="AI255" s="44"/>
      <c r="AJ255" s="44"/>
      <c r="AK255" s="44"/>
      <c r="AL255" s="44"/>
      <c r="AM255" s="44"/>
      <c r="AN255" s="44"/>
      <c r="AO255" s="44"/>
      <c r="AP255" s="44"/>
      <c r="AQ255" s="44"/>
      <c r="AR255" s="44"/>
      <c r="AS255" s="44"/>
    </row>
    <row r="256" spans="1:45" ht="45">
      <c r="A256" s="214"/>
      <c r="B256" s="361" t="s">
        <v>454</v>
      </c>
      <c r="C256" s="373" t="s">
        <v>1700</v>
      </c>
      <c r="D256" s="382" t="s">
        <v>764</v>
      </c>
      <c r="E256" s="380">
        <v>3</v>
      </c>
      <c r="F256" s="299" t="s">
        <v>1748</v>
      </c>
      <c r="G256" s="384" t="s">
        <v>744</v>
      </c>
      <c r="H256" s="384" t="s">
        <v>1</v>
      </c>
      <c r="I256" s="395" t="s">
        <v>757</v>
      </c>
      <c r="J256" s="396" t="s">
        <v>1</v>
      </c>
      <c r="K256" s="385" t="s">
        <v>1749</v>
      </c>
      <c r="L256" s="385" t="s">
        <v>1750</v>
      </c>
      <c r="M256" s="386" t="s">
        <v>65</v>
      </c>
      <c r="N256" s="387" t="s">
        <v>1751</v>
      </c>
      <c r="O256" s="387" t="s">
        <v>1752</v>
      </c>
      <c r="P256" s="469" t="s">
        <v>1753</v>
      </c>
      <c r="Q256" s="469" t="s">
        <v>1754</v>
      </c>
      <c r="R256" s="387" t="s">
        <v>1</v>
      </c>
      <c r="S256" s="387"/>
      <c r="T256" s="380">
        <v>1</v>
      </c>
      <c r="U256" s="380">
        <v>7</v>
      </c>
      <c r="V256" s="380" t="s">
        <v>1097</v>
      </c>
      <c r="W256" s="380" t="s">
        <v>953</v>
      </c>
      <c r="X256" s="380" t="s">
        <v>1027</v>
      </c>
      <c r="Y256" s="380" t="s">
        <v>1707</v>
      </c>
      <c r="Z256" s="380" t="s">
        <v>1019</v>
      </c>
      <c r="AA256" s="380" t="s">
        <v>1</v>
      </c>
      <c r="AB256" s="380" t="s">
        <v>1</v>
      </c>
      <c r="AC256" s="380" t="s">
        <v>768</v>
      </c>
      <c r="AD256" s="380" t="s">
        <v>1</v>
      </c>
      <c r="AE256" s="397" t="s">
        <v>1</v>
      </c>
      <c r="AF256" s="44"/>
      <c r="AG256" s="44"/>
      <c r="AH256" s="44"/>
      <c r="AI256" s="44"/>
      <c r="AJ256" s="44"/>
      <c r="AK256" s="44"/>
      <c r="AL256" s="44"/>
      <c r="AM256" s="44"/>
      <c r="AN256" s="44"/>
      <c r="AO256" s="44"/>
      <c r="AP256" s="44"/>
      <c r="AQ256" s="44"/>
      <c r="AR256" s="44"/>
      <c r="AS256" s="44"/>
    </row>
    <row r="257" spans="1:45" ht="30.75">
      <c r="A257" s="214"/>
      <c r="B257" s="361" t="s">
        <v>454</v>
      </c>
      <c r="C257" s="373" t="s">
        <v>1700</v>
      </c>
      <c r="D257" s="382" t="s">
        <v>764</v>
      </c>
      <c r="E257" s="380">
        <v>4</v>
      </c>
      <c r="F257" s="299" t="s">
        <v>1755</v>
      </c>
      <c r="G257" s="384" t="s">
        <v>840</v>
      </c>
      <c r="H257" s="384" t="s">
        <v>1</v>
      </c>
      <c r="I257" s="395" t="s">
        <v>757</v>
      </c>
      <c r="J257" s="396" t="s">
        <v>1</v>
      </c>
      <c r="K257" s="385" t="s">
        <v>1756</v>
      </c>
      <c r="L257" s="385" t="s">
        <v>1757</v>
      </c>
      <c r="M257" s="386" t="s">
        <v>65</v>
      </c>
      <c r="N257" s="387" t="s">
        <v>1758</v>
      </c>
      <c r="O257" s="387" t="s">
        <v>1759</v>
      </c>
      <c r="P257" s="469" t="s">
        <v>1760</v>
      </c>
      <c r="Q257" s="469" t="s">
        <v>1761</v>
      </c>
      <c r="R257" s="387" t="s">
        <v>1</v>
      </c>
      <c r="S257" s="387"/>
      <c r="T257" s="380">
        <v>3</v>
      </c>
      <c r="U257" s="380">
        <v>15</v>
      </c>
      <c r="V257" s="380" t="s">
        <v>1762</v>
      </c>
      <c r="W257" s="380" t="s">
        <v>953</v>
      </c>
      <c r="X257" s="380" t="s">
        <v>1027</v>
      </c>
      <c r="Y257" s="380" t="s">
        <v>1028</v>
      </c>
      <c r="Z257" s="380" t="s">
        <v>1019</v>
      </c>
      <c r="AA257" s="380" t="s">
        <v>1</v>
      </c>
      <c r="AB257" s="380" t="s">
        <v>1</v>
      </c>
      <c r="AC257" s="380" t="s">
        <v>768</v>
      </c>
      <c r="AD257" s="380" t="s">
        <v>1</v>
      </c>
      <c r="AE257" s="397" t="s">
        <v>1</v>
      </c>
      <c r="AF257" s="44"/>
      <c r="AG257" s="44"/>
      <c r="AH257" s="44"/>
      <c r="AI257" s="44"/>
      <c r="AJ257" s="44"/>
      <c r="AK257" s="44"/>
      <c r="AL257" s="44"/>
      <c r="AM257" s="44"/>
      <c r="AN257" s="44"/>
      <c r="AO257" s="44"/>
      <c r="AP257" s="44"/>
      <c r="AQ257" s="44"/>
      <c r="AR257" s="44"/>
      <c r="AS257" s="44"/>
    </row>
    <row r="258" spans="1:45" ht="30.75">
      <c r="A258" s="214"/>
      <c r="B258" s="361" t="s">
        <v>454</v>
      </c>
      <c r="C258" s="373" t="s">
        <v>1700</v>
      </c>
      <c r="D258" s="383" t="s">
        <v>778</v>
      </c>
      <c r="E258" s="380">
        <v>1</v>
      </c>
      <c r="F258" s="299" t="s">
        <v>1763</v>
      </c>
      <c r="G258" s="384" t="s">
        <v>840</v>
      </c>
      <c r="H258" s="384" t="s">
        <v>1</v>
      </c>
      <c r="I258" s="395" t="s">
        <v>757</v>
      </c>
      <c r="J258" s="396" t="s">
        <v>1</v>
      </c>
      <c r="K258" s="385" t="s">
        <v>1764</v>
      </c>
      <c r="L258" s="385" t="s">
        <v>1765</v>
      </c>
      <c r="M258" s="386" t="s">
        <v>65</v>
      </c>
      <c r="N258" s="387" t="s">
        <v>1766</v>
      </c>
      <c r="O258" s="387" t="s">
        <v>1767</v>
      </c>
      <c r="P258" s="469" t="s">
        <v>1768</v>
      </c>
      <c r="Q258" s="469" t="s">
        <v>1769</v>
      </c>
      <c r="R258" s="387" t="s">
        <v>1</v>
      </c>
      <c r="S258" s="387"/>
      <c r="T258" s="380">
        <v>3</v>
      </c>
      <c r="U258" s="380">
        <v>15</v>
      </c>
      <c r="V258" s="380" t="s">
        <v>1762</v>
      </c>
      <c r="W258" s="380" t="s">
        <v>953</v>
      </c>
      <c r="X258" s="380" t="s">
        <v>1027</v>
      </c>
      <c r="Y258" s="380" t="s">
        <v>1028</v>
      </c>
      <c r="Z258" s="380" t="s">
        <v>1019</v>
      </c>
      <c r="AA258" s="380" t="s">
        <v>1</v>
      </c>
      <c r="AB258" s="380" t="s">
        <v>1</v>
      </c>
      <c r="AC258" s="380" t="s">
        <v>768</v>
      </c>
      <c r="AD258" s="380" t="s">
        <v>1</v>
      </c>
      <c r="AE258" s="397" t="s">
        <v>1</v>
      </c>
      <c r="AF258" s="44"/>
      <c r="AG258" s="44"/>
      <c r="AH258" s="44"/>
      <c r="AI258" s="44"/>
      <c r="AJ258" s="44"/>
      <c r="AK258" s="44"/>
      <c r="AL258" s="44"/>
      <c r="AM258" s="44"/>
      <c r="AN258" s="44"/>
      <c r="AO258" s="44"/>
      <c r="AP258" s="44"/>
      <c r="AQ258" s="44"/>
      <c r="AR258" s="44"/>
      <c r="AS258" s="44"/>
    </row>
    <row r="259" spans="1:45" ht="45">
      <c r="A259" s="214"/>
      <c r="B259" s="361" t="s">
        <v>454</v>
      </c>
      <c r="C259" s="373" t="s">
        <v>1700</v>
      </c>
      <c r="D259" s="383" t="s">
        <v>778</v>
      </c>
      <c r="E259" s="380">
        <v>2</v>
      </c>
      <c r="F259" s="299" t="s">
        <v>1770</v>
      </c>
      <c r="G259" s="384" t="s">
        <v>744</v>
      </c>
      <c r="H259" s="384" t="s">
        <v>1</v>
      </c>
      <c r="I259" s="395" t="s">
        <v>757</v>
      </c>
      <c r="J259" s="396" t="s">
        <v>1</v>
      </c>
      <c r="K259" s="385" t="s">
        <v>1771</v>
      </c>
      <c r="L259" s="385" t="s">
        <v>1772</v>
      </c>
      <c r="M259" s="386" t="s">
        <v>65</v>
      </c>
      <c r="N259" s="387" t="s">
        <v>1773</v>
      </c>
      <c r="O259" s="387" t="s">
        <v>1774</v>
      </c>
      <c r="P259" s="469" t="s">
        <v>1775</v>
      </c>
      <c r="Q259" s="469" t="s">
        <v>1776</v>
      </c>
      <c r="R259" s="387" t="s">
        <v>1</v>
      </c>
      <c r="S259" s="387"/>
      <c r="T259" s="380">
        <v>1</v>
      </c>
      <c r="U259" s="380">
        <v>7</v>
      </c>
      <c r="V259" s="380" t="s">
        <v>1097</v>
      </c>
      <c r="W259" s="380" t="s">
        <v>953</v>
      </c>
      <c r="X259" s="380" t="s">
        <v>1027</v>
      </c>
      <c r="Y259" s="380" t="s">
        <v>1707</v>
      </c>
      <c r="Z259" s="380" t="s">
        <v>1019</v>
      </c>
      <c r="AA259" s="380" t="s">
        <v>1</v>
      </c>
      <c r="AB259" s="380" t="s">
        <v>1</v>
      </c>
      <c r="AC259" s="380" t="s">
        <v>768</v>
      </c>
      <c r="AD259" s="380" t="s">
        <v>1</v>
      </c>
      <c r="AE259" s="397" t="s">
        <v>1</v>
      </c>
      <c r="AF259" s="44"/>
      <c r="AG259" s="44"/>
      <c r="AH259" s="44"/>
      <c r="AI259" s="44"/>
      <c r="AJ259" s="44"/>
      <c r="AK259" s="44"/>
      <c r="AL259" s="44"/>
      <c r="AM259" s="44"/>
      <c r="AN259" s="44"/>
      <c r="AO259" s="44"/>
      <c r="AP259" s="44"/>
      <c r="AQ259" s="44"/>
      <c r="AR259" s="44"/>
      <c r="AS259" s="44"/>
    </row>
    <row r="260" spans="1:45" ht="30.75">
      <c r="A260" s="214"/>
      <c r="B260" s="361" t="s">
        <v>454</v>
      </c>
      <c r="C260" s="373" t="s">
        <v>1700</v>
      </c>
      <c r="D260" s="383" t="s">
        <v>778</v>
      </c>
      <c r="E260" s="380">
        <v>3</v>
      </c>
      <c r="F260" s="299" t="s">
        <v>1777</v>
      </c>
      <c r="G260" s="384" t="s">
        <v>840</v>
      </c>
      <c r="H260" s="384" t="s">
        <v>1</v>
      </c>
      <c r="I260" s="395" t="s">
        <v>757</v>
      </c>
      <c r="J260" s="396" t="s">
        <v>1</v>
      </c>
      <c r="K260" s="385" t="s">
        <v>1778</v>
      </c>
      <c r="L260" s="385" t="s">
        <v>1779</v>
      </c>
      <c r="M260" s="386" t="s">
        <v>65</v>
      </c>
      <c r="N260" s="387" t="s">
        <v>1780</v>
      </c>
      <c r="O260" s="387" t="s">
        <v>1781</v>
      </c>
      <c r="P260" s="469" t="s">
        <v>1782</v>
      </c>
      <c r="Q260" t="s">
        <v>1783</v>
      </c>
      <c r="R260" s="387" t="s">
        <v>1</v>
      </c>
      <c r="S260" s="387"/>
      <c r="T260" s="380">
        <v>3</v>
      </c>
      <c r="U260" s="380">
        <v>15</v>
      </c>
      <c r="V260" s="380" t="s">
        <v>1762</v>
      </c>
      <c r="W260" s="380" t="s">
        <v>953</v>
      </c>
      <c r="X260" s="380" t="s">
        <v>1027</v>
      </c>
      <c r="Y260" s="380" t="s">
        <v>1028</v>
      </c>
      <c r="Z260" s="380" t="s">
        <v>1019</v>
      </c>
      <c r="AA260" s="380" t="s">
        <v>1</v>
      </c>
      <c r="AB260" s="380" t="s">
        <v>1</v>
      </c>
      <c r="AC260" s="380" t="s">
        <v>768</v>
      </c>
      <c r="AD260" s="380" t="s">
        <v>1</v>
      </c>
      <c r="AE260" s="397" t="s">
        <v>1</v>
      </c>
      <c r="AF260" s="44"/>
      <c r="AG260" s="44"/>
      <c r="AH260" s="44"/>
      <c r="AI260" s="44"/>
      <c r="AJ260" s="44"/>
      <c r="AK260" s="44"/>
      <c r="AL260" s="44"/>
      <c r="AM260" s="44"/>
      <c r="AN260" s="44"/>
      <c r="AO260" s="44"/>
      <c r="AP260" s="44"/>
      <c r="AQ260" s="44"/>
      <c r="AR260" s="44"/>
      <c r="AS260" s="44"/>
    </row>
    <row r="261" spans="1:45" ht="30.75">
      <c r="A261" s="214"/>
      <c r="B261" s="361" t="s">
        <v>454</v>
      </c>
      <c r="C261" s="373" t="s">
        <v>1700</v>
      </c>
      <c r="D261" s="383" t="s">
        <v>778</v>
      </c>
      <c r="E261" s="380">
        <v>4</v>
      </c>
      <c r="F261" s="299" t="s">
        <v>1784</v>
      </c>
      <c r="G261" s="384" t="s">
        <v>840</v>
      </c>
      <c r="H261" s="384" t="s">
        <v>1</v>
      </c>
      <c r="I261" s="395" t="s">
        <v>757</v>
      </c>
      <c r="J261" s="396" t="s">
        <v>1</v>
      </c>
      <c r="K261" s="385" t="s">
        <v>1785</v>
      </c>
      <c r="L261" s="385" t="s">
        <v>1786</v>
      </c>
      <c r="M261" s="386" t="s">
        <v>65</v>
      </c>
      <c r="N261" s="387" t="s">
        <v>1787</v>
      </c>
      <c r="O261" s="387" t="s">
        <v>1788</v>
      </c>
      <c r="P261" t="s">
        <v>1789</v>
      </c>
      <c r="Q261" t="s">
        <v>1790</v>
      </c>
      <c r="R261" s="387" t="s">
        <v>1</v>
      </c>
      <c r="S261" s="387"/>
      <c r="T261" s="380">
        <v>3</v>
      </c>
      <c r="U261" s="380">
        <v>15</v>
      </c>
      <c r="V261" s="380" t="s">
        <v>1762</v>
      </c>
      <c r="W261" s="380" t="s">
        <v>953</v>
      </c>
      <c r="X261" s="380" t="s">
        <v>1027</v>
      </c>
      <c r="Y261" s="380" t="s">
        <v>1028</v>
      </c>
      <c r="Z261" s="380" t="s">
        <v>1019</v>
      </c>
      <c r="AA261" s="380" t="s">
        <v>1</v>
      </c>
      <c r="AB261" s="380" t="s">
        <v>1</v>
      </c>
      <c r="AC261" s="380" t="s">
        <v>768</v>
      </c>
      <c r="AD261" s="380" t="s">
        <v>1</v>
      </c>
      <c r="AE261" s="397" t="s">
        <v>1</v>
      </c>
      <c r="AF261" s="44"/>
      <c r="AG261" s="44"/>
      <c r="AH261" s="44"/>
      <c r="AI261" s="44"/>
      <c r="AJ261" s="44"/>
      <c r="AK261" s="44"/>
      <c r="AL261" s="44"/>
      <c r="AM261" s="44"/>
      <c r="AN261" s="44"/>
      <c r="AO261" s="44"/>
      <c r="AP261" s="44"/>
      <c r="AQ261" s="44"/>
      <c r="AR261" s="44"/>
      <c r="AS261" s="44"/>
    </row>
    <row r="262" spans="1:45" ht="45">
      <c r="A262" s="214"/>
      <c r="B262" s="361" t="s">
        <v>454</v>
      </c>
      <c r="C262" s="373" t="s">
        <v>1791</v>
      </c>
      <c r="D262" s="379" t="s">
        <v>735</v>
      </c>
      <c r="E262" s="380">
        <v>1</v>
      </c>
      <c r="F262" s="299" t="s">
        <v>1792</v>
      </c>
      <c r="G262" s="384" t="s">
        <v>744</v>
      </c>
      <c r="H262" s="384" t="s">
        <v>1</v>
      </c>
      <c r="I262" s="395" t="s">
        <v>757</v>
      </c>
      <c r="J262" s="396" t="s">
        <v>1</v>
      </c>
      <c r="K262" s="385" t="s">
        <v>1793</v>
      </c>
      <c r="L262" s="385" t="s">
        <v>1794</v>
      </c>
      <c r="M262" s="386" t="s">
        <v>65</v>
      </c>
      <c r="N262" s="387" t="s">
        <v>1795</v>
      </c>
      <c r="O262" s="387" t="s">
        <v>1796</v>
      </c>
      <c r="P262" s="469" t="s">
        <v>1797</v>
      </c>
      <c r="Q262" s="469" t="s">
        <v>1798</v>
      </c>
      <c r="R262" s="387" t="s">
        <v>1</v>
      </c>
      <c r="S262" s="387"/>
      <c r="T262" s="380">
        <v>1</v>
      </c>
      <c r="U262" s="380">
        <v>7</v>
      </c>
      <c r="V262" s="380" t="s">
        <v>1097</v>
      </c>
      <c r="W262" s="380" t="s">
        <v>953</v>
      </c>
      <c r="X262" s="380" t="s">
        <v>1027</v>
      </c>
      <c r="Y262" s="380" t="s">
        <v>1707</v>
      </c>
      <c r="Z262" s="380" t="s">
        <v>1019</v>
      </c>
      <c r="AA262" s="380" t="s">
        <v>1</v>
      </c>
      <c r="AB262" s="380" t="s">
        <v>1</v>
      </c>
      <c r="AC262" s="380" t="s">
        <v>768</v>
      </c>
      <c r="AD262" s="380" t="s">
        <v>1</v>
      </c>
      <c r="AE262" s="397" t="s">
        <v>1</v>
      </c>
      <c r="AF262" s="44"/>
      <c r="AG262" s="44"/>
      <c r="AH262" s="44"/>
      <c r="AI262" s="44"/>
      <c r="AJ262" s="44"/>
      <c r="AK262" s="44"/>
      <c r="AL262" s="44"/>
      <c r="AM262" s="44"/>
      <c r="AN262" s="44"/>
      <c r="AO262" s="44"/>
      <c r="AP262" s="44"/>
      <c r="AQ262" s="44"/>
      <c r="AR262" s="44"/>
      <c r="AS262" s="44"/>
    </row>
    <row r="263" spans="1:45">
      <c r="A263" s="214"/>
      <c r="B263" s="361"/>
      <c r="C263" s="373"/>
      <c r="D263" s="379"/>
      <c r="E263" s="380"/>
      <c r="F263" s="299" t="str">
        <f>""&amp;Table12[[#This Row],[TTM Stage]]&amp;Table12[[#This Row],[Task No.]]&amp;"-"&amp;Table12[[#This Row],[Type of activity]]&amp;"-"&amp;Table12[[#This Row],[TargetGroup]]</f>
        <v>--</v>
      </c>
      <c r="G263" s="384"/>
      <c r="H263" s="384"/>
      <c r="I263" s="395"/>
      <c r="J263" s="396"/>
      <c r="K263" s="385"/>
      <c r="L263" s="431"/>
      <c r="M263" s="386"/>
      <c r="N263" s="387"/>
      <c r="O263" s="394"/>
      <c r="P263" s="191"/>
      <c r="Q263" s="191"/>
      <c r="R263" s="387"/>
      <c r="S263" s="394"/>
      <c r="T263" s="380"/>
      <c r="U263" s="380"/>
      <c r="V263" s="380"/>
      <c r="W263" s="380"/>
      <c r="X263" s="380"/>
      <c r="Y263" s="380"/>
      <c r="Z263" s="380"/>
      <c r="AA263" s="380"/>
      <c r="AB263" s="380"/>
      <c r="AC263" s="380"/>
      <c r="AD263" s="380"/>
      <c r="AE263" s="397"/>
      <c r="AF263" s="44"/>
      <c r="AG263" s="44"/>
      <c r="AH263" s="44"/>
      <c r="AI263" s="44"/>
      <c r="AJ263" s="44"/>
      <c r="AK263" s="44"/>
      <c r="AL263" s="44"/>
      <c r="AM263" s="44"/>
      <c r="AN263" s="44"/>
      <c r="AO263" s="44"/>
      <c r="AP263" s="44"/>
      <c r="AQ263" s="44"/>
      <c r="AR263" s="44"/>
      <c r="AS263" s="44"/>
    </row>
    <row r="264" spans="1:45" ht="159">
      <c r="A264" s="214"/>
      <c r="B264" s="361" t="s">
        <v>454</v>
      </c>
      <c r="C264" s="373" t="s">
        <v>1791</v>
      </c>
      <c r="D264" s="379" t="s">
        <v>735</v>
      </c>
      <c r="E264" s="380">
        <v>2</v>
      </c>
      <c r="F264" s="299" t="s">
        <v>1799</v>
      </c>
      <c r="G264" s="384" t="s">
        <v>828</v>
      </c>
      <c r="H264" s="384" t="s">
        <v>1</v>
      </c>
      <c r="I264" s="395" t="s">
        <v>757</v>
      </c>
      <c r="J264" s="396" t="s">
        <v>1</v>
      </c>
      <c r="K264" s="385" t="s">
        <v>1800</v>
      </c>
      <c r="L264" s="385" t="s">
        <v>1801</v>
      </c>
      <c r="M264" s="386" t="s">
        <v>65</v>
      </c>
      <c r="N264" s="387" t="s">
        <v>1802</v>
      </c>
      <c r="O264" s="387" t="s">
        <v>1803</v>
      </c>
      <c r="P264" s="478" t="s">
        <v>1804</v>
      </c>
      <c r="Q264" t="s">
        <v>1805</v>
      </c>
      <c r="R264" s="387" t="s">
        <v>1806</v>
      </c>
      <c r="S264" s="387" t="s">
        <v>1807</v>
      </c>
      <c r="T264" s="380">
        <v>1</v>
      </c>
      <c r="U264" s="380">
        <v>7</v>
      </c>
      <c r="V264" s="380" t="s">
        <v>1097</v>
      </c>
      <c r="W264" s="380" t="s">
        <v>953</v>
      </c>
      <c r="X264" s="380" t="s">
        <v>828</v>
      </c>
      <c r="Y264" s="380" t="s">
        <v>1018</v>
      </c>
      <c r="Z264" s="380" t="s">
        <v>1019</v>
      </c>
      <c r="AA264" s="380" t="s">
        <v>1</v>
      </c>
      <c r="AB264" s="380" t="s">
        <v>1</v>
      </c>
      <c r="AC264" s="380" t="s">
        <v>768</v>
      </c>
      <c r="AD264" s="380" t="s">
        <v>1</v>
      </c>
      <c r="AE264" s="397" t="s">
        <v>1</v>
      </c>
      <c r="AF264" s="44"/>
      <c r="AG264" s="44"/>
      <c r="AH264" s="44"/>
      <c r="AI264" s="44"/>
      <c r="AJ264" s="44"/>
      <c r="AK264" s="44"/>
      <c r="AL264" s="44"/>
      <c r="AM264" s="44"/>
      <c r="AN264" s="44"/>
      <c r="AO264" s="44"/>
      <c r="AP264" s="44"/>
      <c r="AQ264" s="44"/>
      <c r="AR264" s="44"/>
      <c r="AS264" s="44"/>
    </row>
    <row r="265" spans="1:45" ht="45">
      <c r="A265" s="214"/>
      <c r="B265" s="361" t="s">
        <v>454</v>
      </c>
      <c r="C265" s="373" t="s">
        <v>1791</v>
      </c>
      <c r="D265" s="380" t="s">
        <v>743</v>
      </c>
      <c r="E265" s="380">
        <v>1</v>
      </c>
      <c r="F265" s="299" t="s">
        <v>1808</v>
      </c>
      <c r="G265" s="384" t="s">
        <v>744</v>
      </c>
      <c r="H265" s="384" t="s">
        <v>1</v>
      </c>
      <c r="I265" s="395" t="s">
        <v>757</v>
      </c>
      <c r="J265" s="396" t="s">
        <v>1</v>
      </c>
      <c r="K265" s="385" t="s">
        <v>1809</v>
      </c>
      <c r="L265" s="385" t="s">
        <v>1810</v>
      </c>
      <c r="M265" s="386" t="s">
        <v>65</v>
      </c>
      <c r="N265" s="387" t="s">
        <v>1811</v>
      </c>
      <c r="O265" s="387" t="s">
        <v>1812</v>
      </c>
      <c r="P265" s="469" t="s">
        <v>1813</v>
      </c>
      <c r="Q265" s="469" t="s">
        <v>1814</v>
      </c>
      <c r="R265" s="387" t="s">
        <v>1</v>
      </c>
      <c r="S265" s="387"/>
      <c r="T265" s="380">
        <v>1</v>
      </c>
      <c r="U265" s="380">
        <v>7</v>
      </c>
      <c r="V265" s="380" t="s">
        <v>1097</v>
      </c>
      <c r="W265" s="380" t="s">
        <v>953</v>
      </c>
      <c r="X265" s="380" t="s">
        <v>1027</v>
      </c>
      <c r="Y265" s="380" t="s">
        <v>1707</v>
      </c>
      <c r="Z265" s="380" t="s">
        <v>1019</v>
      </c>
      <c r="AA265" s="380" t="s">
        <v>1</v>
      </c>
      <c r="AB265" s="380" t="s">
        <v>1</v>
      </c>
      <c r="AC265" s="380" t="s">
        <v>768</v>
      </c>
      <c r="AD265" s="380" t="s">
        <v>1</v>
      </c>
      <c r="AE265" s="397" t="s">
        <v>1</v>
      </c>
      <c r="AF265" s="44"/>
      <c r="AG265" s="44"/>
      <c r="AH265" s="44"/>
      <c r="AI265" s="44"/>
      <c r="AJ265" s="44"/>
      <c r="AK265" s="44"/>
      <c r="AL265" s="44"/>
      <c r="AM265" s="44"/>
      <c r="AN265" s="44"/>
      <c r="AO265" s="44"/>
      <c r="AP265" s="44"/>
      <c r="AQ265" s="44"/>
      <c r="AR265" s="44"/>
      <c r="AS265" s="44"/>
    </row>
    <row r="266" spans="1:45" ht="30.75">
      <c r="A266" s="214"/>
      <c r="B266" s="361" t="s">
        <v>454</v>
      </c>
      <c r="C266" s="373" t="s">
        <v>1791</v>
      </c>
      <c r="D266" s="380" t="s">
        <v>743</v>
      </c>
      <c r="E266" s="380">
        <v>2</v>
      </c>
      <c r="F266" s="299" t="s">
        <v>1815</v>
      </c>
      <c r="G266" s="384" t="s">
        <v>793</v>
      </c>
      <c r="H266" s="384" t="s">
        <v>1</v>
      </c>
      <c r="I266" s="395" t="s">
        <v>757</v>
      </c>
      <c r="J266" s="396" t="s">
        <v>1</v>
      </c>
      <c r="K266" s="385" t="s">
        <v>1816</v>
      </c>
      <c r="L266" s="385" t="s">
        <v>1817</v>
      </c>
      <c r="M266" s="386" t="s">
        <v>65</v>
      </c>
      <c r="N266" s="387" t="s">
        <v>1818</v>
      </c>
      <c r="O266" s="387" t="s">
        <v>1819</v>
      </c>
      <c r="P266" s="469" t="s">
        <v>1820</v>
      </c>
      <c r="Q266" s="469" t="s">
        <v>1821</v>
      </c>
      <c r="R266" s="387" t="s">
        <v>1</v>
      </c>
      <c r="S266" s="387"/>
      <c r="T266" s="380">
        <v>1</v>
      </c>
      <c r="U266" s="380">
        <v>7</v>
      </c>
      <c r="V266" s="380" t="s">
        <v>1097</v>
      </c>
      <c r="W266" s="380" t="s">
        <v>953</v>
      </c>
      <c r="X266" s="380" t="s">
        <v>1027</v>
      </c>
      <c r="Y266" s="380" t="s">
        <v>1707</v>
      </c>
      <c r="Z266" s="380" t="s">
        <v>1019</v>
      </c>
      <c r="AA266" s="380" t="s">
        <v>1</v>
      </c>
      <c r="AB266" s="380" t="s">
        <v>1</v>
      </c>
      <c r="AC266" s="380" t="s">
        <v>768</v>
      </c>
      <c r="AD266" s="380" t="s">
        <v>1</v>
      </c>
      <c r="AE266" s="397" t="s">
        <v>1</v>
      </c>
      <c r="AF266" s="44"/>
      <c r="AG266" s="44"/>
      <c r="AH266" s="44"/>
      <c r="AI266" s="44"/>
      <c r="AJ266" s="44"/>
      <c r="AK266" s="44"/>
      <c r="AL266" s="44"/>
      <c r="AM266" s="44"/>
      <c r="AN266" s="44"/>
      <c r="AO266" s="44"/>
      <c r="AP266" s="44"/>
      <c r="AQ266" s="44"/>
      <c r="AR266" s="44"/>
      <c r="AS266" s="44"/>
    </row>
    <row r="267" spans="1:45" ht="45">
      <c r="A267" s="214"/>
      <c r="B267" s="361" t="s">
        <v>454</v>
      </c>
      <c r="C267" s="373" t="s">
        <v>1791</v>
      </c>
      <c r="D267" s="381" t="s">
        <v>750</v>
      </c>
      <c r="E267" s="380">
        <v>1</v>
      </c>
      <c r="F267" s="299" t="s">
        <v>1822</v>
      </c>
      <c r="G267" s="384" t="s">
        <v>793</v>
      </c>
      <c r="H267" s="384" t="s">
        <v>1</v>
      </c>
      <c r="I267" s="395" t="s">
        <v>757</v>
      </c>
      <c r="J267" s="396" t="s">
        <v>1</v>
      </c>
      <c r="K267" s="385" t="s">
        <v>1823</v>
      </c>
      <c r="L267" s="385" t="s">
        <v>1824</v>
      </c>
      <c r="M267" s="386" t="s">
        <v>65</v>
      </c>
      <c r="N267" s="387" t="s">
        <v>1825</v>
      </c>
      <c r="O267" s="387" t="s">
        <v>1826</v>
      </c>
      <c r="P267" s="469" t="s">
        <v>1827</v>
      </c>
      <c r="Q267" s="469" t="s">
        <v>1828</v>
      </c>
      <c r="R267" s="387" t="s">
        <v>1</v>
      </c>
      <c r="S267" s="387"/>
      <c r="T267" s="380">
        <v>1</v>
      </c>
      <c r="U267" s="380">
        <v>7</v>
      </c>
      <c r="V267" s="380" t="s">
        <v>1097</v>
      </c>
      <c r="W267" s="380" t="s">
        <v>953</v>
      </c>
      <c r="X267" s="380" t="s">
        <v>1027</v>
      </c>
      <c r="Y267" s="380" t="s">
        <v>1707</v>
      </c>
      <c r="Z267" s="380" t="s">
        <v>1019</v>
      </c>
      <c r="AA267" s="380" t="s">
        <v>1</v>
      </c>
      <c r="AB267" s="380" t="s">
        <v>1</v>
      </c>
      <c r="AC267" s="380" t="s">
        <v>768</v>
      </c>
      <c r="AD267" s="380" t="s">
        <v>1</v>
      </c>
      <c r="AE267" s="397" t="s">
        <v>1</v>
      </c>
      <c r="AF267" s="44"/>
      <c r="AG267" s="44"/>
      <c r="AH267" s="44"/>
      <c r="AI267" s="44"/>
      <c r="AJ267" s="44"/>
      <c r="AK267" s="44"/>
      <c r="AL267" s="44"/>
      <c r="AM267" s="44"/>
      <c r="AN267" s="44"/>
      <c r="AO267" s="44"/>
      <c r="AP267" s="44"/>
      <c r="AQ267" s="44"/>
      <c r="AR267" s="44"/>
      <c r="AS267" s="44"/>
    </row>
    <row r="268" spans="1:45" ht="45">
      <c r="A268" s="214"/>
      <c r="B268" s="361" t="s">
        <v>454</v>
      </c>
      <c r="C268" s="373" t="s">
        <v>1791</v>
      </c>
      <c r="D268" s="381" t="s">
        <v>750</v>
      </c>
      <c r="E268" s="380">
        <v>2</v>
      </c>
      <c r="F268" s="299" t="s">
        <v>1829</v>
      </c>
      <c r="G268" s="384" t="s">
        <v>744</v>
      </c>
      <c r="H268" s="384" t="s">
        <v>1</v>
      </c>
      <c r="I268" s="395" t="s">
        <v>757</v>
      </c>
      <c r="J268" s="396" t="s">
        <v>1</v>
      </c>
      <c r="K268" s="385" t="s">
        <v>1830</v>
      </c>
      <c r="L268" s="385" t="s">
        <v>1831</v>
      </c>
      <c r="M268" s="386" t="s">
        <v>65</v>
      </c>
      <c r="N268" s="387" t="s">
        <v>1832</v>
      </c>
      <c r="O268" s="387" t="s">
        <v>1833</v>
      </c>
      <c r="P268" s="469" t="s">
        <v>1834</v>
      </c>
      <c r="Q268" s="469" t="s">
        <v>1835</v>
      </c>
      <c r="R268" s="387" t="s">
        <v>1</v>
      </c>
      <c r="S268" s="387"/>
      <c r="T268" s="380">
        <v>1</v>
      </c>
      <c r="U268" s="380">
        <v>7</v>
      </c>
      <c r="V268" s="380" t="s">
        <v>1097</v>
      </c>
      <c r="W268" s="380" t="s">
        <v>953</v>
      </c>
      <c r="X268" s="380" t="s">
        <v>1027</v>
      </c>
      <c r="Y268" s="380" t="s">
        <v>1707</v>
      </c>
      <c r="Z268" s="380" t="s">
        <v>1019</v>
      </c>
      <c r="AA268" s="380" t="s">
        <v>1</v>
      </c>
      <c r="AB268" s="380" t="s">
        <v>1</v>
      </c>
      <c r="AC268" s="380" t="s">
        <v>768</v>
      </c>
      <c r="AD268" s="380" t="s">
        <v>1</v>
      </c>
      <c r="AE268" s="397" t="s">
        <v>1</v>
      </c>
      <c r="AF268" s="44"/>
      <c r="AG268" s="44"/>
      <c r="AH268" s="44"/>
      <c r="AI268" s="44"/>
      <c r="AJ268" s="44"/>
      <c r="AK268" s="44"/>
      <c r="AL268" s="44"/>
      <c r="AM268" s="44"/>
      <c r="AN268" s="44"/>
      <c r="AO268" s="44"/>
      <c r="AP268" s="44"/>
      <c r="AQ268" s="44"/>
      <c r="AR268" s="44"/>
      <c r="AS268" s="44"/>
    </row>
    <row r="269" spans="1:45" ht="45">
      <c r="A269" s="214"/>
      <c r="B269" s="361" t="s">
        <v>454</v>
      </c>
      <c r="C269" s="373" t="s">
        <v>1791</v>
      </c>
      <c r="D269" s="382" t="s">
        <v>764</v>
      </c>
      <c r="E269" s="380">
        <v>1</v>
      </c>
      <c r="F269" s="299" t="s">
        <v>1836</v>
      </c>
      <c r="G269" s="384" t="s">
        <v>793</v>
      </c>
      <c r="H269" s="384" t="s">
        <v>1</v>
      </c>
      <c r="I269" s="395" t="s">
        <v>757</v>
      </c>
      <c r="J269" s="396" t="s">
        <v>1</v>
      </c>
      <c r="K269" s="385" t="s">
        <v>1837</v>
      </c>
      <c r="L269" s="385" t="s">
        <v>1838</v>
      </c>
      <c r="M269" s="386" t="s">
        <v>65</v>
      </c>
      <c r="N269" s="387" t="s">
        <v>1839</v>
      </c>
      <c r="O269" s="387" t="s">
        <v>1840</v>
      </c>
      <c r="P269" s="469" t="s">
        <v>1841</v>
      </c>
      <c r="Q269" s="469" t="s">
        <v>1842</v>
      </c>
      <c r="R269" s="387" t="s">
        <v>1</v>
      </c>
      <c r="S269" s="387"/>
      <c r="T269" s="380">
        <v>1</v>
      </c>
      <c r="U269" s="380">
        <v>7</v>
      </c>
      <c r="V269" s="380" t="s">
        <v>1097</v>
      </c>
      <c r="W269" s="380" t="s">
        <v>953</v>
      </c>
      <c r="X269" s="380" t="s">
        <v>1027</v>
      </c>
      <c r="Y269" s="380" t="s">
        <v>1707</v>
      </c>
      <c r="Z269" s="380" t="s">
        <v>1019</v>
      </c>
      <c r="AA269" s="380" t="s">
        <v>1</v>
      </c>
      <c r="AB269" s="380" t="s">
        <v>1</v>
      </c>
      <c r="AC269" s="380" t="s">
        <v>768</v>
      </c>
      <c r="AD269" s="380" t="s">
        <v>1</v>
      </c>
      <c r="AE269" s="397" t="s">
        <v>1</v>
      </c>
      <c r="AF269" s="44"/>
      <c r="AG269" s="44"/>
      <c r="AH269" s="44"/>
      <c r="AI269" s="44"/>
      <c r="AJ269" s="44"/>
      <c r="AK269" s="44"/>
      <c r="AL269" s="44"/>
      <c r="AM269" s="44"/>
      <c r="AN269" s="44"/>
      <c r="AO269" s="44"/>
      <c r="AP269" s="44"/>
      <c r="AQ269" s="44"/>
      <c r="AR269" s="44"/>
      <c r="AS269" s="44"/>
    </row>
    <row r="270" spans="1:45" ht="45">
      <c r="A270" s="214"/>
      <c r="B270" s="361" t="s">
        <v>454</v>
      </c>
      <c r="C270" s="373" t="s">
        <v>1791</v>
      </c>
      <c r="D270" s="382" t="s">
        <v>764</v>
      </c>
      <c r="E270" s="380">
        <v>2</v>
      </c>
      <c r="F270" s="299" t="s">
        <v>1843</v>
      </c>
      <c r="G270" s="384" t="s">
        <v>840</v>
      </c>
      <c r="H270" s="384" t="s">
        <v>1</v>
      </c>
      <c r="I270" s="395" t="s">
        <v>757</v>
      </c>
      <c r="J270" s="396" t="s">
        <v>1</v>
      </c>
      <c r="K270" s="385" t="s">
        <v>1844</v>
      </c>
      <c r="L270" s="385" t="s">
        <v>1845</v>
      </c>
      <c r="M270" s="386" t="s">
        <v>65</v>
      </c>
      <c r="N270" s="387" t="s">
        <v>1846</v>
      </c>
      <c r="O270" s="387" t="s">
        <v>1847</v>
      </c>
      <c r="P270" t="s">
        <v>1848</v>
      </c>
      <c r="Q270" t="s">
        <v>1849</v>
      </c>
      <c r="R270" s="387" t="s">
        <v>1</v>
      </c>
      <c r="S270" s="387"/>
      <c r="T270" s="380">
        <v>3</v>
      </c>
      <c r="U270" s="380">
        <v>15</v>
      </c>
      <c r="V270" s="380" t="s">
        <v>1762</v>
      </c>
      <c r="W270" s="380" t="s">
        <v>953</v>
      </c>
      <c r="X270" s="380" t="s">
        <v>1027</v>
      </c>
      <c r="Y270" s="380" t="s">
        <v>1028</v>
      </c>
      <c r="Z270" s="380" t="s">
        <v>1019</v>
      </c>
      <c r="AA270" s="380" t="s">
        <v>1</v>
      </c>
      <c r="AB270" s="380" t="s">
        <v>1</v>
      </c>
      <c r="AC270" s="380" t="s">
        <v>768</v>
      </c>
      <c r="AD270" s="380" t="s">
        <v>1</v>
      </c>
      <c r="AE270" s="397" t="s">
        <v>1</v>
      </c>
      <c r="AF270" s="44"/>
      <c r="AG270" s="44"/>
      <c r="AH270" s="44"/>
      <c r="AI270" s="44"/>
      <c r="AJ270" s="44"/>
      <c r="AK270" s="44"/>
      <c r="AL270" s="44"/>
      <c r="AM270" s="44"/>
      <c r="AN270" s="44"/>
      <c r="AO270" s="44"/>
      <c r="AP270" s="44"/>
      <c r="AQ270" s="44"/>
      <c r="AR270" s="44"/>
      <c r="AS270" s="44"/>
    </row>
    <row r="271" spans="1:45">
      <c r="A271" s="214"/>
      <c r="B271" s="361"/>
      <c r="C271" s="373"/>
      <c r="D271" s="382"/>
      <c r="E271" s="380"/>
      <c r="F271" s="299" t="str">
        <f>""&amp;Table12[[#This Row],[TTM Stage]]&amp;Table12[[#This Row],[Task No.]]&amp;"-"&amp;Table12[[#This Row],[Type of activity]]&amp;"-"&amp;Table12[[#This Row],[TargetGroup]]</f>
        <v>--</v>
      </c>
      <c r="G271" s="384"/>
      <c r="H271" s="384"/>
      <c r="I271" s="395"/>
      <c r="J271" s="396"/>
      <c r="K271" s="385"/>
      <c r="L271" s="431"/>
      <c r="M271" s="386"/>
      <c r="N271" s="387"/>
      <c r="O271" s="394"/>
      <c r="P271" s="191"/>
      <c r="Q271" s="191"/>
      <c r="R271" s="387"/>
      <c r="S271" s="394"/>
      <c r="T271" s="380"/>
      <c r="U271" s="380"/>
      <c r="V271" s="380"/>
      <c r="W271" s="380"/>
      <c r="X271" s="380"/>
      <c r="Y271" s="380"/>
      <c r="Z271" s="380"/>
      <c r="AA271" s="380"/>
      <c r="AB271" s="380"/>
      <c r="AC271" s="380"/>
      <c r="AD271" s="380"/>
      <c r="AE271" s="397"/>
      <c r="AF271" s="44"/>
      <c r="AG271" s="44"/>
      <c r="AH271" s="44"/>
      <c r="AI271" s="44"/>
      <c r="AJ271" s="44"/>
      <c r="AK271" s="44"/>
      <c r="AL271" s="44"/>
      <c r="AM271" s="44"/>
      <c r="AN271" s="44"/>
      <c r="AO271" s="44"/>
      <c r="AP271" s="44"/>
      <c r="AQ271" s="44"/>
      <c r="AR271" s="44"/>
      <c r="AS271" s="44"/>
    </row>
    <row r="272" spans="1:45" ht="45">
      <c r="A272" s="214"/>
      <c r="B272" s="361" t="s">
        <v>454</v>
      </c>
      <c r="C272" s="373" t="s">
        <v>1791</v>
      </c>
      <c r="D272" s="382" t="s">
        <v>764</v>
      </c>
      <c r="E272" s="380">
        <v>3</v>
      </c>
      <c r="F272" s="299" t="s">
        <v>1850</v>
      </c>
      <c r="G272" s="384" t="s">
        <v>744</v>
      </c>
      <c r="H272" s="384" t="s">
        <v>1</v>
      </c>
      <c r="I272" s="395" t="s">
        <v>757</v>
      </c>
      <c r="J272" s="396" t="s">
        <v>1</v>
      </c>
      <c r="K272" s="385" t="s">
        <v>1851</v>
      </c>
      <c r="L272" s="385" t="s">
        <v>1852</v>
      </c>
      <c r="M272" s="386" t="s">
        <v>65</v>
      </c>
      <c r="N272" s="387" t="s">
        <v>1853</v>
      </c>
      <c r="O272" s="387" t="s">
        <v>1854</v>
      </c>
      <c r="P272" t="s">
        <v>1855</v>
      </c>
      <c r="Q272" t="s">
        <v>1856</v>
      </c>
      <c r="R272" s="387" t="s">
        <v>1</v>
      </c>
      <c r="S272" s="387"/>
      <c r="T272" s="380">
        <v>1</v>
      </c>
      <c r="U272" s="380">
        <v>7</v>
      </c>
      <c r="V272" s="380" t="s">
        <v>1097</v>
      </c>
      <c r="W272" s="380" t="s">
        <v>953</v>
      </c>
      <c r="X272" s="380" t="s">
        <v>1027</v>
      </c>
      <c r="Y272" s="380" t="s">
        <v>1707</v>
      </c>
      <c r="Z272" s="380" t="s">
        <v>1019</v>
      </c>
      <c r="AA272" s="380" t="s">
        <v>1</v>
      </c>
      <c r="AB272" s="380" t="s">
        <v>1</v>
      </c>
      <c r="AC272" s="380" t="s">
        <v>768</v>
      </c>
      <c r="AD272" s="380" t="s">
        <v>1</v>
      </c>
      <c r="AE272" s="397" t="s">
        <v>1</v>
      </c>
      <c r="AF272" s="44"/>
      <c r="AG272" s="44"/>
      <c r="AH272" s="44"/>
      <c r="AI272" s="44"/>
      <c r="AJ272" s="44"/>
      <c r="AK272" s="44"/>
      <c r="AL272" s="44"/>
      <c r="AM272" s="44"/>
      <c r="AN272" s="44"/>
      <c r="AO272" s="44"/>
      <c r="AP272" s="44"/>
      <c r="AQ272" s="44"/>
      <c r="AR272" s="44"/>
      <c r="AS272" s="44"/>
    </row>
    <row r="273" spans="1:45" ht="45">
      <c r="A273" s="214"/>
      <c r="B273" s="361" t="s">
        <v>454</v>
      </c>
      <c r="C273" s="373" t="s">
        <v>1791</v>
      </c>
      <c r="D273" s="382" t="s">
        <v>764</v>
      </c>
      <c r="E273" s="380">
        <v>4</v>
      </c>
      <c r="F273" s="299" t="s">
        <v>1857</v>
      </c>
      <c r="G273" s="384" t="s">
        <v>744</v>
      </c>
      <c r="H273" s="384" t="s">
        <v>1</v>
      </c>
      <c r="I273" s="395" t="s">
        <v>757</v>
      </c>
      <c r="J273" s="396" t="s">
        <v>1</v>
      </c>
      <c r="K273" s="385" t="s">
        <v>1858</v>
      </c>
      <c r="L273" s="385" t="s">
        <v>1859</v>
      </c>
      <c r="M273" s="386" t="s">
        <v>65</v>
      </c>
      <c r="N273" s="387" t="s">
        <v>1860</v>
      </c>
      <c r="O273" s="387" t="s">
        <v>1861</v>
      </c>
      <c r="P273" s="469" t="s">
        <v>1862</v>
      </c>
      <c r="Q273" s="469" t="s">
        <v>1863</v>
      </c>
      <c r="R273" s="387" t="s">
        <v>1</v>
      </c>
      <c r="S273" s="387"/>
      <c r="T273" s="380">
        <v>1</v>
      </c>
      <c r="U273" s="380">
        <v>7</v>
      </c>
      <c r="V273" s="380" t="s">
        <v>1097</v>
      </c>
      <c r="W273" s="380" t="s">
        <v>953</v>
      </c>
      <c r="X273" s="380" t="s">
        <v>1027</v>
      </c>
      <c r="Y273" s="380" t="s">
        <v>1707</v>
      </c>
      <c r="Z273" s="380" t="s">
        <v>1019</v>
      </c>
      <c r="AA273" s="380" t="s">
        <v>1</v>
      </c>
      <c r="AB273" s="380" t="s">
        <v>1</v>
      </c>
      <c r="AC273" s="380" t="s">
        <v>768</v>
      </c>
      <c r="AD273" s="380" t="s">
        <v>1</v>
      </c>
      <c r="AE273" s="397" t="s">
        <v>1</v>
      </c>
      <c r="AF273" s="44"/>
      <c r="AG273" s="44"/>
      <c r="AH273" s="44"/>
      <c r="AI273" s="44"/>
      <c r="AJ273" s="44"/>
      <c r="AK273" s="44"/>
      <c r="AL273" s="44"/>
      <c r="AM273" s="44"/>
      <c r="AN273" s="44"/>
      <c r="AO273" s="44"/>
      <c r="AP273" s="44"/>
      <c r="AQ273" s="44"/>
      <c r="AR273" s="44"/>
      <c r="AS273" s="44"/>
    </row>
    <row r="274" spans="1:45" ht="45">
      <c r="A274" s="214"/>
      <c r="B274" s="361" t="s">
        <v>454</v>
      </c>
      <c r="C274" s="373" t="s">
        <v>1791</v>
      </c>
      <c r="D274" s="383" t="s">
        <v>778</v>
      </c>
      <c r="E274" s="380">
        <v>1</v>
      </c>
      <c r="F274" s="299" t="s">
        <v>1864</v>
      </c>
      <c r="G274" s="384" t="s">
        <v>840</v>
      </c>
      <c r="H274" s="384" t="s">
        <v>1</v>
      </c>
      <c r="I274" s="395" t="s">
        <v>757</v>
      </c>
      <c r="J274" s="396" t="s">
        <v>1</v>
      </c>
      <c r="K274" s="385" t="s">
        <v>1865</v>
      </c>
      <c r="L274" s="385" t="s">
        <v>1866</v>
      </c>
      <c r="M274" s="386" t="s">
        <v>65</v>
      </c>
      <c r="N274" s="387" t="s">
        <v>1867</v>
      </c>
      <c r="O274" s="387" t="s">
        <v>1868</v>
      </c>
      <c r="P274" t="s">
        <v>1869</v>
      </c>
      <c r="Q274" t="s">
        <v>1870</v>
      </c>
      <c r="R274" s="387" t="s">
        <v>1</v>
      </c>
      <c r="S274" s="387"/>
      <c r="T274" s="380">
        <v>3</v>
      </c>
      <c r="U274" s="380">
        <v>15</v>
      </c>
      <c r="V274" s="380" t="s">
        <v>1762</v>
      </c>
      <c r="W274" s="380" t="s">
        <v>953</v>
      </c>
      <c r="X274" s="380" t="s">
        <v>1027</v>
      </c>
      <c r="Y274" s="380" t="s">
        <v>1028</v>
      </c>
      <c r="Z274" s="380" t="s">
        <v>1019</v>
      </c>
      <c r="AA274" s="380" t="s">
        <v>1</v>
      </c>
      <c r="AB274" s="380" t="s">
        <v>1</v>
      </c>
      <c r="AC274" s="380" t="s">
        <v>768</v>
      </c>
      <c r="AD274" s="380" t="s">
        <v>1</v>
      </c>
      <c r="AE274" s="397" t="s">
        <v>1</v>
      </c>
      <c r="AF274" s="44"/>
      <c r="AG274" s="44"/>
      <c r="AH274" s="44"/>
      <c r="AI274" s="44"/>
      <c r="AJ274" s="44"/>
      <c r="AK274" s="44"/>
      <c r="AL274" s="44"/>
      <c r="AM274" s="44"/>
      <c r="AN274" s="44"/>
      <c r="AO274" s="44"/>
      <c r="AP274" s="44"/>
      <c r="AQ274" s="44"/>
      <c r="AR274" s="44"/>
      <c r="AS274" s="44"/>
    </row>
    <row r="275" spans="1:45" ht="45">
      <c r="A275" s="214"/>
      <c r="B275" s="361" t="s">
        <v>454</v>
      </c>
      <c r="C275" s="373" t="s">
        <v>1791</v>
      </c>
      <c r="D275" s="383" t="s">
        <v>778</v>
      </c>
      <c r="E275" s="380">
        <v>2</v>
      </c>
      <c r="F275" s="299" t="s">
        <v>1871</v>
      </c>
      <c r="G275" s="384" t="s">
        <v>744</v>
      </c>
      <c r="H275" s="384" t="s">
        <v>1</v>
      </c>
      <c r="I275" s="395" t="s">
        <v>757</v>
      </c>
      <c r="J275" s="396" t="s">
        <v>1</v>
      </c>
      <c r="K275" s="385" t="s">
        <v>1872</v>
      </c>
      <c r="L275" s="385" t="s">
        <v>1873</v>
      </c>
      <c r="M275" s="386" t="s">
        <v>65</v>
      </c>
      <c r="N275" s="387" t="s">
        <v>1874</v>
      </c>
      <c r="O275" s="387" t="s">
        <v>1875</v>
      </c>
      <c r="P275" t="s">
        <v>1876</v>
      </c>
      <c r="Q275" t="s">
        <v>1877</v>
      </c>
      <c r="R275" s="387" t="s">
        <v>1</v>
      </c>
      <c r="S275" s="387"/>
      <c r="T275" s="380">
        <v>1</v>
      </c>
      <c r="U275" s="380">
        <v>7</v>
      </c>
      <c r="V275" s="380" t="s">
        <v>1097</v>
      </c>
      <c r="W275" s="380" t="s">
        <v>953</v>
      </c>
      <c r="X275" s="380" t="s">
        <v>1027</v>
      </c>
      <c r="Y275" s="380" t="s">
        <v>1707</v>
      </c>
      <c r="Z275" s="380" t="s">
        <v>1019</v>
      </c>
      <c r="AA275" s="380" t="s">
        <v>1</v>
      </c>
      <c r="AB275" s="380" t="s">
        <v>1</v>
      </c>
      <c r="AC275" s="380" t="s">
        <v>768</v>
      </c>
      <c r="AD275" s="380" t="s">
        <v>1</v>
      </c>
      <c r="AE275" s="397" t="s">
        <v>1</v>
      </c>
      <c r="AF275" s="44"/>
      <c r="AG275" s="44"/>
      <c r="AH275" s="44"/>
      <c r="AI275" s="44"/>
      <c r="AJ275" s="44"/>
      <c r="AK275" s="44"/>
      <c r="AL275" s="44"/>
      <c r="AM275" s="44"/>
      <c r="AN275" s="44"/>
      <c r="AO275" s="44"/>
      <c r="AP275" s="44"/>
      <c r="AQ275" s="44"/>
      <c r="AR275" s="44"/>
      <c r="AS275" s="44"/>
    </row>
    <row r="276" spans="1:45" ht="45">
      <c r="A276" s="214"/>
      <c r="B276" s="361" t="s">
        <v>454</v>
      </c>
      <c r="C276" s="373" t="s">
        <v>1791</v>
      </c>
      <c r="D276" s="383" t="s">
        <v>778</v>
      </c>
      <c r="E276" s="380">
        <v>3</v>
      </c>
      <c r="F276" s="299" t="s">
        <v>1878</v>
      </c>
      <c r="G276" s="384" t="s">
        <v>840</v>
      </c>
      <c r="H276" s="384" t="s">
        <v>1</v>
      </c>
      <c r="I276" s="395" t="s">
        <v>757</v>
      </c>
      <c r="J276" s="396" t="s">
        <v>1</v>
      </c>
      <c r="K276" s="385" t="s">
        <v>1879</v>
      </c>
      <c r="L276" s="385" t="s">
        <v>1880</v>
      </c>
      <c r="M276" s="386" t="s">
        <v>65</v>
      </c>
      <c r="N276" s="387" t="s">
        <v>1881</v>
      </c>
      <c r="O276" s="387" t="s">
        <v>1882</v>
      </c>
      <c r="P276" s="469" t="s">
        <v>1883</v>
      </c>
      <c r="Q276" s="469" t="s">
        <v>1884</v>
      </c>
      <c r="R276" s="387" t="s">
        <v>1</v>
      </c>
      <c r="S276" s="387"/>
      <c r="T276" s="380">
        <v>3</v>
      </c>
      <c r="U276" s="380">
        <v>15</v>
      </c>
      <c r="V276" s="380" t="s">
        <v>1762</v>
      </c>
      <c r="W276" s="380" t="s">
        <v>953</v>
      </c>
      <c r="X276" s="380" t="s">
        <v>1027</v>
      </c>
      <c r="Y276" s="380" t="s">
        <v>1028</v>
      </c>
      <c r="Z276" s="380" t="s">
        <v>1019</v>
      </c>
      <c r="AA276" s="380" t="s">
        <v>1</v>
      </c>
      <c r="AB276" s="380" t="s">
        <v>1</v>
      </c>
      <c r="AC276" s="380" t="s">
        <v>768</v>
      </c>
      <c r="AD276" s="380" t="s">
        <v>1</v>
      </c>
      <c r="AE276" s="397" t="s">
        <v>1</v>
      </c>
      <c r="AF276" s="44"/>
      <c r="AG276" s="44"/>
      <c r="AH276" s="44"/>
      <c r="AI276" s="44"/>
      <c r="AJ276" s="44"/>
      <c r="AK276" s="44"/>
      <c r="AL276" s="44"/>
      <c r="AM276" s="44"/>
      <c r="AN276" s="44"/>
      <c r="AO276" s="44"/>
      <c r="AP276" s="44"/>
      <c r="AQ276" s="44"/>
      <c r="AR276" s="44"/>
      <c r="AS276" s="44"/>
    </row>
    <row r="277" spans="1:45" ht="30.75">
      <c r="A277" s="214"/>
      <c r="B277" s="361" t="s">
        <v>454</v>
      </c>
      <c r="C277" s="373" t="s">
        <v>1791</v>
      </c>
      <c r="D277" s="383" t="s">
        <v>778</v>
      </c>
      <c r="E277" s="380">
        <v>4</v>
      </c>
      <c r="F277" s="299" t="s">
        <v>1885</v>
      </c>
      <c r="G277" s="384" t="s">
        <v>840</v>
      </c>
      <c r="H277" s="384" t="s">
        <v>1</v>
      </c>
      <c r="I277" s="395" t="s">
        <v>757</v>
      </c>
      <c r="J277" s="396" t="s">
        <v>1</v>
      </c>
      <c r="K277" s="385" t="s">
        <v>1886</v>
      </c>
      <c r="L277" s="385" t="s">
        <v>1887</v>
      </c>
      <c r="M277" s="386" t="s">
        <v>65</v>
      </c>
      <c r="N277" s="387" t="s">
        <v>1888</v>
      </c>
      <c r="O277" s="387" t="s">
        <v>1889</v>
      </c>
      <c r="P277" s="469" t="s">
        <v>1890</v>
      </c>
      <c r="Q277" s="469" t="s">
        <v>1891</v>
      </c>
      <c r="R277" s="387" t="s">
        <v>1</v>
      </c>
      <c r="S277" s="387"/>
      <c r="T277" s="380">
        <v>3</v>
      </c>
      <c r="U277" s="380">
        <v>15</v>
      </c>
      <c r="V277" s="380" t="s">
        <v>1762</v>
      </c>
      <c r="W277" s="380" t="s">
        <v>953</v>
      </c>
      <c r="X277" s="380" t="s">
        <v>1027</v>
      </c>
      <c r="Y277" s="380" t="s">
        <v>1028</v>
      </c>
      <c r="Z277" s="380" t="s">
        <v>1019</v>
      </c>
      <c r="AA277" s="380" t="s">
        <v>1</v>
      </c>
      <c r="AB277" s="380" t="s">
        <v>1</v>
      </c>
      <c r="AC277" s="380" t="s">
        <v>768</v>
      </c>
      <c r="AD277" s="380" t="s">
        <v>1</v>
      </c>
      <c r="AE277" s="397" t="s">
        <v>1</v>
      </c>
      <c r="AF277" s="44"/>
      <c r="AG277" s="44"/>
      <c r="AH277" s="44"/>
      <c r="AI277" s="44"/>
      <c r="AJ277" s="44"/>
      <c r="AK277" s="44"/>
      <c r="AL277" s="44"/>
      <c r="AM277" s="44"/>
      <c r="AN277" s="44"/>
      <c r="AO277" s="44"/>
      <c r="AP277" s="44"/>
      <c r="AQ277" s="44"/>
      <c r="AR277" s="44"/>
      <c r="AS277" s="44"/>
    </row>
    <row r="278" spans="1:45" ht="57.75">
      <c r="A278" s="214"/>
      <c r="B278" s="361"/>
      <c r="C278" s="373"/>
      <c r="D278" s="383"/>
      <c r="E278" s="380"/>
      <c r="F278" s="299" t="str">
        <f>""&amp;Table12[[#This Row],[TTM Stage]]&amp;Table12[[#This Row],[Task No.]]&amp;"-"&amp;Table12[[#This Row],[Type of activity]]&amp;"-"&amp;Table12[[#This Row],[TargetGroup]]</f>
        <v>--</v>
      </c>
      <c r="G278" s="384"/>
      <c r="H278" s="384"/>
      <c r="I278" s="395"/>
      <c r="J278" s="396"/>
      <c r="K278" s="385"/>
      <c r="L278" s="431" t="s">
        <v>1892</v>
      </c>
      <c r="M278" s="386"/>
      <c r="N278" s="387"/>
      <c r="O278" s="394" t="s">
        <v>1893</v>
      </c>
      <c r="P278" s="469" t="s">
        <v>1894</v>
      </c>
      <c r="Q278" s="469" t="s">
        <v>1895</v>
      </c>
      <c r="R278" s="387"/>
      <c r="S278" s="394"/>
      <c r="T278" s="380"/>
      <c r="U278" s="380"/>
      <c r="V278" s="380"/>
      <c r="W278" s="380"/>
      <c r="X278" s="380"/>
      <c r="Y278" s="380"/>
      <c r="Z278" s="380"/>
      <c r="AA278" s="380"/>
      <c r="AB278" s="380"/>
      <c r="AC278" s="380"/>
      <c r="AD278" s="380"/>
      <c r="AE278" s="397"/>
      <c r="AF278" s="44"/>
      <c r="AG278" s="44"/>
      <c r="AH278" s="44"/>
      <c r="AI278" s="44"/>
      <c r="AJ278" s="44"/>
      <c r="AK278" s="44"/>
      <c r="AL278" s="44"/>
      <c r="AM278" s="44"/>
      <c r="AN278" s="44"/>
      <c r="AO278" s="44"/>
      <c r="AP278" s="44"/>
      <c r="AQ278" s="44"/>
      <c r="AR278" s="44"/>
      <c r="AS278" s="44"/>
    </row>
    <row r="279" spans="1:45">
      <c r="A279" s="214"/>
      <c r="B279" s="361"/>
      <c r="C279" s="373"/>
      <c r="D279" s="383"/>
      <c r="E279" s="380"/>
      <c r="F279" s="299" t="str">
        <f>""&amp;Table12[[#This Row],[TTM Stage]]&amp;Table12[[#This Row],[Task No.]]&amp;"-"&amp;Table12[[#This Row],[Type of activity]]&amp;"-"&amp;Table12[[#This Row],[TargetGroup]]</f>
        <v>--</v>
      </c>
      <c r="G279" s="384"/>
      <c r="H279" s="384"/>
      <c r="I279" s="395"/>
      <c r="J279" s="396"/>
      <c r="K279" s="385"/>
      <c r="L279" s="431"/>
      <c r="M279" s="386"/>
      <c r="N279" s="387"/>
      <c r="O279" s="394"/>
      <c r="P279" s="191"/>
      <c r="Q279" s="191"/>
      <c r="R279" s="387"/>
      <c r="S279" s="394"/>
      <c r="T279" s="380"/>
      <c r="U279" s="380"/>
      <c r="V279" s="380"/>
      <c r="W279" s="380"/>
      <c r="X279" s="380"/>
      <c r="Y279" s="380"/>
      <c r="Z279" s="380"/>
      <c r="AA279" s="380"/>
      <c r="AB279" s="380"/>
      <c r="AC279" s="380"/>
      <c r="AD279" s="380"/>
      <c r="AE279" s="397"/>
      <c r="AF279" s="44"/>
      <c r="AG279" s="44"/>
      <c r="AH279" s="44"/>
      <c r="AI279" s="44"/>
      <c r="AJ279" s="44"/>
      <c r="AK279" s="44"/>
      <c r="AL279" s="44"/>
      <c r="AM279" s="44"/>
      <c r="AN279" s="44"/>
      <c r="AO279" s="44"/>
      <c r="AP279" s="44"/>
      <c r="AQ279" s="44"/>
      <c r="AR279" s="44"/>
      <c r="AS279" s="44"/>
    </row>
    <row r="280" spans="1:45">
      <c r="A280" s="214"/>
      <c r="B280" s="361"/>
      <c r="C280" s="373"/>
      <c r="D280" s="383"/>
      <c r="E280" s="380"/>
      <c r="F280" s="299" t="str">
        <f>""&amp;Table12[[#This Row],[TTM Stage]]&amp;Table12[[#This Row],[Task No.]]&amp;"-"&amp;Table12[[#This Row],[Type of activity]]&amp;"-"&amp;Table12[[#This Row],[TargetGroup]]</f>
        <v>--</v>
      </c>
      <c r="G280" s="384"/>
      <c r="H280" s="384"/>
      <c r="I280" s="395"/>
      <c r="J280" s="396"/>
      <c r="K280" s="385"/>
      <c r="L280" s="431"/>
      <c r="M280" s="386"/>
      <c r="N280" s="387"/>
      <c r="O280" s="394"/>
      <c r="P280" s="191"/>
      <c r="Q280" s="191"/>
      <c r="R280" s="387"/>
      <c r="S280" s="394"/>
      <c r="T280" s="380"/>
      <c r="U280" s="380"/>
      <c r="V280" s="380"/>
      <c r="W280" s="380"/>
      <c r="X280" s="380"/>
      <c r="Y280" s="380"/>
      <c r="Z280" s="380"/>
      <c r="AA280" s="380"/>
      <c r="AB280" s="380"/>
      <c r="AC280" s="380"/>
      <c r="AD280" s="380"/>
      <c r="AE280" s="397"/>
      <c r="AF280" s="44"/>
      <c r="AG280" s="44"/>
      <c r="AH280" s="44"/>
      <c r="AI280" s="44"/>
      <c r="AJ280" s="44"/>
      <c r="AK280" s="44"/>
      <c r="AL280" s="44"/>
      <c r="AM280" s="44"/>
      <c r="AN280" s="44"/>
      <c r="AO280" s="44"/>
      <c r="AP280" s="44"/>
      <c r="AQ280" s="44"/>
      <c r="AR280" s="44"/>
      <c r="AS280" s="44"/>
    </row>
    <row r="281" spans="1:45" ht="45">
      <c r="A281" s="214"/>
      <c r="B281" s="362" t="s">
        <v>490</v>
      </c>
      <c r="C281" s="374" t="s">
        <v>1896</v>
      </c>
      <c r="D281" s="379" t="s">
        <v>735</v>
      </c>
      <c r="E281" s="380">
        <v>1</v>
      </c>
      <c r="F281" s="299" t="s">
        <v>1897</v>
      </c>
      <c r="G281" s="384" t="s">
        <v>744</v>
      </c>
      <c r="H281" s="384" t="s">
        <v>1</v>
      </c>
      <c r="I281" s="395" t="s">
        <v>757</v>
      </c>
      <c r="J281" s="396" t="s">
        <v>1</v>
      </c>
      <c r="K281" s="385" t="s">
        <v>1898</v>
      </c>
      <c r="L281" s="385" t="s">
        <v>1899</v>
      </c>
      <c r="M281" s="386" t="s">
        <v>65</v>
      </c>
      <c r="N281" s="387" t="s">
        <v>1900</v>
      </c>
      <c r="O281" s="387" t="s">
        <v>1901</v>
      </c>
      <c r="P281" s="387"/>
      <c r="Q281" s="387"/>
      <c r="R281" s="387" t="s">
        <v>1</v>
      </c>
      <c r="S281" s="387"/>
      <c r="T281" s="380">
        <v>1</v>
      </c>
      <c r="U281" s="380">
        <v>7</v>
      </c>
      <c r="V281" s="380" t="s">
        <v>1097</v>
      </c>
      <c r="W281" s="380" t="s">
        <v>953</v>
      </c>
      <c r="X281" s="380" t="s">
        <v>1027</v>
      </c>
      <c r="Y281" s="380" t="s">
        <v>1018</v>
      </c>
      <c r="Z281" s="380" t="s">
        <v>1019</v>
      </c>
      <c r="AA281" s="380" t="s">
        <v>1</v>
      </c>
      <c r="AB281" s="380" t="s">
        <v>1</v>
      </c>
      <c r="AC281" s="380" t="s">
        <v>768</v>
      </c>
      <c r="AD281" s="380" t="s">
        <v>1</v>
      </c>
      <c r="AE281" s="397" t="s">
        <v>1</v>
      </c>
      <c r="AF281" s="44"/>
      <c r="AG281" s="44"/>
      <c r="AH281" s="44"/>
      <c r="AI281" s="44"/>
      <c r="AJ281" s="44"/>
      <c r="AK281" s="44"/>
      <c r="AL281" s="44"/>
      <c r="AM281" s="44"/>
      <c r="AN281" s="44"/>
      <c r="AO281" s="44"/>
      <c r="AP281" s="44"/>
      <c r="AQ281" s="44"/>
      <c r="AR281" s="44"/>
      <c r="AS281" s="44"/>
    </row>
    <row r="282" spans="1:45" ht="30.75">
      <c r="A282" s="214"/>
      <c r="B282" s="362" t="s">
        <v>490</v>
      </c>
      <c r="C282" s="374" t="s">
        <v>1896</v>
      </c>
      <c r="D282" s="379" t="s">
        <v>735</v>
      </c>
      <c r="E282" s="380">
        <v>2</v>
      </c>
      <c r="F282" s="299" t="s">
        <v>1902</v>
      </c>
      <c r="G282" s="384" t="s">
        <v>840</v>
      </c>
      <c r="H282" s="384" t="s">
        <v>1</v>
      </c>
      <c r="I282" s="395" t="s">
        <v>757</v>
      </c>
      <c r="J282" s="396" t="s">
        <v>1</v>
      </c>
      <c r="K282" s="385" t="s">
        <v>1903</v>
      </c>
      <c r="L282" s="385" t="s">
        <v>1904</v>
      </c>
      <c r="M282" s="386" t="s">
        <v>65</v>
      </c>
      <c r="N282" s="387" t="s">
        <v>1905</v>
      </c>
      <c r="O282" s="387" t="s">
        <v>1906</v>
      </c>
      <c r="P282" s="387"/>
      <c r="Q282" s="387"/>
      <c r="R282" s="387" t="s">
        <v>1</v>
      </c>
      <c r="S282" s="387"/>
      <c r="T282" s="380">
        <v>3</v>
      </c>
      <c r="U282" s="380">
        <v>15</v>
      </c>
      <c r="V282" s="380" t="s">
        <v>1762</v>
      </c>
      <c r="W282" s="380" t="s">
        <v>953</v>
      </c>
      <c r="X282" s="380" t="s">
        <v>1027</v>
      </c>
      <c r="Y282" s="380" t="s">
        <v>1028</v>
      </c>
      <c r="Z282" s="380" t="s">
        <v>1019</v>
      </c>
      <c r="AA282" s="380" t="s">
        <v>1</v>
      </c>
      <c r="AB282" s="380" t="s">
        <v>1</v>
      </c>
      <c r="AC282" s="380" t="s">
        <v>768</v>
      </c>
      <c r="AD282" s="380" t="s">
        <v>1</v>
      </c>
      <c r="AE282" s="397" t="s">
        <v>1</v>
      </c>
      <c r="AF282" s="44"/>
      <c r="AG282" s="44"/>
      <c r="AH282" s="44"/>
      <c r="AI282" s="44"/>
      <c r="AJ282" s="44"/>
      <c r="AK282" s="44"/>
      <c r="AL282" s="44"/>
      <c r="AM282" s="44"/>
      <c r="AN282" s="44"/>
      <c r="AO282" s="44"/>
      <c r="AP282" s="44"/>
      <c r="AQ282" s="44"/>
      <c r="AR282" s="44"/>
      <c r="AS282" s="44"/>
    </row>
    <row r="283" spans="1:45" ht="46.5">
      <c r="A283" s="214"/>
      <c r="B283" s="362" t="s">
        <v>490</v>
      </c>
      <c r="C283" s="374" t="s">
        <v>1896</v>
      </c>
      <c r="D283" s="380" t="s">
        <v>743</v>
      </c>
      <c r="E283" s="380">
        <v>1</v>
      </c>
      <c r="F283" s="299" t="s">
        <v>1907</v>
      </c>
      <c r="G283" s="384" t="s">
        <v>840</v>
      </c>
      <c r="H283" s="384" t="s">
        <v>1</v>
      </c>
      <c r="I283" s="395" t="s">
        <v>757</v>
      </c>
      <c r="J283" s="396" t="s">
        <v>1</v>
      </c>
      <c r="K283" s="385" t="s">
        <v>1908</v>
      </c>
      <c r="L283" s="385" t="s">
        <v>1909</v>
      </c>
      <c r="M283" s="386" t="s">
        <v>65</v>
      </c>
      <c r="N283" s="387" t="s">
        <v>1910</v>
      </c>
      <c r="O283" s="387" t="s">
        <v>1911</v>
      </c>
      <c r="P283" t="s">
        <v>1912</v>
      </c>
      <c r="Q283" t="s">
        <v>1913</v>
      </c>
      <c r="R283" s="387" t="s">
        <v>1</v>
      </c>
      <c r="S283" s="387"/>
      <c r="T283" s="380">
        <v>3</v>
      </c>
      <c r="U283" s="380">
        <v>15</v>
      </c>
      <c r="V283" s="380" t="s">
        <v>1762</v>
      </c>
      <c r="W283" s="380" t="s">
        <v>953</v>
      </c>
      <c r="X283" s="380" t="s">
        <v>1027</v>
      </c>
      <c r="Y283" s="380" t="s">
        <v>1028</v>
      </c>
      <c r="Z283" s="380" t="s">
        <v>1019</v>
      </c>
      <c r="AA283" s="380" t="s">
        <v>1</v>
      </c>
      <c r="AB283" s="380" t="s">
        <v>1</v>
      </c>
      <c r="AC283" s="380" t="s">
        <v>768</v>
      </c>
      <c r="AD283" s="380" t="s">
        <v>1</v>
      </c>
      <c r="AE283" s="397" t="s">
        <v>1</v>
      </c>
      <c r="AF283" s="44"/>
      <c r="AG283" s="44"/>
      <c r="AH283" s="44"/>
      <c r="AI283" s="44"/>
      <c r="AJ283" s="44"/>
      <c r="AK283" s="44"/>
      <c r="AL283" s="44"/>
      <c r="AM283" s="44"/>
      <c r="AN283" s="44"/>
      <c r="AO283" s="44"/>
      <c r="AP283" s="44"/>
      <c r="AQ283" s="44"/>
      <c r="AR283" s="44"/>
      <c r="AS283" s="44"/>
    </row>
    <row r="284" spans="1:45" ht="45">
      <c r="A284" s="214"/>
      <c r="B284" s="362" t="s">
        <v>490</v>
      </c>
      <c r="C284" s="374" t="s">
        <v>1896</v>
      </c>
      <c r="D284" s="380" t="s">
        <v>743</v>
      </c>
      <c r="E284" s="380">
        <v>2</v>
      </c>
      <c r="F284" s="299" t="s">
        <v>1914</v>
      </c>
      <c r="G284" s="384" t="s">
        <v>840</v>
      </c>
      <c r="H284" s="384" t="s">
        <v>1</v>
      </c>
      <c r="I284" s="395" t="s">
        <v>757</v>
      </c>
      <c r="J284" s="396" t="s">
        <v>1</v>
      </c>
      <c r="K284" s="385" t="s">
        <v>1915</v>
      </c>
      <c r="L284" s="385" t="s">
        <v>1916</v>
      </c>
      <c r="M284" s="386" t="s">
        <v>65</v>
      </c>
      <c r="N284" s="387" t="s">
        <v>1917</v>
      </c>
      <c r="O284" s="387" t="s">
        <v>1918</v>
      </c>
      <c r="P284" s="469" t="s">
        <v>1919</v>
      </c>
      <c r="Q284" s="469" t="s">
        <v>1920</v>
      </c>
      <c r="R284" s="387" t="s">
        <v>1</v>
      </c>
      <c r="S284" s="387"/>
      <c r="T284" s="380">
        <v>3</v>
      </c>
      <c r="U284" s="380">
        <v>15</v>
      </c>
      <c r="V284" s="380" t="s">
        <v>1762</v>
      </c>
      <c r="W284" s="380" t="s">
        <v>953</v>
      </c>
      <c r="X284" s="380" t="s">
        <v>1027</v>
      </c>
      <c r="Y284" s="380" t="s">
        <v>1028</v>
      </c>
      <c r="Z284" s="380" t="s">
        <v>1019</v>
      </c>
      <c r="AA284" s="380" t="s">
        <v>1</v>
      </c>
      <c r="AB284" s="380" t="s">
        <v>1</v>
      </c>
      <c r="AC284" s="380" t="s">
        <v>768</v>
      </c>
      <c r="AD284" s="380" t="s">
        <v>1</v>
      </c>
      <c r="AE284" s="397" t="s">
        <v>1</v>
      </c>
      <c r="AF284" s="44"/>
      <c r="AG284" s="44"/>
      <c r="AH284" s="44"/>
      <c r="AI284" s="44"/>
      <c r="AJ284" s="44"/>
      <c r="AK284" s="44"/>
      <c r="AL284" s="44"/>
      <c r="AM284" s="44"/>
      <c r="AN284" s="44"/>
      <c r="AO284" s="44"/>
      <c r="AP284" s="44"/>
      <c r="AQ284" s="44"/>
      <c r="AR284" s="44"/>
      <c r="AS284" s="44"/>
    </row>
    <row r="285" spans="1:45" ht="30.75">
      <c r="A285" s="214"/>
      <c r="B285" s="362" t="s">
        <v>490</v>
      </c>
      <c r="C285" s="374" t="s">
        <v>1896</v>
      </c>
      <c r="D285" s="381" t="s">
        <v>750</v>
      </c>
      <c r="E285" s="380">
        <v>1</v>
      </c>
      <c r="F285" s="299" t="s">
        <v>1921</v>
      </c>
      <c r="G285" s="384" t="s">
        <v>840</v>
      </c>
      <c r="H285" s="384" t="s">
        <v>1</v>
      </c>
      <c r="I285" s="395" t="s">
        <v>757</v>
      </c>
      <c r="J285" s="396" t="s">
        <v>1</v>
      </c>
      <c r="K285" s="385" t="s">
        <v>1922</v>
      </c>
      <c r="L285" s="385" t="s">
        <v>1923</v>
      </c>
      <c r="M285" s="386" t="s">
        <v>65</v>
      </c>
      <c r="N285" s="387" t="s">
        <v>1924</v>
      </c>
      <c r="O285" s="387" t="s">
        <v>1925</v>
      </c>
      <c r="P285" t="s">
        <v>1926</v>
      </c>
      <c r="Q285" t="s">
        <v>1927</v>
      </c>
      <c r="R285" s="387" t="s">
        <v>1</v>
      </c>
      <c r="S285" s="387"/>
      <c r="T285" s="380">
        <v>3</v>
      </c>
      <c r="U285" s="380">
        <v>15</v>
      </c>
      <c r="V285" s="380" t="s">
        <v>1762</v>
      </c>
      <c r="W285" s="380" t="s">
        <v>953</v>
      </c>
      <c r="X285" s="380" t="s">
        <v>1027</v>
      </c>
      <c r="Y285" s="380" t="s">
        <v>1028</v>
      </c>
      <c r="Z285" s="380" t="s">
        <v>1019</v>
      </c>
      <c r="AA285" s="380" t="s">
        <v>1</v>
      </c>
      <c r="AB285" s="380" t="s">
        <v>1</v>
      </c>
      <c r="AC285" s="380" t="s">
        <v>768</v>
      </c>
      <c r="AD285" s="380" t="s">
        <v>1</v>
      </c>
      <c r="AE285" s="397" t="s">
        <v>1</v>
      </c>
      <c r="AF285" s="44"/>
      <c r="AG285" s="44"/>
      <c r="AH285" s="44"/>
      <c r="AI285" s="44"/>
      <c r="AJ285" s="44"/>
      <c r="AK285" s="44"/>
      <c r="AL285" s="44"/>
      <c r="AM285" s="44"/>
      <c r="AN285" s="44"/>
      <c r="AO285" s="44"/>
      <c r="AP285" s="44"/>
      <c r="AQ285" s="44"/>
      <c r="AR285" s="44"/>
      <c r="AS285" s="44"/>
    </row>
    <row r="286" spans="1:45" ht="30.75">
      <c r="A286" s="214"/>
      <c r="B286" s="362" t="s">
        <v>490</v>
      </c>
      <c r="C286" s="374" t="s">
        <v>1896</v>
      </c>
      <c r="D286" s="381" t="s">
        <v>750</v>
      </c>
      <c r="E286" s="380">
        <v>2</v>
      </c>
      <c r="F286" s="299" t="s">
        <v>1928</v>
      </c>
      <c r="G286" s="384" t="s">
        <v>756</v>
      </c>
      <c r="H286" s="384" t="s">
        <v>1</v>
      </c>
      <c r="I286" s="395" t="s">
        <v>1045</v>
      </c>
      <c r="J286" s="396" t="s">
        <v>1</v>
      </c>
      <c r="K286" s="385" t="s">
        <v>1929</v>
      </c>
      <c r="L286" s="385" t="s">
        <v>1930</v>
      </c>
      <c r="M286" s="386" t="s">
        <v>65</v>
      </c>
      <c r="N286" s="387" t="s">
        <v>1931</v>
      </c>
      <c r="O286" s="387" t="s">
        <v>1932</v>
      </c>
      <c r="P286" t="s">
        <v>1933</v>
      </c>
      <c r="Q286" t="s">
        <v>1934</v>
      </c>
      <c r="R286" s="387" t="s">
        <v>1</v>
      </c>
      <c r="S286" s="387"/>
      <c r="T286" s="380">
        <v>1</v>
      </c>
      <c r="U286" s="380">
        <v>7</v>
      </c>
      <c r="V286" s="380" t="s">
        <v>1097</v>
      </c>
      <c r="W286" s="380" t="s">
        <v>953</v>
      </c>
      <c r="X286" s="380" t="s">
        <v>1027</v>
      </c>
      <c r="Y286" s="380" t="s">
        <v>1050</v>
      </c>
      <c r="Z286" s="380" t="s">
        <v>1051</v>
      </c>
      <c r="AA286" s="380" t="s">
        <v>1</v>
      </c>
      <c r="AB286" s="380" t="s">
        <v>1</v>
      </c>
      <c r="AC286" s="380" t="s">
        <v>768</v>
      </c>
      <c r="AD286" s="380" t="s">
        <v>1</v>
      </c>
      <c r="AE286" s="397" t="s">
        <v>1</v>
      </c>
      <c r="AF286" s="44"/>
      <c r="AG286" s="44"/>
      <c r="AH286" s="44"/>
      <c r="AI286" s="44"/>
      <c r="AJ286" s="44"/>
      <c r="AK286" s="44"/>
      <c r="AL286" s="44"/>
      <c r="AM286" s="44"/>
      <c r="AN286" s="44"/>
      <c r="AO286" s="44"/>
      <c r="AP286" s="44"/>
      <c r="AQ286" s="44"/>
      <c r="AR286" s="44"/>
      <c r="AS286" s="44"/>
    </row>
    <row r="287" spans="1:45" ht="30.75">
      <c r="A287" s="214"/>
      <c r="B287" s="362" t="s">
        <v>490</v>
      </c>
      <c r="C287" s="374" t="s">
        <v>1896</v>
      </c>
      <c r="D287" s="382" t="s">
        <v>764</v>
      </c>
      <c r="E287" s="380">
        <v>1</v>
      </c>
      <c r="F287" s="299" t="s">
        <v>1935</v>
      </c>
      <c r="G287" s="384" t="s">
        <v>840</v>
      </c>
      <c r="H287" s="384" t="s">
        <v>1</v>
      </c>
      <c r="I287" s="395" t="s">
        <v>757</v>
      </c>
      <c r="J287" s="396" t="s">
        <v>1</v>
      </c>
      <c r="K287" s="385" t="s">
        <v>1936</v>
      </c>
      <c r="L287" s="385" t="s">
        <v>1937</v>
      </c>
      <c r="M287" s="386" t="s">
        <v>65</v>
      </c>
      <c r="N287" s="387" t="s">
        <v>1938</v>
      </c>
      <c r="O287" s="387" t="s">
        <v>1939</v>
      </c>
      <c r="P287" t="s">
        <v>1940</v>
      </c>
      <c r="Q287" t="s">
        <v>1941</v>
      </c>
      <c r="R287" s="387" t="s">
        <v>1</v>
      </c>
      <c r="S287" s="387"/>
      <c r="T287" s="380">
        <v>3</v>
      </c>
      <c r="U287" s="380">
        <v>15</v>
      </c>
      <c r="V287" s="380" t="s">
        <v>1762</v>
      </c>
      <c r="W287" s="380" t="s">
        <v>953</v>
      </c>
      <c r="X287" s="380" t="s">
        <v>1027</v>
      </c>
      <c r="Y287" s="380" t="s">
        <v>1028</v>
      </c>
      <c r="Z287" s="380" t="s">
        <v>1019</v>
      </c>
      <c r="AA287" s="380" t="s">
        <v>1</v>
      </c>
      <c r="AB287" s="380" t="s">
        <v>1</v>
      </c>
      <c r="AC287" s="380" t="s">
        <v>768</v>
      </c>
      <c r="AD287" s="380" t="s">
        <v>1</v>
      </c>
      <c r="AE287" s="397" t="s">
        <v>1</v>
      </c>
      <c r="AF287" s="44"/>
      <c r="AG287" s="44"/>
      <c r="AH287" s="44"/>
      <c r="AI287" s="44"/>
      <c r="AJ287" s="44"/>
      <c r="AK287" s="44"/>
      <c r="AL287" s="44"/>
      <c r="AM287" s="44"/>
      <c r="AN287" s="44"/>
      <c r="AO287" s="44"/>
      <c r="AP287" s="44"/>
      <c r="AQ287" s="44"/>
      <c r="AR287" s="44"/>
      <c r="AS287" s="44"/>
    </row>
    <row r="288" spans="1:45" ht="361.5">
      <c r="A288" s="214"/>
      <c r="B288" s="362" t="s">
        <v>490</v>
      </c>
      <c r="C288" s="374" t="s">
        <v>1896</v>
      </c>
      <c r="D288" s="382" t="s">
        <v>764</v>
      </c>
      <c r="E288" s="380">
        <v>2</v>
      </c>
      <c r="F288" s="299" t="s">
        <v>1942</v>
      </c>
      <c r="G288" s="384" t="s">
        <v>828</v>
      </c>
      <c r="H288" s="384" t="s">
        <v>1</v>
      </c>
      <c r="I288" s="395" t="s">
        <v>757</v>
      </c>
      <c r="J288" s="396" t="s">
        <v>1</v>
      </c>
      <c r="K288" s="385" t="s">
        <v>1943</v>
      </c>
      <c r="L288" s="385" t="s">
        <v>1944</v>
      </c>
      <c r="M288" s="386" t="s">
        <v>65</v>
      </c>
      <c r="N288" s="387" t="s">
        <v>1945</v>
      </c>
      <c r="O288" s="387" t="s">
        <v>1946</v>
      </c>
      <c r="P288" t="s">
        <v>1947</v>
      </c>
      <c r="Q288" t="s">
        <v>1948</v>
      </c>
      <c r="R288" s="387" t="s">
        <v>1949</v>
      </c>
      <c r="S288" s="387" t="s">
        <v>1950</v>
      </c>
      <c r="T288" s="380">
        <v>1</v>
      </c>
      <c r="U288" s="380">
        <v>7</v>
      </c>
      <c r="V288" s="380" t="s">
        <v>1097</v>
      </c>
      <c r="W288" s="380" t="s">
        <v>953</v>
      </c>
      <c r="X288" s="380" t="s">
        <v>828</v>
      </c>
      <c r="Y288" s="380" t="s">
        <v>1018</v>
      </c>
      <c r="Z288" s="380" t="s">
        <v>1019</v>
      </c>
      <c r="AA288" s="380" t="s">
        <v>1</v>
      </c>
      <c r="AB288" s="380" t="s">
        <v>1</v>
      </c>
      <c r="AC288" s="380" t="s">
        <v>768</v>
      </c>
      <c r="AD288" s="380" t="s">
        <v>1</v>
      </c>
      <c r="AE288" s="397" t="s">
        <v>1</v>
      </c>
      <c r="AF288" s="44"/>
      <c r="AG288" s="44"/>
      <c r="AH288" s="44"/>
      <c r="AI288" s="44"/>
      <c r="AJ288" s="44"/>
      <c r="AK288" s="44"/>
      <c r="AL288" s="44"/>
      <c r="AM288" s="44"/>
      <c r="AN288" s="44"/>
      <c r="AO288" s="44"/>
      <c r="AP288" s="44"/>
      <c r="AQ288" s="44"/>
      <c r="AR288" s="44"/>
      <c r="AS288" s="44"/>
    </row>
    <row r="289" spans="1:45" ht="30.75">
      <c r="A289" s="214"/>
      <c r="B289" s="362" t="s">
        <v>490</v>
      </c>
      <c r="C289" s="374" t="s">
        <v>1896</v>
      </c>
      <c r="D289" s="382" t="s">
        <v>764</v>
      </c>
      <c r="E289" s="380">
        <v>3</v>
      </c>
      <c r="F289" s="299" t="s">
        <v>1951</v>
      </c>
      <c r="G289" s="384" t="s">
        <v>744</v>
      </c>
      <c r="H289" s="384" t="s">
        <v>1</v>
      </c>
      <c r="I289" s="395" t="s">
        <v>757</v>
      </c>
      <c r="J289" s="396" t="s">
        <v>1</v>
      </c>
      <c r="K289" s="385" t="s">
        <v>1952</v>
      </c>
      <c r="L289" s="385" t="s">
        <v>1953</v>
      </c>
      <c r="M289" s="386" t="s">
        <v>65</v>
      </c>
      <c r="N289" s="387" t="s">
        <v>1954</v>
      </c>
      <c r="O289" s="387" t="s">
        <v>1955</v>
      </c>
      <c r="P289" s="469" t="s">
        <v>1956</v>
      </c>
      <c r="Q289" s="469" t="s">
        <v>1957</v>
      </c>
      <c r="R289" s="387" t="s">
        <v>1</v>
      </c>
      <c r="S289" s="387"/>
      <c r="T289" s="380">
        <v>1</v>
      </c>
      <c r="U289" s="380">
        <v>7</v>
      </c>
      <c r="V289" s="380" t="s">
        <v>1097</v>
      </c>
      <c r="W289" s="380" t="s">
        <v>953</v>
      </c>
      <c r="X289" s="380" t="s">
        <v>1027</v>
      </c>
      <c r="Y289" s="380" t="s">
        <v>1018</v>
      </c>
      <c r="Z289" s="380" t="s">
        <v>1019</v>
      </c>
      <c r="AA289" s="380" t="s">
        <v>1</v>
      </c>
      <c r="AB289" s="380" t="s">
        <v>1</v>
      </c>
      <c r="AC289" s="380" t="s">
        <v>768</v>
      </c>
      <c r="AD289" s="380" t="s">
        <v>1</v>
      </c>
      <c r="AE289" s="397" t="s">
        <v>1</v>
      </c>
      <c r="AF289" s="44"/>
      <c r="AG289" s="44"/>
      <c r="AH289" s="44"/>
      <c r="AI289" s="44"/>
      <c r="AJ289" s="44"/>
      <c r="AK289" s="44"/>
      <c r="AL289" s="44"/>
      <c r="AM289" s="44"/>
      <c r="AN289" s="44"/>
      <c r="AO289" s="44"/>
      <c r="AP289" s="44"/>
      <c r="AQ289" s="44"/>
      <c r="AR289" s="44"/>
      <c r="AS289" s="44"/>
    </row>
    <row r="290" spans="1:45" ht="30.75">
      <c r="A290" s="214"/>
      <c r="B290" s="362" t="s">
        <v>490</v>
      </c>
      <c r="C290" s="374" t="s">
        <v>1896</v>
      </c>
      <c r="D290" s="382" t="s">
        <v>764</v>
      </c>
      <c r="E290" s="380">
        <v>4</v>
      </c>
      <c r="F290" s="299" t="s">
        <v>1958</v>
      </c>
      <c r="G290" s="384" t="s">
        <v>840</v>
      </c>
      <c r="H290" s="384" t="s">
        <v>1</v>
      </c>
      <c r="I290" s="395" t="s">
        <v>757</v>
      </c>
      <c r="J290" s="396" t="s">
        <v>1</v>
      </c>
      <c r="K290" s="385" t="s">
        <v>1959</v>
      </c>
      <c r="L290" s="385" t="s">
        <v>1960</v>
      </c>
      <c r="M290" s="386" t="s">
        <v>65</v>
      </c>
      <c r="N290" s="387" t="s">
        <v>1961</v>
      </c>
      <c r="O290" s="387" t="s">
        <v>1962</v>
      </c>
      <c r="P290" t="s">
        <v>1963</v>
      </c>
      <c r="Q290" t="s">
        <v>1964</v>
      </c>
      <c r="R290" s="387" t="s">
        <v>1</v>
      </c>
      <c r="S290" s="387"/>
      <c r="T290" s="380">
        <v>3</v>
      </c>
      <c r="U290" s="380">
        <v>15</v>
      </c>
      <c r="V290" s="380" t="s">
        <v>1762</v>
      </c>
      <c r="W290" s="380" t="s">
        <v>953</v>
      </c>
      <c r="X290" s="380" t="s">
        <v>1027</v>
      </c>
      <c r="Y290" s="380" t="s">
        <v>1028</v>
      </c>
      <c r="Z290" s="380" t="s">
        <v>1019</v>
      </c>
      <c r="AA290" s="380" t="s">
        <v>1</v>
      </c>
      <c r="AB290" s="380" t="s">
        <v>1</v>
      </c>
      <c r="AC290" s="380" t="s">
        <v>768</v>
      </c>
      <c r="AD290" s="380" t="s">
        <v>1</v>
      </c>
      <c r="AE290" s="397" t="s">
        <v>1</v>
      </c>
      <c r="AF290" s="44"/>
      <c r="AG290" s="44"/>
      <c r="AH290" s="44"/>
      <c r="AI290" s="44"/>
      <c r="AJ290" s="44"/>
      <c r="AK290" s="44"/>
      <c r="AL290" s="44"/>
      <c r="AM290" s="44"/>
      <c r="AN290" s="44"/>
      <c r="AO290" s="44"/>
      <c r="AP290" s="44"/>
      <c r="AQ290" s="44"/>
      <c r="AR290" s="44"/>
      <c r="AS290" s="44"/>
    </row>
    <row r="291" spans="1:45" ht="30.75">
      <c r="A291" s="214"/>
      <c r="B291" s="362" t="s">
        <v>490</v>
      </c>
      <c r="C291" s="374" t="s">
        <v>1896</v>
      </c>
      <c r="D291" s="383" t="s">
        <v>778</v>
      </c>
      <c r="E291" s="380">
        <v>1</v>
      </c>
      <c r="F291" s="299" t="s">
        <v>1965</v>
      </c>
      <c r="G291" s="384" t="s">
        <v>840</v>
      </c>
      <c r="H291" s="384" t="s">
        <v>1</v>
      </c>
      <c r="I291" s="395" t="s">
        <v>757</v>
      </c>
      <c r="J291" s="396" t="s">
        <v>1</v>
      </c>
      <c r="K291" s="385" t="s">
        <v>1966</v>
      </c>
      <c r="L291" s="385" t="s">
        <v>1967</v>
      </c>
      <c r="M291" s="386" t="s">
        <v>65</v>
      </c>
      <c r="N291" s="387" t="s">
        <v>1968</v>
      </c>
      <c r="O291" s="387" t="s">
        <v>1969</v>
      </c>
      <c r="P291" t="s">
        <v>1970</v>
      </c>
      <c r="Q291" t="s">
        <v>1971</v>
      </c>
      <c r="R291" s="387" t="s">
        <v>1</v>
      </c>
      <c r="S291" s="387"/>
      <c r="T291" s="380">
        <v>3</v>
      </c>
      <c r="U291" s="380">
        <v>15</v>
      </c>
      <c r="V291" s="380" t="s">
        <v>1762</v>
      </c>
      <c r="W291" s="380" t="s">
        <v>953</v>
      </c>
      <c r="X291" s="380" t="s">
        <v>1027</v>
      </c>
      <c r="Y291" s="380" t="s">
        <v>1028</v>
      </c>
      <c r="Z291" s="380" t="s">
        <v>1019</v>
      </c>
      <c r="AA291" s="380" t="s">
        <v>1</v>
      </c>
      <c r="AB291" s="380" t="s">
        <v>1</v>
      </c>
      <c r="AC291" s="380" t="s">
        <v>768</v>
      </c>
      <c r="AD291" s="380" t="s">
        <v>1</v>
      </c>
      <c r="AE291" s="397" t="s">
        <v>1</v>
      </c>
      <c r="AF291" s="44"/>
      <c r="AG291" s="44"/>
      <c r="AH291" s="44"/>
      <c r="AI291" s="44"/>
      <c r="AJ291" s="44"/>
      <c r="AK291" s="44"/>
      <c r="AL291" s="44"/>
      <c r="AM291" s="44"/>
      <c r="AN291" s="44"/>
      <c r="AO291" s="44"/>
      <c r="AP291" s="44"/>
      <c r="AQ291" s="44"/>
      <c r="AR291" s="44"/>
      <c r="AS291" s="44"/>
    </row>
    <row r="292" spans="1:45" ht="30.75">
      <c r="A292" s="214"/>
      <c r="B292" s="362" t="s">
        <v>490</v>
      </c>
      <c r="C292" s="374" t="s">
        <v>1896</v>
      </c>
      <c r="D292" s="383" t="s">
        <v>778</v>
      </c>
      <c r="E292" s="380">
        <v>2</v>
      </c>
      <c r="F292" s="299" t="s">
        <v>1972</v>
      </c>
      <c r="G292" s="384" t="s">
        <v>793</v>
      </c>
      <c r="H292" s="384" t="s">
        <v>1</v>
      </c>
      <c r="I292" s="395" t="s">
        <v>757</v>
      </c>
      <c r="J292" s="396" t="s">
        <v>1</v>
      </c>
      <c r="K292" s="385" t="s">
        <v>1973</v>
      </c>
      <c r="L292" s="385" t="s">
        <v>1974</v>
      </c>
      <c r="M292" s="386" t="s">
        <v>65</v>
      </c>
      <c r="N292" s="387" t="s">
        <v>1975</v>
      </c>
      <c r="O292" s="387" t="s">
        <v>1976</v>
      </c>
      <c r="P292" s="469" t="s">
        <v>1977</v>
      </c>
      <c r="Q292" s="469" t="s">
        <v>1978</v>
      </c>
      <c r="R292" s="387" t="s">
        <v>1</v>
      </c>
      <c r="S292" s="387"/>
      <c r="T292" s="380">
        <v>1</v>
      </c>
      <c r="U292" s="380">
        <v>7</v>
      </c>
      <c r="V292" s="380" t="s">
        <v>1097</v>
      </c>
      <c r="W292" s="380" t="s">
        <v>953</v>
      </c>
      <c r="X292" s="380" t="s">
        <v>1027</v>
      </c>
      <c r="Y292" s="380" t="s">
        <v>1018</v>
      </c>
      <c r="Z292" s="380" t="s">
        <v>1019</v>
      </c>
      <c r="AA292" s="380" t="s">
        <v>1</v>
      </c>
      <c r="AB292" s="380" t="s">
        <v>1</v>
      </c>
      <c r="AC292" s="380" t="s">
        <v>768</v>
      </c>
      <c r="AD292" s="380" t="s">
        <v>1</v>
      </c>
      <c r="AE292" s="397" t="s">
        <v>1</v>
      </c>
      <c r="AF292" s="44"/>
      <c r="AG292" s="44"/>
      <c r="AH292" s="44"/>
      <c r="AI292" s="44"/>
      <c r="AJ292" s="44"/>
      <c r="AK292" s="44"/>
      <c r="AL292" s="44"/>
      <c r="AM292" s="44"/>
      <c r="AN292" s="44"/>
      <c r="AO292" s="44"/>
      <c r="AP292" s="44"/>
      <c r="AQ292" s="44"/>
      <c r="AR292" s="44"/>
      <c r="AS292" s="44"/>
    </row>
    <row r="293" spans="1:45" ht="45">
      <c r="A293" s="214"/>
      <c r="B293" s="362" t="s">
        <v>490</v>
      </c>
      <c r="C293" s="374" t="s">
        <v>1896</v>
      </c>
      <c r="D293" s="383" t="s">
        <v>778</v>
      </c>
      <c r="E293" s="380">
        <v>3</v>
      </c>
      <c r="F293" s="299" t="s">
        <v>1979</v>
      </c>
      <c r="G293" s="384" t="s">
        <v>744</v>
      </c>
      <c r="H293" s="384" t="s">
        <v>1</v>
      </c>
      <c r="I293" s="395" t="s">
        <v>757</v>
      </c>
      <c r="J293" s="396" t="s">
        <v>1</v>
      </c>
      <c r="K293" s="385" t="s">
        <v>1980</v>
      </c>
      <c r="L293" s="385" t="s">
        <v>1981</v>
      </c>
      <c r="M293" s="386" t="s">
        <v>65</v>
      </c>
      <c r="N293" s="387" t="s">
        <v>1982</v>
      </c>
      <c r="O293" s="387" t="s">
        <v>1983</v>
      </c>
      <c r="P293" s="484" t="s">
        <v>1984</v>
      </c>
      <c r="Q293" s="484" t="s">
        <v>1985</v>
      </c>
      <c r="R293" s="387" t="s">
        <v>1</v>
      </c>
      <c r="S293" s="387"/>
      <c r="T293" s="380">
        <v>1</v>
      </c>
      <c r="U293" s="380">
        <v>7</v>
      </c>
      <c r="V293" s="380" t="s">
        <v>1097</v>
      </c>
      <c r="W293" s="380" t="s">
        <v>953</v>
      </c>
      <c r="X293" s="380" t="s">
        <v>1027</v>
      </c>
      <c r="Y293" s="380" t="s">
        <v>1018</v>
      </c>
      <c r="Z293" s="380" t="s">
        <v>1019</v>
      </c>
      <c r="AA293" s="380" t="s">
        <v>1</v>
      </c>
      <c r="AB293" s="380" t="s">
        <v>1</v>
      </c>
      <c r="AC293" s="380" t="s">
        <v>768</v>
      </c>
      <c r="AD293" s="380" t="s">
        <v>1</v>
      </c>
      <c r="AE293" s="397" t="s">
        <v>1</v>
      </c>
      <c r="AF293" s="44"/>
      <c r="AG293" s="44"/>
      <c r="AH293" s="44"/>
      <c r="AI293" s="44"/>
      <c r="AJ293" s="44"/>
      <c r="AK293" s="44"/>
      <c r="AL293" s="44"/>
      <c r="AM293" s="44"/>
      <c r="AN293" s="44"/>
      <c r="AO293" s="44"/>
      <c r="AP293" s="44"/>
      <c r="AQ293" s="44"/>
      <c r="AR293" s="44"/>
      <c r="AS293" s="44"/>
    </row>
    <row r="294" spans="1:45" ht="30.75">
      <c r="A294" s="214"/>
      <c r="B294" s="362" t="s">
        <v>490</v>
      </c>
      <c r="C294" s="374" t="s">
        <v>1896</v>
      </c>
      <c r="D294" s="383" t="s">
        <v>778</v>
      </c>
      <c r="E294" s="380">
        <v>4</v>
      </c>
      <c r="F294" s="299" t="s">
        <v>1986</v>
      </c>
      <c r="G294" s="384" t="s">
        <v>840</v>
      </c>
      <c r="H294" s="384" t="s">
        <v>1</v>
      </c>
      <c r="I294" s="395" t="s">
        <v>757</v>
      </c>
      <c r="J294" s="396" t="s">
        <v>1</v>
      </c>
      <c r="K294" s="385" t="s">
        <v>1987</v>
      </c>
      <c r="L294" s="385" t="s">
        <v>1988</v>
      </c>
      <c r="M294" s="386" t="s">
        <v>65</v>
      </c>
      <c r="N294" s="387" t="s">
        <v>1989</v>
      </c>
      <c r="O294" s="387" t="s">
        <v>1990</v>
      </c>
      <c r="P294" t="s">
        <v>1991</v>
      </c>
      <c r="Q294" s="387"/>
      <c r="R294" s="387" t="s">
        <v>1</v>
      </c>
      <c r="S294" s="387"/>
      <c r="T294" s="380">
        <v>3</v>
      </c>
      <c r="U294" s="380">
        <v>15</v>
      </c>
      <c r="V294" s="380" t="s">
        <v>1762</v>
      </c>
      <c r="W294" s="380" t="s">
        <v>953</v>
      </c>
      <c r="X294" s="380" t="s">
        <v>1027</v>
      </c>
      <c r="Y294" s="380" t="s">
        <v>1028</v>
      </c>
      <c r="Z294" s="380" t="s">
        <v>1019</v>
      </c>
      <c r="AA294" s="380" t="s">
        <v>1</v>
      </c>
      <c r="AB294" s="380" t="s">
        <v>1</v>
      </c>
      <c r="AC294" s="380" t="s">
        <v>768</v>
      </c>
      <c r="AD294" s="380" t="s">
        <v>1</v>
      </c>
      <c r="AE294" s="397" t="s">
        <v>1</v>
      </c>
      <c r="AF294" s="44"/>
      <c r="AG294" s="44"/>
      <c r="AH294" s="44"/>
      <c r="AI294" s="44"/>
      <c r="AJ294" s="44"/>
      <c r="AK294" s="44"/>
      <c r="AL294" s="44"/>
      <c r="AM294" s="44"/>
      <c r="AN294" s="44"/>
      <c r="AO294" s="44"/>
      <c r="AP294" s="44"/>
      <c r="AQ294" s="44"/>
      <c r="AR294" s="44"/>
      <c r="AS294" s="44"/>
    </row>
    <row r="295" spans="1:45" ht="45">
      <c r="A295" s="214"/>
      <c r="B295" s="363" t="s">
        <v>507</v>
      </c>
      <c r="C295" s="375" t="s">
        <v>1992</v>
      </c>
      <c r="D295" s="379" t="s">
        <v>735</v>
      </c>
      <c r="E295" s="380">
        <v>1</v>
      </c>
      <c r="F295" s="299" t="s">
        <v>1993</v>
      </c>
      <c r="G295" s="384" t="s">
        <v>744</v>
      </c>
      <c r="H295" s="384" t="s">
        <v>1</v>
      </c>
      <c r="I295" s="395" t="s">
        <v>757</v>
      </c>
      <c r="J295" s="396" t="s">
        <v>1</v>
      </c>
      <c r="K295" s="385" t="s">
        <v>1994</v>
      </c>
      <c r="L295" s="385" t="s">
        <v>1995</v>
      </c>
      <c r="M295" s="386" t="s">
        <v>65</v>
      </c>
      <c r="N295" s="387" t="s">
        <v>1996</v>
      </c>
      <c r="O295" s="387" t="s">
        <v>1997</v>
      </c>
      <c r="P295" s="481"/>
      <c r="Q295" t="s">
        <v>1998</v>
      </c>
      <c r="R295" s="387" t="s">
        <v>1</v>
      </c>
      <c r="S295" s="387"/>
      <c r="T295" s="380">
        <v>1</v>
      </c>
      <c r="U295" s="380">
        <v>7</v>
      </c>
      <c r="V295" s="380" t="s">
        <v>1097</v>
      </c>
      <c r="W295" s="380" t="s">
        <v>953</v>
      </c>
      <c r="X295" s="380" t="s">
        <v>1027</v>
      </c>
      <c r="Y295" s="380" t="s">
        <v>1018</v>
      </c>
      <c r="Z295" s="380" t="s">
        <v>1019</v>
      </c>
      <c r="AA295" s="380" t="s">
        <v>1</v>
      </c>
      <c r="AB295" s="380" t="s">
        <v>1</v>
      </c>
      <c r="AC295" s="380" t="s">
        <v>768</v>
      </c>
      <c r="AD295" s="380" t="s">
        <v>1</v>
      </c>
      <c r="AE295" s="397" t="s">
        <v>1</v>
      </c>
      <c r="AF295" s="44"/>
      <c r="AG295" s="44"/>
      <c r="AH295" s="44"/>
      <c r="AI295" s="44"/>
      <c r="AJ295" s="44"/>
      <c r="AK295" s="44"/>
      <c r="AL295" s="44"/>
      <c r="AM295" s="44"/>
      <c r="AN295" s="44"/>
      <c r="AO295" s="44"/>
      <c r="AP295" s="44"/>
      <c r="AQ295" s="44"/>
      <c r="AR295" s="44"/>
      <c r="AS295" s="44"/>
    </row>
    <row r="296" spans="1:45" ht="174">
      <c r="A296" s="214"/>
      <c r="B296" s="363" t="s">
        <v>507</v>
      </c>
      <c r="C296" s="375" t="s">
        <v>1992</v>
      </c>
      <c r="D296" s="379" t="s">
        <v>735</v>
      </c>
      <c r="E296" s="380">
        <v>2</v>
      </c>
      <c r="F296" s="299" t="s">
        <v>1999</v>
      </c>
      <c r="G296" s="384" t="s">
        <v>828</v>
      </c>
      <c r="H296" s="384" t="s">
        <v>1</v>
      </c>
      <c r="I296" s="395" t="s">
        <v>757</v>
      </c>
      <c r="J296" s="396" t="s">
        <v>1</v>
      </c>
      <c r="K296" s="385" t="s">
        <v>2000</v>
      </c>
      <c r="L296" s="385" t="s">
        <v>1995</v>
      </c>
      <c r="M296" s="386" t="s">
        <v>65</v>
      </c>
      <c r="N296" s="387" t="s">
        <v>2001</v>
      </c>
      <c r="O296" s="387" t="s">
        <v>2002</v>
      </c>
      <c r="P296" s="482" t="s">
        <v>2003</v>
      </c>
      <c r="Q296" s="478" t="s">
        <v>2004</v>
      </c>
      <c r="R296" s="387" t="s">
        <v>2005</v>
      </c>
      <c r="S296" s="387" t="s">
        <v>2006</v>
      </c>
      <c r="T296" s="380">
        <v>1</v>
      </c>
      <c r="U296" s="380">
        <v>7</v>
      </c>
      <c r="V296" s="380" t="s">
        <v>1097</v>
      </c>
      <c r="W296" s="380" t="s">
        <v>953</v>
      </c>
      <c r="X296" s="380" t="s">
        <v>828</v>
      </c>
      <c r="Y296" s="380" t="s">
        <v>1018</v>
      </c>
      <c r="Z296" s="380" t="s">
        <v>1019</v>
      </c>
      <c r="AA296" s="380" t="s">
        <v>1</v>
      </c>
      <c r="AB296" s="380" t="s">
        <v>1</v>
      </c>
      <c r="AC296" s="380" t="s">
        <v>768</v>
      </c>
      <c r="AD296" s="380" t="s">
        <v>1</v>
      </c>
      <c r="AE296" s="397" t="s">
        <v>1</v>
      </c>
      <c r="AF296" s="44"/>
      <c r="AG296" s="44"/>
      <c r="AH296" s="44"/>
      <c r="AI296" s="44"/>
      <c r="AJ296" s="44"/>
      <c r="AK296" s="44"/>
      <c r="AL296" s="44"/>
      <c r="AM296" s="44"/>
      <c r="AN296" s="44"/>
      <c r="AO296" s="44"/>
      <c r="AP296" s="44"/>
      <c r="AQ296" s="44"/>
      <c r="AR296" s="44"/>
      <c r="AS296" s="44"/>
    </row>
    <row r="297" spans="1:45" ht="45">
      <c r="A297" s="214"/>
      <c r="B297" s="363" t="s">
        <v>507</v>
      </c>
      <c r="C297" s="375" t="s">
        <v>1992</v>
      </c>
      <c r="D297" s="380" t="s">
        <v>743</v>
      </c>
      <c r="E297" s="380">
        <v>1</v>
      </c>
      <c r="F297" s="299" t="s">
        <v>2007</v>
      </c>
      <c r="G297" s="384" t="s">
        <v>744</v>
      </c>
      <c r="H297" s="384" t="s">
        <v>1</v>
      </c>
      <c r="I297" s="395" t="s">
        <v>757</v>
      </c>
      <c r="J297" s="396" t="s">
        <v>1</v>
      </c>
      <c r="K297" s="385" t="s">
        <v>2008</v>
      </c>
      <c r="L297" s="385" t="s">
        <v>2009</v>
      </c>
      <c r="M297" s="386" t="s">
        <v>65</v>
      </c>
      <c r="N297" s="387" t="s">
        <v>2010</v>
      </c>
      <c r="O297" s="387" t="s">
        <v>2011</v>
      </c>
      <c r="P297" s="482" t="s">
        <v>2012</v>
      </c>
      <c r="Q297" s="478" t="s">
        <v>2013</v>
      </c>
      <c r="R297" s="387" t="s">
        <v>1</v>
      </c>
      <c r="S297" s="387"/>
      <c r="T297" s="380">
        <v>1</v>
      </c>
      <c r="U297" s="380">
        <v>7</v>
      </c>
      <c r="V297" s="380" t="s">
        <v>1097</v>
      </c>
      <c r="W297" s="380" t="s">
        <v>953</v>
      </c>
      <c r="X297" s="380" t="s">
        <v>1027</v>
      </c>
      <c r="Y297" s="380" t="s">
        <v>1018</v>
      </c>
      <c r="Z297" s="380" t="s">
        <v>1019</v>
      </c>
      <c r="AA297" s="380" t="s">
        <v>1</v>
      </c>
      <c r="AB297" s="380" t="s">
        <v>1</v>
      </c>
      <c r="AC297" s="380" t="s">
        <v>768</v>
      </c>
      <c r="AD297" s="380" t="s">
        <v>1</v>
      </c>
      <c r="AE297" s="397" t="s">
        <v>1</v>
      </c>
      <c r="AF297" s="44"/>
      <c r="AG297" s="44"/>
      <c r="AH297" s="44"/>
      <c r="AI297" s="44"/>
      <c r="AJ297" s="44"/>
      <c r="AK297" s="44"/>
      <c r="AL297" s="44"/>
      <c r="AM297" s="44"/>
      <c r="AN297" s="44"/>
      <c r="AO297" s="44"/>
      <c r="AP297" s="44"/>
      <c r="AQ297" s="44"/>
      <c r="AR297" s="44"/>
      <c r="AS297" s="44"/>
    </row>
    <row r="298" spans="1:45" ht="30.75">
      <c r="A298" s="214"/>
      <c r="B298" s="363" t="s">
        <v>507</v>
      </c>
      <c r="C298" s="375" t="s">
        <v>1992</v>
      </c>
      <c r="D298" s="380" t="s">
        <v>743</v>
      </c>
      <c r="E298" s="380">
        <v>2</v>
      </c>
      <c r="F298" s="299" t="s">
        <v>2014</v>
      </c>
      <c r="G298" s="384" t="s">
        <v>840</v>
      </c>
      <c r="H298" s="384" t="s">
        <v>1</v>
      </c>
      <c r="I298" s="395" t="s">
        <v>757</v>
      </c>
      <c r="J298" s="396" t="s">
        <v>1</v>
      </c>
      <c r="K298" s="385" t="s">
        <v>2015</v>
      </c>
      <c r="L298" s="385" t="s">
        <v>2016</v>
      </c>
      <c r="M298" s="386" t="s">
        <v>65</v>
      </c>
      <c r="N298" s="387" t="s">
        <v>2017</v>
      </c>
      <c r="O298" s="387" t="s">
        <v>2018</v>
      </c>
      <c r="P298" s="483" t="s">
        <v>2019</v>
      </c>
      <c r="Q298" s="469" t="s">
        <v>2020</v>
      </c>
      <c r="R298" s="387" t="s">
        <v>1</v>
      </c>
      <c r="S298" s="387"/>
      <c r="T298" s="380">
        <v>3</v>
      </c>
      <c r="U298" s="380">
        <v>15</v>
      </c>
      <c r="V298" s="380" t="s">
        <v>1762</v>
      </c>
      <c r="W298" s="380" t="s">
        <v>953</v>
      </c>
      <c r="X298" s="380" t="s">
        <v>1027</v>
      </c>
      <c r="Y298" s="380" t="s">
        <v>1028</v>
      </c>
      <c r="Z298" s="380" t="s">
        <v>1019</v>
      </c>
      <c r="AA298" s="380" t="s">
        <v>1</v>
      </c>
      <c r="AB298" s="380" t="s">
        <v>1</v>
      </c>
      <c r="AC298" s="380" t="s">
        <v>768</v>
      </c>
      <c r="AD298" s="380" t="s">
        <v>1</v>
      </c>
      <c r="AE298" s="397" t="s">
        <v>1</v>
      </c>
      <c r="AF298" s="44"/>
      <c r="AG298" s="44"/>
      <c r="AH298" s="44"/>
      <c r="AI298" s="44"/>
      <c r="AJ298" s="44"/>
      <c r="AK298" s="44"/>
      <c r="AL298" s="44"/>
      <c r="AM298" s="44"/>
      <c r="AN298" s="44"/>
      <c r="AO298" s="44"/>
      <c r="AP298" s="44"/>
      <c r="AQ298" s="44"/>
      <c r="AR298" s="44"/>
      <c r="AS298" s="44"/>
    </row>
    <row r="299" spans="1:45" ht="45">
      <c r="A299" s="214"/>
      <c r="B299" s="363" t="s">
        <v>507</v>
      </c>
      <c r="C299" s="375" t="s">
        <v>1992</v>
      </c>
      <c r="D299" s="381" t="s">
        <v>750</v>
      </c>
      <c r="E299" s="380">
        <v>1</v>
      </c>
      <c r="F299" s="299" t="s">
        <v>2021</v>
      </c>
      <c r="G299" s="384" t="s">
        <v>744</v>
      </c>
      <c r="H299" s="384" t="s">
        <v>1</v>
      </c>
      <c r="I299" s="395" t="s">
        <v>757</v>
      </c>
      <c r="J299" s="396" t="s">
        <v>1</v>
      </c>
      <c r="K299" s="385" t="s">
        <v>2022</v>
      </c>
      <c r="L299" s="385" t="s">
        <v>2023</v>
      </c>
      <c r="M299" s="386" t="s">
        <v>65</v>
      </c>
      <c r="N299" s="387" t="s">
        <v>2024</v>
      </c>
      <c r="O299" s="387" t="s">
        <v>2025</v>
      </c>
      <c r="P299" s="483" t="s">
        <v>2026</v>
      </c>
      <c r="Q299" s="469" t="s">
        <v>2027</v>
      </c>
      <c r="R299" s="387" t="s">
        <v>1</v>
      </c>
      <c r="S299" s="387"/>
      <c r="T299" s="380">
        <v>1</v>
      </c>
      <c r="U299" s="380">
        <v>7</v>
      </c>
      <c r="V299" s="380" t="s">
        <v>1097</v>
      </c>
      <c r="W299" s="380" t="s">
        <v>953</v>
      </c>
      <c r="X299" s="380" t="s">
        <v>1027</v>
      </c>
      <c r="Y299" s="380" t="s">
        <v>1018</v>
      </c>
      <c r="Z299" s="380" t="s">
        <v>1019</v>
      </c>
      <c r="AA299" s="380" t="s">
        <v>1</v>
      </c>
      <c r="AB299" s="380" t="s">
        <v>1</v>
      </c>
      <c r="AC299" s="380" t="s">
        <v>768</v>
      </c>
      <c r="AD299" s="380" t="s">
        <v>1</v>
      </c>
      <c r="AE299" s="397" t="s">
        <v>1</v>
      </c>
      <c r="AF299" s="44"/>
      <c r="AG299" s="44"/>
      <c r="AH299" s="44"/>
      <c r="AI299" s="44"/>
      <c r="AJ299" s="44"/>
      <c r="AK299" s="44"/>
      <c r="AL299" s="44"/>
      <c r="AM299" s="44"/>
      <c r="AN299" s="44"/>
      <c r="AO299" s="44"/>
      <c r="AP299" s="44"/>
      <c r="AQ299" s="44"/>
      <c r="AR299" s="44"/>
      <c r="AS299" s="44"/>
    </row>
    <row r="300" spans="1:45" ht="30.75">
      <c r="A300" s="214"/>
      <c r="B300" s="363" t="s">
        <v>507</v>
      </c>
      <c r="C300" s="375" t="s">
        <v>1992</v>
      </c>
      <c r="D300" s="381" t="s">
        <v>750</v>
      </c>
      <c r="E300" s="380">
        <v>2</v>
      </c>
      <c r="F300" s="299" t="s">
        <v>2028</v>
      </c>
      <c r="G300" s="384" t="s">
        <v>840</v>
      </c>
      <c r="H300" s="384" t="s">
        <v>1</v>
      </c>
      <c r="I300" s="395" t="s">
        <v>757</v>
      </c>
      <c r="J300" s="396" t="s">
        <v>1</v>
      </c>
      <c r="K300" s="385" t="s">
        <v>2029</v>
      </c>
      <c r="L300" s="385" t="s">
        <v>2030</v>
      </c>
      <c r="M300" s="386" t="s">
        <v>65</v>
      </c>
      <c r="N300" s="387" t="s">
        <v>2031</v>
      </c>
      <c r="O300" s="387" t="s">
        <v>2032</v>
      </c>
      <c r="P300" s="483" t="s">
        <v>2033</v>
      </c>
      <c r="Q300" s="469" t="s">
        <v>2034</v>
      </c>
      <c r="R300" s="387" t="s">
        <v>1</v>
      </c>
      <c r="S300" s="387"/>
      <c r="T300" s="380">
        <v>3</v>
      </c>
      <c r="U300" s="380">
        <v>15</v>
      </c>
      <c r="V300" s="380" t="s">
        <v>1762</v>
      </c>
      <c r="W300" s="380" t="s">
        <v>953</v>
      </c>
      <c r="X300" s="380" t="s">
        <v>1027</v>
      </c>
      <c r="Y300" s="380" t="s">
        <v>1028</v>
      </c>
      <c r="Z300" s="380" t="s">
        <v>1019</v>
      </c>
      <c r="AA300" s="380" t="s">
        <v>1</v>
      </c>
      <c r="AB300" s="380" t="s">
        <v>1</v>
      </c>
      <c r="AC300" s="380" t="s">
        <v>768</v>
      </c>
      <c r="AD300" s="380" t="s">
        <v>1</v>
      </c>
      <c r="AE300" s="397" t="s">
        <v>1</v>
      </c>
      <c r="AF300" s="44"/>
      <c r="AG300" s="44"/>
      <c r="AH300" s="44"/>
      <c r="AI300" s="44"/>
      <c r="AJ300" s="44"/>
      <c r="AK300" s="44"/>
      <c r="AL300" s="44"/>
      <c r="AM300" s="44"/>
      <c r="AN300" s="44"/>
      <c r="AO300" s="44"/>
      <c r="AP300" s="44"/>
      <c r="AQ300" s="44"/>
      <c r="AR300" s="44"/>
      <c r="AS300" s="44"/>
    </row>
    <row r="301" spans="1:45" ht="45">
      <c r="A301" s="214"/>
      <c r="B301" s="363" t="s">
        <v>507</v>
      </c>
      <c r="C301" s="375" t="s">
        <v>1992</v>
      </c>
      <c r="D301" s="382" t="s">
        <v>764</v>
      </c>
      <c r="E301" s="380">
        <v>1</v>
      </c>
      <c r="F301" s="299" t="s">
        <v>2035</v>
      </c>
      <c r="G301" s="384" t="s">
        <v>744</v>
      </c>
      <c r="H301" s="384" t="s">
        <v>1</v>
      </c>
      <c r="I301" s="395" t="s">
        <v>757</v>
      </c>
      <c r="J301" s="396" t="s">
        <v>1</v>
      </c>
      <c r="K301" s="385" t="s">
        <v>2036</v>
      </c>
      <c r="L301" s="385" t="s">
        <v>2037</v>
      </c>
      <c r="M301" s="386" t="s">
        <v>65</v>
      </c>
      <c r="N301" s="387" t="s">
        <v>2038</v>
      </c>
      <c r="O301" s="387" t="s">
        <v>2039</v>
      </c>
      <c r="P301" s="483" t="s">
        <v>2040</v>
      </c>
      <c r="Q301" s="469" t="s">
        <v>2041</v>
      </c>
      <c r="R301" s="387" t="s">
        <v>1</v>
      </c>
      <c r="S301" s="387"/>
      <c r="T301" s="380">
        <v>1</v>
      </c>
      <c r="U301" s="380">
        <v>7</v>
      </c>
      <c r="V301" s="380" t="s">
        <v>1097</v>
      </c>
      <c r="W301" s="380" t="s">
        <v>953</v>
      </c>
      <c r="X301" s="380" t="s">
        <v>1027</v>
      </c>
      <c r="Y301" s="380" t="s">
        <v>1018</v>
      </c>
      <c r="Z301" s="380" t="s">
        <v>1019</v>
      </c>
      <c r="AA301" s="380" t="s">
        <v>1</v>
      </c>
      <c r="AB301" s="380" t="s">
        <v>1</v>
      </c>
      <c r="AC301" s="380" t="s">
        <v>768</v>
      </c>
      <c r="AD301" s="380" t="s">
        <v>1</v>
      </c>
      <c r="AE301" s="397" t="s">
        <v>1</v>
      </c>
      <c r="AF301" s="44"/>
      <c r="AG301" s="44"/>
      <c r="AH301" s="44"/>
      <c r="AI301" s="44"/>
      <c r="AJ301" s="44"/>
      <c r="AK301" s="44"/>
      <c r="AL301" s="44"/>
      <c r="AM301" s="44"/>
      <c r="AN301" s="44"/>
      <c r="AO301" s="44"/>
      <c r="AP301" s="44"/>
      <c r="AQ301" s="44"/>
      <c r="AR301" s="44"/>
      <c r="AS301" s="44"/>
    </row>
    <row r="302" spans="1:45" ht="361.5">
      <c r="A302" s="214"/>
      <c r="B302" s="363" t="s">
        <v>507</v>
      </c>
      <c r="C302" s="375" t="s">
        <v>1992</v>
      </c>
      <c r="D302" s="382" t="s">
        <v>764</v>
      </c>
      <c r="E302" s="380">
        <v>2</v>
      </c>
      <c r="F302" s="299" t="s">
        <v>2042</v>
      </c>
      <c r="G302" s="384" t="s">
        <v>833</v>
      </c>
      <c r="H302" s="384" t="s">
        <v>1</v>
      </c>
      <c r="I302" s="395" t="s">
        <v>757</v>
      </c>
      <c r="J302" s="396" t="s">
        <v>1</v>
      </c>
      <c r="K302" s="385" t="s">
        <v>1495</v>
      </c>
      <c r="L302" s="385" t="s">
        <v>2043</v>
      </c>
      <c r="M302" s="386" t="s">
        <v>65</v>
      </c>
      <c r="N302" s="387" t="s">
        <v>2044</v>
      </c>
      <c r="O302" s="387" t="s">
        <v>2045</v>
      </c>
      <c r="P302" s="482" t="s">
        <v>2046</v>
      </c>
      <c r="Q302" s="478" t="s">
        <v>2047</v>
      </c>
      <c r="R302" s="387" t="s">
        <v>2048</v>
      </c>
      <c r="S302" s="387" t="s">
        <v>2049</v>
      </c>
      <c r="T302" s="380">
        <v>1</v>
      </c>
      <c r="U302" s="380">
        <v>7</v>
      </c>
      <c r="V302" s="380" t="s">
        <v>1097</v>
      </c>
      <c r="W302" s="380" t="s">
        <v>953</v>
      </c>
      <c r="X302" s="380" t="s">
        <v>1027</v>
      </c>
      <c r="Y302" s="380" t="s">
        <v>1018</v>
      </c>
      <c r="Z302" s="380" t="s">
        <v>1019</v>
      </c>
      <c r="AA302" s="380" t="s">
        <v>1</v>
      </c>
      <c r="AB302" s="380" t="s">
        <v>1</v>
      </c>
      <c r="AC302" s="380" t="s">
        <v>768</v>
      </c>
      <c r="AD302" s="380" t="s">
        <v>1</v>
      </c>
      <c r="AE302" s="397" t="s">
        <v>1</v>
      </c>
      <c r="AF302" s="44"/>
      <c r="AG302" s="44"/>
      <c r="AH302" s="44"/>
      <c r="AI302" s="44"/>
      <c r="AJ302" s="44"/>
      <c r="AK302" s="44"/>
      <c r="AL302" s="44"/>
      <c r="AM302" s="44"/>
      <c r="AN302" s="44"/>
      <c r="AO302" s="44"/>
      <c r="AP302" s="44"/>
      <c r="AQ302" s="44"/>
      <c r="AR302" s="44"/>
      <c r="AS302" s="44"/>
    </row>
    <row r="303" spans="1:45" ht="30.75">
      <c r="A303" s="214"/>
      <c r="B303" s="363" t="s">
        <v>507</v>
      </c>
      <c r="C303" s="375" t="s">
        <v>1992</v>
      </c>
      <c r="D303" s="382" t="s">
        <v>764</v>
      </c>
      <c r="E303" s="380">
        <v>3</v>
      </c>
      <c r="F303" s="299" t="s">
        <v>2050</v>
      </c>
      <c r="G303" s="384" t="s">
        <v>756</v>
      </c>
      <c r="H303" s="384" t="s">
        <v>1</v>
      </c>
      <c r="I303" s="395" t="s">
        <v>1045</v>
      </c>
      <c r="J303" s="396" t="s">
        <v>1</v>
      </c>
      <c r="K303" s="385" t="s">
        <v>2051</v>
      </c>
      <c r="L303" s="385" t="s">
        <v>1496</v>
      </c>
      <c r="M303" s="386" t="s">
        <v>65</v>
      </c>
      <c r="N303" s="387" t="s">
        <v>2052</v>
      </c>
      <c r="O303" s="387" t="s">
        <v>2053</v>
      </c>
      <c r="P303" s="482" t="s">
        <v>1499</v>
      </c>
      <c r="Q303" s="478" t="s">
        <v>2054</v>
      </c>
      <c r="R303" s="387" t="s">
        <v>1</v>
      </c>
      <c r="S303" s="387"/>
      <c r="T303" s="380">
        <v>1</v>
      </c>
      <c r="U303" s="380">
        <v>7</v>
      </c>
      <c r="V303" s="380" t="s">
        <v>1097</v>
      </c>
      <c r="W303" s="380" t="s">
        <v>953</v>
      </c>
      <c r="X303" s="380" t="s">
        <v>1027</v>
      </c>
      <c r="Y303" s="380" t="s">
        <v>1050</v>
      </c>
      <c r="Z303" s="380" t="s">
        <v>1051</v>
      </c>
      <c r="AA303" s="380" t="s">
        <v>1</v>
      </c>
      <c r="AB303" s="380" t="s">
        <v>1</v>
      </c>
      <c r="AC303" s="380" t="s">
        <v>768</v>
      </c>
      <c r="AD303" s="380" t="s">
        <v>1</v>
      </c>
      <c r="AE303" s="397" t="s">
        <v>1</v>
      </c>
      <c r="AF303" s="44"/>
      <c r="AG303" s="44"/>
      <c r="AH303" s="44"/>
      <c r="AI303" s="44"/>
      <c r="AJ303" s="44"/>
      <c r="AK303" s="44"/>
      <c r="AL303" s="44"/>
      <c r="AM303" s="44"/>
      <c r="AN303" s="44"/>
      <c r="AO303" s="44"/>
      <c r="AP303" s="44"/>
      <c r="AQ303" s="44"/>
      <c r="AR303" s="44"/>
      <c r="AS303" s="44"/>
    </row>
    <row r="304" spans="1:45" ht="30.75">
      <c r="A304" s="214"/>
      <c r="B304" s="363" t="s">
        <v>507</v>
      </c>
      <c r="C304" s="375" t="s">
        <v>1992</v>
      </c>
      <c r="D304" s="382" t="s">
        <v>764</v>
      </c>
      <c r="E304" s="380">
        <v>4</v>
      </c>
      <c r="F304" s="299" t="s">
        <v>2055</v>
      </c>
      <c r="G304" s="384" t="s">
        <v>744</v>
      </c>
      <c r="H304" s="384" t="s">
        <v>1</v>
      </c>
      <c r="I304" s="395" t="s">
        <v>757</v>
      </c>
      <c r="J304" s="396" t="s">
        <v>1</v>
      </c>
      <c r="K304" s="385" t="s">
        <v>2056</v>
      </c>
      <c r="L304" s="385" t="s">
        <v>2057</v>
      </c>
      <c r="M304" s="386" t="s">
        <v>65</v>
      </c>
      <c r="N304" s="387" t="s">
        <v>2058</v>
      </c>
      <c r="O304" s="387" t="s">
        <v>2059</v>
      </c>
      <c r="P304" s="483" t="s">
        <v>2060</v>
      </c>
      <c r="Q304" s="469" t="s">
        <v>2061</v>
      </c>
      <c r="R304" s="387" t="s">
        <v>1</v>
      </c>
      <c r="S304" s="387"/>
      <c r="T304" s="380">
        <v>1</v>
      </c>
      <c r="U304" s="380">
        <v>7</v>
      </c>
      <c r="V304" s="380" t="s">
        <v>1097</v>
      </c>
      <c r="W304" s="380" t="s">
        <v>953</v>
      </c>
      <c r="X304" s="380" t="s">
        <v>1027</v>
      </c>
      <c r="Y304" s="380" t="s">
        <v>1018</v>
      </c>
      <c r="Z304" s="380" t="s">
        <v>1019</v>
      </c>
      <c r="AA304" s="380" t="s">
        <v>1</v>
      </c>
      <c r="AB304" s="380" t="s">
        <v>1</v>
      </c>
      <c r="AC304" s="380" t="s">
        <v>768</v>
      </c>
      <c r="AD304" s="380" t="s">
        <v>1</v>
      </c>
      <c r="AE304" s="397" t="s">
        <v>1</v>
      </c>
      <c r="AF304" s="44"/>
      <c r="AG304" s="44"/>
      <c r="AH304" s="44"/>
      <c r="AI304" s="44"/>
      <c r="AJ304" s="44"/>
      <c r="AK304" s="44"/>
      <c r="AL304" s="44"/>
      <c r="AM304" s="44"/>
      <c r="AN304" s="44"/>
      <c r="AO304" s="44"/>
      <c r="AP304" s="44"/>
      <c r="AQ304" s="44"/>
      <c r="AR304" s="44"/>
      <c r="AS304" s="44"/>
    </row>
    <row r="305" spans="1:45" ht="45">
      <c r="A305" s="214"/>
      <c r="B305" s="363" t="s">
        <v>507</v>
      </c>
      <c r="C305" s="375" t="s">
        <v>1992</v>
      </c>
      <c r="D305" s="383" t="s">
        <v>778</v>
      </c>
      <c r="E305" s="380">
        <v>1</v>
      </c>
      <c r="F305" s="299" t="s">
        <v>2062</v>
      </c>
      <c r="G305" s="384" t="s">
        <v>840</v>
      </c>
      <c r="H305" s="384" t="s">
        <v>1</v>
      </c>
      <c r="I305" s="395" t="s">
        <v>757</v>
      </c>
      <c r="J305" s="396" t="s">
        <v>1</v>
      </c>
      <c r="K305" s="385" t="s">
        <v>2063</v>
      </c>
      <c r="L305" s="385" t="s">
        <v>2064</v>
      </c>
      <c r="M305" s="386" t="s">
        <v>65</v>
      </c>
      <c r="N305" s="387" t="s">
        <v>2065</v>
      </c>
      <c r="O305" s="387" t="s">
        <v>2066</v>
      </c>
      <c r="P305" s="483" t="s">
        <v>2067</v>
      </c>
      <c r="Q305" s="469" t="s">
        <v>2068</v>
      </c>
      <c r="R305" s="387" t="s">
        <v>1</v>
      </c>
      <c r="S305" s="387"/>
      <c r="T305" s="380">
        <v>3</v>
      </c>
      <c r="U305" s="380">
        <v>15</v>
      </c>
      <c r="V305" s="380" t="s">
        <v>1762</v>
      </c>
      <c r="W305" s="380" t="s">
        <v>953</v>
      </c>
      <c r="X305" s="380" t="s">
        <v>1027</v>
      </c>
      <c r="Y305" s="380" t="s">
        <v>1028</v>
      </c>
      <c r="Z305" s="380" t="s">
        <v>1019</v>
      </c>
      <c r="AA305" s="380" t="s">
        <v>1</v>
      </c>
      <c r="AB305" s="380" t="s">
        <v>1</v>
      </c>
      <c r="AC305" s="380" t="s">
        <v>768</v>
      </c>
      <c r="AD305" s="380" t="s">
        <v>1</v>
      </c>
      <c r="AE305" s="397" t="s">
        <v>1</v>
      </c>
      <c r="AF305" s="44"/>
      <c r="AG305" s="44"/>
      <c r="AH305" s="44"/>
      <c r="AI305" s="44"/>
      <c r="AJ305" s="44"/>
      <c r="AK305" s="44"/>
      <c r="AL305" s="44"/>
      <c r="AM305" s="44"/>
      <c r="AN305" s="44"/>
      <c r="AO305" s="44"/>
      <c r="AP305" s="44"/>
      <c r="AQ305" s="44"/>
      <c r="AR305" s="44"/>
      <c r="AS305" s="44"/>
    </row>
    <row r="306" spans="1:45" ht="45">
      <c r="A306" s="214"/>
      <c r="B306" s="363" t="s">
        <v>507</v>
      </c>
      <c r="C306" s="375" t="s">
        <v>1992</v>
      </c>
      <c r="D306" s="383" t="s">
        <v>778</v>
      </c>
      <c r="E306" s="380">
        <v>2</v>
      </c>
      <c r="F306" s="299" t="s">
        <v>2069</v>
      </c>
      <c r="G306" s="384" t="s">
        <v>840</v>
      </c>
      <c r="H306" s="384" t="s">
        <v>1</v>
      </c>
      <c r="I306" s="395" t="s">
        <v>757</v>
      </c>
      <c r="J306" s="396" t="s">
        <v>1</v>
      </c>
      <c r="K306" s="385" t="s">
        <v>2070</v>
      </c>
      <c r="L306" s="385" t="s">
        <v>2071</v>
      </c>
      <c r="M306" s="386" t="s">
        <v>65</v>
      </c>
      <c r="N306" s="387" t="s">
        <v>2072</v>
      </c>
      <c r="O306" s="387" t="s">
        <v>2073</v>
      </c>
      <c r="P306" s="483" t="s">
        <v>2074</v>
      </c>
      <c r="Q306" s="469" t="s">
        <v>2075</v>
      </c>
      <c r="R306" s="387" t="s">
        <v>1</v>
      </c>
      <c r="S306" s="387"/>
      <c r="T306" s="380">
        <v>3</v>
      </c>
      <c r="U306" s="380">
        <v>15</v>
      </c>
      <c r="V306" s="380" t="s">
        <v>1762</v>
      </c>
      <c r="W306" s="380" t="s">
        <v>953</v>
      </c>
      <c r="X306" s="380" t="s">
        <v>1027</v>
      </c>
      <c r="Y306" s="380" t="s">
        <v>1028</v>
      </c>
      <c r="Z306" s="380" t="s">
        <v>1019</v>
      </c>
      <c r="AA306" s="380" t="s">
        <v>1</v>
      </c>
      <c r="AB306" s="380" t="s">
        <v>1</v>
      </c>
      <c r="AC306" s="380" t="s">
        <v>768</v>
      </c>
      <c r="AD306" s="380" t="s">
        <v>1</v>
      </c>
      <c r="AE306" s="397" t="s">
        <v>1</v>
      </c>
      <c r="AF306" s="44"/>
      <c r="AG306" s="44"/>
      <c r="AH306" s="44"/>
      <c r="AI306" s="44"/>
      <c r="AJ306" s="44"/>
      <c r="AK306" s="44"/>
      <c r="AL306" s="44"/>
      <c r="AM306" s="44"/>
      <c r="AN306" s="44"/>
      <c r="AO306" s="44"/>
      <c r="AP306" s="44"/>
      <c r="AQ306" s="44"/>
      <c r="AR306" s="44"/>
      <c r="AS306" s="44"/>
    </row>
    <row r="307" spans="1:45" ht="45">
      <c r="A307" s="214"/>
      <c r="B307" s="363" t="s">
        <v>507</v>
      </c>
      <c r="C307" s="375" t="s">
        <v>1992</v>
      </c>
      <c r="D307" s="383" t="s">
        <v>778</v>
      </c>
      <c r="E307" s="380">
        <v>3</v>
      </c>
      <c r="F307" s="299" t="s">
        <v>2076</v>
      </c>
      <c r="G307" s="384" t="s">
        <v>744</v>
      </c>
      <c r="H307" s="384" t="s">
        <v>1</v>
      </c>
      <c r="I307" s="395" t="s">
        <v>757</v>
      </c>
      <c r="J307" s="396" t="s">
        <v>1</v>
      </c>
      <c r="K307" s="385" t="s">
        <v>2077</v>
      </c>
      <c r="L307" s="385" t="s">
        <v>2078</v>
      </c>
      <c r="M307" s="386" t="s">
        <v>65</v>
      </c>
      <c r="N307" s="387" t="s">
        <v>2079</v>
      </c>
      <c r="O307" s="387" t="s">
        <v>2080</v>
      </c>
      <c r="P307" s="483" t="s">
        <v>2081</v>
      </c>
      <c r="Q307" s="469" t="s">
        <v>2082</v>
      </c>
      <c r="R307" s="387" t="s">
        <v>1</v>
      </c>
      <c r="S307" s="387"/>
      <c r="T307" s="380">
        <v>1</v>
      </c>
      <c r="U307" s="380">
        <v>7</v>
      </c>
      <c r="V307" s="380" t="s">
        <v>1097</v>
      </c>
      <c r="W307" s="380" t="s">
        <v>953</v>
      </c>
      <c r="X307" s="380" t="s">
        <v>1027</v>
      </c>
      <c r="Y307" s="380" t="s">
        <v>1018</v>
      </c>
      <c r="Z307" s="380" t="s">
        <v>1019</v>
      </c>
      <c r="AA307" s="380" t="s">
        <v>1</v>
      </c>
      <c r="AB307" s="380" t="s">
        <v>1</v>
      </c>
      <c r="AC307" s="380" t="s">
        <v>768</v>
      </c>
      <c r="AD307" s="380" t="s">
        <v>1</v>
      </c>
      <c r="AE307" s="397" t="s">
        <v>1</v>
      </c>
      <c r="AF307" s="44"/>
      <c r="AG307" s="44"/>
      <c r="AH307" s="44"/>
      <c r="AI307" s="44"/>
      <c r="AJ307" s="44"/>
      <c r="AK307" s="44"/>
      <c r="AL307" s="44"/>
      <c r="AM307" s="44"/>
      <c r="AN307" s="44"/>
      <c r="AO307" s="44"/>
      <c r="AP307" s="44"/>
      <c r="AQ307" s="44"/>
      <c r="AR307" s="44"/>
      <c r="AS307" s="44"/>
    </row>
    <row r="308" spans="1:45" ht="45">
      <c r="A308" s="214"/>
      <c r="B308" s="363" t="s">
        <v>507</v>
      </c>
      <c r="C308" s="375" t="s">
        <v>1992</v>
      </c>
      <c r="D308" s="383" t="s">
        <v>778</v>
      </c>
      <c r="E308" s="380">
        <v>4</v>
      </c>
      <c r="F308" s="299" t="s">
        <v>2083</v>
      </c>
      <c r="G308" s="384" t="s">
        <v>840</v>
      </c>
      <c r="H308" s="384" t="s">
        <v>1</v>
      </c>
      <c r="I308" s="395" t="s">
        <v>757</v>
      </c>
      <c r="J308" s="396" t="s">
        <v>1</v>
      </c>
      <c r="K308" s="385" t="s">
        <v>2084</v>
      </c>
      <c r="L308" s="385" t="s">
        <v>2085</v>
      </c>
      <c r="M308" s="386" t="s">
        <v>65</v>
      </c>
      <c r="N308" s="387" t="s">
        <v>2086</v>
      </c>
      <c r="O308" s="387" t="s">
        <v>2087</v>
      </c>
      <c r="P308" s="469" t="s">
        <v>2088</v>
      </c>
      <c r="Q308" s="469" t="s">
        <v>2089</v>
      </c>
      <c r="R308" s="387" t="s">
        <v>1</v>
      </c>
      <c r="S308" s="387"/>
      <c r="T308" s="380">
        <v>3</v>
      </c>
      <c r="U308" s="380">
        <v>15</v>
      </c>
      <c r="V308" s="380" t="s">
        <v>1762</v>
      </c>
      <c r="W308" s="380" t="s">
        <v>953</v>
      </c>
      <c r="X308" s="380" t="s">
        <v>1027</v>
      </c>
      <c r="Y308" s="380" t="s">
        <v>1028</v>
      </c>
      <c r="Z308" s="380" t="s">
        <v>1019</v>
      </c>
      <c r="AA308" s="380" t="s">
        <v>1</v>
      </c>
      <c r="AB308" s="380" t="s">
        <v>1</v>
      </c>
      <c r="AC308" s="380" t="s">
        <v>768</v>
      </c>
      <c r="AD308" s="380" t="s">
        <v>1</v>
      </c>
      <c r="AE308" s="397" t="s">
        <v>1</v>
      </c>
      <c r="AF308" s="44"/>
      <c r="AG308" s="44"/>
      <c r="AH308" s="44"/>
      <c r="AI308" s="44"/>
      <c r="AJ308" s="44"/>
      <c r="AK308" s="44"/>
      <c r="AL308" s="44"/>
      <c r="AM308" s="44"/>
      <c r="AN308" s="44"/>
      <c r="AO308" s="44"/>
      <c r="AP308" s="44"/>
      <c r="AQ308" s="44"/>
      <c r="AR308" s="44"/>
      <c r="AS308" s="44"/>
    </row>
    <row r="309" spans="1:45" ht="45">
      <c r="A309" s="214"/>
      <c r="B309" s="364" t="s">
        <v>524</v>
      </c>
      <c r="C309" s="376" t="s">
        <v>2090</v>
      </c>
      <c r="D309" s="379" t="s">
        <v>735</v>
      </c>
      <c r="E309" s="380">
        <v>1</v>
      </c>
      <c r="F309" s="299" t="s">
        <v>2091</v>
      </c>
      <c r="G309" s="384" t="s">
        <v>744</v>
      </c>
      <c r="H309" s="384" t="s">
        <v>1</v>
      </c>
      <c r="I309" s="395" t="s">
        <v>757</v>
      </c>
      <c r="J309" s="396" t="s">
        <v>1</v>
      </c>
      <c r="K309" s="385" t="s">
        <v>2092</v>
      </c>
      <c r="L309" s="385" t="s">
        <v>2093</v>
      </c>
      <c r="M309" s="386" t="s">
        <v>65</v>
      </c>
      <c r="N309" s="387" t="s">
        <v>2094</v>
      </c>
      <c r="O309" s="387" t="s">
        <v>2095</v>
      </c>
      <c r="P309" s="469" t="s">
        <v>2096</v>
      </c>
      <c r="Q309" s="469" t="s">
        <v>2097</v>
      </c>
      <c r="R309" s="387" t="s">
        <v>1</v>
      </c>
      <c r="S309" s="387"/>
      <c r="T309" s="380">
        <v>1</v>
      </c>
      <c r="U309" s="380">
        <v>7</v>
      </c>
      <c r="V309" s="380" t="s">
        <v>1097</v>
      </c>
      <c r="W309" s="380" t="s">
        <v>953</v>
      </c>
      <c r="X309" s="380" t="s">
        <v>1027</v>
      </c>
      <c r="Y309" s="380" t="s">
        <v>1018</v>
      </c>
      <c r="Z309" s="380" t="s">
        <v>1019</v>
      </c>
      <c r="AA309" s="380" t="s">
        <v>1</v>
      </c>
      <c r="AB309" s="380" t="s">
        <v>1</v>
      </c>
      <c r="AC309" s="380" t="s">
        <v>768</v>
      </c>
      <c r="AD309" s="380" t="s">
        <v>1</v>
      </c>
      <c r="AE309" s="397" t="s">
        <v>1</v>
      </c>
      <c r="AF309" s="44"/>
      <c r="AG309" s="44"/>
      <c r="AH309" s="44"/>
      <c r="AI309" s="44"/>
      <c r="AJ309" s="44"/>
      <c r="AK309" s="44"/>
      <c r="AL309" s="44"/>
      <c r="AM309" s="44"/>
      <c r="AN309" s="44"/>
      <c r="AO309" s="44"/>
      <c r="AP309" s="44"/>
      <c r="AQ309" s="44"/>
      <c r="AR309" s="44"/>
      <c r="AS309" s="44"/>
    </row>
    <row r="310" spans="1:45" ht="45">
      <c r="A310" s="214"/>
      <c r="B310" s="364" t="s">
        <v>524</v>
      </c>
      <c r="C310" s="376" t="s">
        <v>2090</v>
      </c>
      <c r="D310" s="379" t="s">
        <v>735</v>
      </c>
      <c r="E310" s="380">
        <v>2</v>
      </c>
      <c r="F310" s="299" t="s">
        <v>2098</v>
      </c>
      <c r="G310" s="384" t="s">
        <v>744</v>
      </c>
      <c r="H310" s="384" t="s">
        <v>1</v>
      </c>
      <c r="I310" s="395" t="s">
        <v>757</v>
      </c>
      <c r="J310" s="396" t="s">
        <v>1</v>
      </c>
      <c r="K310" s="385" t="s">
        <v>2099</v>
      </c>
      <c r="L310" s="385" t="s">
        <v>2093</v>
      </c>
      <c r="M310" s="386" t="s">
        <v>65</v>
      </c>
      <c r="N310" s="387" t="s">
        <v>2100</v>
      </c>
      <c r="O310" s="387" t="s">
        <v>2101</v>
      </c>
      <c r="P310" s="469" t="s">
        <v>2102</v>
      </c>
      <c r="Q310" s="469" t="s">
        <v>2103</v>
      </c>
      <c r="R310" s="387" t="s">
        <v>1</v>
      </c>
      <c r="S310" s="387"/>
      <c r="T310" s="380">
        <v>1</v>
      </c>
      <c r="U310" s="380">
        <v>7</v>
      </c>
      <c r="V310" s="380" t="s">
        <v>1097</v>
      </c>
      <c r="W310" s="380" t="s">
        <v>953</v>
      </c>
      <c r="X310" s="380" t="s">
        <v>1027</v>
      </c>
      <c r="Y310" s="380" t="s">
        <v>1018</v>
      </c>
      <c r="Z310" s="380" t="s">
        <v>1019</v>
      </c>
      <c r="AA310" s="380" t="s">
        <v>1</v>
      </c>
      <c r="AB310" s="380" t="s">
        <v>1</v>
      </c>
      <c r="AC310" s="380" t="s">
        <v>768</v>
      </c>
      <c r="AD310" s="380" t="s">
        <v>1</v>
      </c>
      <c r="AE310" s="397" t="s">
        <v>1</v>
      </c>
      <c r="AF310" s="44"/>
      <c r="AG310" s="44"/>
      <c r="AH310" s="44"/>
      <c r="AI310" s="44"/>
      <c r="AJ310" s="44"/>
      <c r="AK310" s="44"/>
      <c r="AL310" s="44"/>
      <c r="AM310" s="44"/>
      <c r="AN310" s="44"/>
      <c r="AO310" s="44"/>
      <c r="AP310" s="44"/>
      <c r="AQ310" s="44"/>
      <c r="AR310" s="44"/>
      <c r="AS310" s="44"/>
    </row>
    <row r="311" spans="1:45" ht="45">
      <c r="A311" s="214"/>
      <c r="B311" s="364" t="s">
        <v>524</v>
      </c>
      <c r="C311" s="376" t="s">
        <v>2090</v>
      </c>
      <c r="D311" s="380" t="s">
        <v>743</v>
      </c>
      <c r="E311" s="380">
        <v>1</v>
      </c>
      <c r="F311" s="299" t="s">
        <v>2104</v>
      </c>
      <c r="G311" s="384" t="s">
        <v>840</v>
      </c>
      <c r="H311" s="384" t="s">
        <v>1</v>
      </c>
      <c r="I311" s="395" t="s">
        <v>757</v>
      </c>
      <c r="J311" s="396" t="s">
        <v>1</v>
      </c>
      <c r="K311" s="385" t="s">
        <v>2105</v>
      </c>
      <c r="L311" s="385" t="s">
        <v>2106</v>
      </c>
      <c r="M311" s="386" t="s">
        <v>65</v>
      </c>
      <c r="N311" s="387" t="s">
        <v>2107</v>
      </c>
      <c r="O311" s="387" t="s">
        <v>2108</v>
      </c>
      <c r="P311" s="469" t="s">
        <v>2102</v>
      </c>
      <c r="Q311" s="469" t="s">
        <v>2109</v>
      </c>
      <c r="R311" s="387" t="s">
        <v>1</v>
      </c>
      <c r="S311" s="387"/>
      <c r="T311" s="380">
        <v>3</v>
      </c>
      <c r="U311" s="380">
        <v>15</v>
      </c>
      <c r="V311" s="380" t="s">
        <v>1762</v>
      </c>
      <c r="W311" s="380" t="s">
        <v>953</v>
      </c>
      <c r="X311" s="380" t="s">
        <v>1027</v>
      </c>
      <c r="Y311" s="380" t="s">
        <v>1028</v>
      </c>
      <c r="Z311" s="380" t="s">
        <v>1019</v>
      </c>
      <c r="AA311" s="380" t="s">
        <v>1</v>
      </c>
      <c r="AB311" s="380" t="s">
        <v>1</v>
      </c>
      <c r="AC311" s="380" t="s">
        <v>768</v>
      </c>
      <c r="AD311" s="380" t="s">
        <v>1</v>
      </c>
      <c r="AE311" s="397" t="s">
        <v>1</v>
      </c>
      <c r="AF311" s="44"/>
      <c r="AG311" s="44"/>
      <c r="AH311" s="44"/>
      <c r="AI311" s="44"/>
      <c r="AJ311" s="44"/>
      <c r="AK311" s="44"/>
      <c r="AL311" s="44"/>
      <c r="AM311" s="44"/>
      <c r="AN311" s="44"/>
      <c r="AO311" s="44"/>
      <c r="AP311" s="44"/>
      <c r="AQ311" s="44"/>
      <c r="AR311" s="44"/>
      <c r="AS311" s="44"/>
    </row>
    <row r="312" spans="1:45" ht="45">
      <c r="A312" s="214"/>
      <c r="B312" s="364" t="s">
        <v>524</v>
      </c>
      <c r="C312" s="376" t="s">
        <v>2090</v>
      </c>
      <c r="D312" s="380" t="s">
        <v>743</v>
      </c>
      <c r="E312" s="380">
        <v>2</v>
      </c>
      <c r="F312" s="299" t="s">
        <v>2110</v>
      </c>
      <c r="G312" s="384" t="s">
        <v>744</v>
      </c>
      <c r="H312" s="384" t="s">
        <v>1</v>
      </c>
      <c r="I312" s="395" t="s">
        <v>757</v>
      </c>
      <c r="J312" s="396" t="s">
        <v>1</v>
      </c>
      <c r="K312" s="385" t="s">
        <v>2111</v>
      </c>
      <c r="L312" s="385" t="s">
        <v>2112</v>
      </c>
      <c r="M312" s="386" t="s">
        <v>65</v>
      </c>
      <c r="N312" s="387" t="s">
        <v>2113</v>
      </c>
      <c r="O312" s="387" t="s">
        <v>2114</v>
      </c>
      <c r="P312" s="469" t="s">
        <v>2115</v>
      </c>
      <c r="Q312" s="469" t="s">
        <v>2116</v>
      </c>
      <c r="R312" s="387" t="s">
        <v>1</v>
      </c>
      <c r="S312" s="387"/>
      <c r="T312" s="380">
        <v>1</v>
      </c>
      <c r="U312" s="380">
        <v>7</v>
      </c>
      <c r="V312" s="380" t="s">
        <v>1097</v>
      </c>
      <c r="W312" s="380" t="s">
        <v>953</v>
      </c>
      <c r="X312" s="380" t="s">
        <v>1027</v>
      </c>
      <c r="Y312" s="380" t="s">
        <v>1018</v>
      </c>
      <c r="Z312" s="380" t="s">
        <v>1019</v>
      </c>
      <c r="AA312" s="380" t="s">
        <v>1</v>
      </c>
      <c r="AB312" s="380" t="s">
        <v>1</v>
      </c>
      <c r="AC312" s="380" t="s">
        <v>768</v>
      </c>
      <c r="AD312" s="380" t="s">
        <v>1</v>
      </c>
      <c r="AE312" s="397" t="s">
        <v>1</v>
      </c>
      <c r="AF312" s="44"/>
      <c r="AG312" s="44"/>
      <c r="AH312" s="44"/>
      <c r="AI312" s="44"/>
      <c r="AJ312" s="44"/>
      <c r="AK312" s="44"/>
      <c r="AL312" s="44"/>
      <c r="AM312" s="44"/>
      <c r="AN312" s="44"/>
      <c r="AO312" s="44"/>
      <c r="AP312" s="44"/>
      <c r="AQ312" s="44"/>
      <c r="AR312" s="44"/>
      <c r="AS312" s="44"/>
    </row>
    <row r="313" spans="1:45" ht="30.75">
      <c r="A313" s="214"/>
      <c r="B313" s="364" t="s">
        <v>524</v>
      </c>
      <c r="C313" s="376" t="s">
        <v>2090</v>
      </c>
      <c r="D313" s="381" t="s">
        <v>750</v>
      </c>
      <c r="E313" s="380">
        <v>1</v>
      </c>
      <c r="F313" s="299" t="s">
        <v>2117</v>
      </c>
      <c r="G313" s="384" t="s">
        <v>840</v>
      </c>
      <c r="H313" s="384" t="s">
        <v>1</v>
      </c>
      <c r="I313" s="395" t="s">
        <v>757</v>
      </c>
      <c r="J313" s="396" t="s">
        <v>1</v>
      </c>
      <c r="K313" s="385" t="s">
        <v>2118</v>
      </c>
      <c r="L313" s="385" t="s">
        <v>2119</v>
      </c>
      <c r="M313" s="386" t="s">
        <v>65</v>
      </c>
      <c r="N313" s="387" t="s">
        <v>2120</v>
      </c>
      <c r="O313" s="387" t="s">
        <v>2121</v>
      </c>
      <c r="P313" s="469" t="s">
        <v>2122</v>
      </c>
      <c r="Q313" s="469" t="s">
        <v>2123</v>
      </c>
      <c r="R313" s="387" t="s">
        <v>1</v>
      </c>
      <c r="S313" s="387"/>
      <c r="T313" s="380">
        <v>3</v>
      </c>
      <c r="U313" s="380">
        <v>15</v>
      </c>
      <c r="V313" s="380" t="s">
        <v>1762</v>
      </c>
      <c r="W313" s="380" t="s">
        <v>953</v>
      </c>
      <c r="X313" s="380" t="s">
        <v>1027</v>
      </c>
      <c r="Y313" s="380" t="s">
        <v>1028</v>
      </c>
      <c r="Z313" s="380" t="s">
        <v>1019</v>
      </c>
      <c r="AA313" s="380" t="s">
        <v>1</v>
      </c>
      <c r="AB313" s="380" t="s">
        <v>1</v>
      </c>
      <c r="AC313" s="380" t="s">
        <v>768</v>
      </c>
      <c r="AD313" s="380" t="s">
        <v>1</v>
      </c>
      <c r="AE313" s="397" t="s">
        <v>1</v>
      </c>
      <c r="AF313" s="44"/>
      <c r="AG313" s="44"/>
      <c r="AH313" s="44"/>
      <c r="AI313" s="44"/>
      <c r="AJ313" s="44"/>
      <c r="AK313" s="44"/>
      <c r="AL313" s="44"/>
      <c r="AM313" s="44"/>
      <c r="AN313" s="44"/>
      <c r="AO313" s="44"/>
      <c r="AP313" s="44"/>
      <c r="AQ313" s="44"/>
      <c r="AR313" s="44"/>
      <c r="AS313" s="44"/>
    </row>
    <row r="314" spans="1:45" ht="45">
      <c r="A314" s="214"/>
      <c r="B314" s="364" t="s">
        <v>524</v>
      </c>
      <c r="C314" s="376" t="s">
        <v>2090</v>
      </c>
      <c r="D314" s="381" t="s">
        <v>750</v>
      </c>
      <c r="E314" s="380">
        <v>2</v>
      </c>
      <c r="F314" s="299" t="s">
        <v>2124</v>
      </c>
      <c r="G314" s="384" t="s">
        <v>744</v>
      </c>
      <c r="H314" s="384" t="s">
        <v>1</v>
      </c>
      <c r="I314" s="395" t="s">
        <v>757</v>
      </c>
      <c r="J314" s="396" t="s">
        <v>1</v>
      </c>
      <c r="K314" s="385" t="s">
        <v>2125</v>
      </c>
      <c r="L314" s="385" t="s">
        <v>2126</v>
      </c>
      <c r="M314" s="386" t="s">
        <v>65</v>
      </c>
      <c r="N314" s="387" t="s">
        <v>2127</v>
      </c>
      <c r="O314" s="387" t="s">
        <v>2128</v>
      </c>
      <c r="P314" s="469" t="s">
        <v>2129</v>
      </c>
      <c r="Q314" s="469" t="s">
        <v>2130</v>
      </c>
      <c r="R314" s="387" t="s">
        <v>1</v>
      </c>
      <c r="S314" s="387"/>
      <c r="T314" s="380">
        <v>1</v>
      </c>
      <c r="U314" s="380">
        <v>7</v>
      </c>
      <c r="V314" s="380" t="s">
        <v>1097</v>
      </c>
      <c r="W314" s="380" t="s">
        <v>953</v>
      </c>
      <c r="X314" s="380" t="s">
        <v>1027</v>
      </c>
      <c r="Y314" s="380" t="s">
        <v>1018</v>
      </c>
      <c r="Z314" s="380" t="s">
        <v>1019</v>
      </c>
      <c r="AA314" s="380" t="s">
        <v>1</v>
      </c>
      <c r="AB314" s="380" t="s">
        <v>1</v>
      </c>
      <c r="AC314" s="380" t="s">
        <v>768</v>
      </c>
      <c r="AD314" s="380" t="s">
        <v>1</v>
      </c>
      <c r="AE314" s="397" t="s">
        <v>1</v>
      </c>
      <c r="AF314" s="44"/>
      <c r="AG314" s="44"/>
      <c r="AH314" s="44"/>
      <c r="AI314" s="44"/>
      <c r="AJ314" s="44"/>
      <c r="AK314" s="44"/>
      <c r="AL314" s="44"/>
      <c r="AM314" s="44"/>
      <c r="AN314" s="44"/>
      <c r="AO314" s="44"/>
      <c r="AP314" s="44"/>
      <c r="AQ314" s="44"/>
      <c r="AR314" s="44"/>
      <c r="AS314" s="44"/>
    </row>
    <row r="315" spans="1:45" ht="45">
      <c r="A315" s="214"/>
      <c r="B315" s="364" t="s">
        <v>524</v>
      </c>
      <c r="C315" s="376" t="s">
        <v>2090</v>
      </c>
      <c r="D315" s="382" t="s">
        <v>764</v>
      </c>
      <c r="E315" s="380">
        <v>1</v>
      </c>
      <c r="F315" s="299" t="s">
        <v>2131</v>
      </c>
      <c r="G315" s="384" t="s">
        <v>793</v>
      </c>
      <c r="H315" s="384" t="s">
        <v>1</v>
      </c>
      <c r="I315" s="395" t="s">
        <v>757</v>
      </c>
      <c r="J315" s="396" t="s">
        <v>1</v>
      </c>
      <c r="K315" s="385" t="s">
        <v>2132</v>
      </c>
      <c r="L315" s="385" t="s">
        <v>2133</v>
      </c>
      <c r="M315" s="386" t="s">
        <v>65</v>
      </c>
      <c r="N315" s="387" t="s">
        <v>2134</v>
      </c>
      <c r="O315" s="387" t="s">
        <v>2135</v>
      </c>
      <c r="P315" s="469" t="s">
        <v>2136</v>
      </c>
      <c r="Q315" s="469" t="s">
        <v>2137</v>
      </c>
      <c r="R315" s="387" t="s">
        <v>1</v>
      </c>
      <c r="S315" s="387"/>
      <c r="T315" s="380">
        <v>1</v>
      </c>
      <c r="U315" s="380">
        <v>7</v>
      </c>
      <c r="V315" s="380" t="s">
        <v>1097</v>
      </c>
      <c r="W315" s="380" t="s">
        <v>953</v>
      </c>
      <c r="X315" s="380" t="s">
        <v>1027</v>
      </c>
      <c r="Y315" s="380" t="s">
        <v>1018</v>
      </c>
      <c r="Z315" s="380" t="s">
        <v>1019</v>
      </c>
      <c r="AA315" s="380" t="s">
        <v>1</v>
      </c>
      <c r="AB315" s="380" t="s">
        <v>1</v>
      </c>
      <c r="AC315" s="380" t="s">
        <v>768</v>
      </c>
      <c r="AD315" s="380" t="s">
        <v>1</v>
      </c>
      <c r="AE315" s="397" t="s">
        <v>1</v>
      </c>
      <c r="AF315" s="44"/>
      <c r="AG315" s="44"/>
      <c r="AH315" s="44"/>
      <c r="AI315" s="44"/>
      <c r="AJ315" s="44"/>
      <c r="AK315" s="44"/>
      <c r="AL315" s="44"/>
      <c r="AM315" s="44"/>
      <c r="AN315" s="44"/>
      <c r="AO315" s="44"/>
      <c r="AP315" s="44"/>
      <c r="AQ315" s="44"/>
      <c r="AR315" s="44"/>
      <c r="AS315" s="44"/>
    </row>
    <row r="316" spans="1:45" ht="30.75">
      <c r="A316" s="214"/>
      <c r="B316" s="364" t="s">
        <v>524</v>
      </c>
      <c r="C316" s="376" t="s">
        <v>2090</v>
      </c>
      <c r="D316" s="382" t="s">
        <v>764</v>
      </c>
      <c r="E316" s="380">
        <v>2</v>
      </c>
      <c r="F316" s="299" t="s">
        <v>2138</v>
      </c>
      <c r="G316" s="384" t="s">
        <v>744</v>
      </c>
      <c r="H316" s="384" t="s">
        <v>1</v>
      </c>
      <c r="I316" s="395" t="s">
        <v>757</v>
      </c>
      <c r="J316" s="396" t="s">
        <v>1</v>
      </c>
      <c r="K316" s="385" t="s">
        <v>2139</v>
      </c>
      <c r="L316" s="385" t="s">
        <v>2140</v>
      </c>
      <c r="M316" s="386" t="s">
        <v>65</v>
      </c>
      <c r="N316" s="387" t="s">
        <v>2141</v>
      </c>
      <c r="O316" s="387" t="s">
        <v>2142</v>
      </c>
      <c r="P316" s="469" t="s">
        <v>2143</v>
      </c>
      <c r="Q316" s="469" t="s">
        <v>2144</v>
      </c>
      <c r="R316" s="387" t="s">
        <v>1</v>
      </c>
      <c r="S316" s="387"/>
      <c r="T316" s="380">
        <v>1</v>
      </c>
      <c r="U316" s="380">
        <v>7</v>
      </c>
      <c r="V316" s="380" t="s">
        <v>1097</v>
      </c>
      <c r="W316" s="380" t="s">
        <v>953</v>
      </c>
      <c r="X316" s="380" t="s">
        <v>1027</v>
      </c>
      <c r="Y316" s="380" t="s">
        <v>1018</v>
      </c>
      <c r="Z316" s="380" t="s">
        <v>1019</v>
      </c>
      <c r="AA316" s="380" t="s">
        <v>1</v>
      </c>
      <c r="AB316" s="380" t="s">
        <v>1</v>
      </c>
      <c r="AC316" s="380" t="s">
        <v>768</v>
      </c>
      <c r="AD316" s="380" t="s">
        <v>1</v>
      </c>
      <c r="AE316" s="397" t="s">
        <v>1</v>
      </c>
      <c r="AF316" s="44"/>
      <c r="AG316" s="44"/>
      <c r="AH316" s="44"/>
      <c r="AI316" s="44"/>
      <c r="AJ316" s="44"/>
      <c r="AK316" s="44"/>
      <c r="AL316" s="44"/>
      <c r="AM316" s="44"/>
      <c r="AN316" s="44"/>
      <c r="AO316" s="44"/>
      <c r="AP316" s="44"/>
      <c r="AQ316" s="44"/>
      <c r="AR316" s="44"/>
      <c r="AS316" s="44"/>
    </row>
    <row r="317" spans="1:45" ht="45">
      <c r="A317" s="214"/>
      <c r="B317" s="364" t="s">
        <v>524</v>
      </c>
      <c r="C317" s="376" t="s">
        <v>2090</v>
      </c>
      <c r="D317" s="382" t="s">
        <v>764</v>
      </c>
      <c r="E317" s="380">
        <v>3</v>
      </c>
      <c r="F317" s="299" t="s">
        <v>2145</v>
      </c>
      <c r="G317" s="384" t="s">
        <v>840</v>
      </c>
      <c r="H317" s="384" t="s">
        <v>1</v>
      </c>
      <c r="I317" s="395" t="s">
        <v>757</v>
      </c>
      <c r="J317" s="396" t="s">
        <v>1</v>
      </c>
      <c r="K317" s="385" t="s">
        <v>2146</v>
      </c>
      <c r="L317" s="385" t="s">
        <v>2147</v>
      </c>
      <c r="M317" s="386" t="s">
        <v>65</v>
      </c>
      <c r="N317" s="387" t="s">
        <v>2148</v>
      </c>
      <c r="O317" s="387" t="s">
        <v>2149</v>
      </c>
      <c r="P317" s="469" t="s">
        <v>2150</v>
      </c>
      <c r="Q317" s="469" t="s">
        <v>2151</v>
      </c>
      <c r="R317" s="387" t="s">
        <v>1</v>
      </c>
      <c r="S317" s="387"/>
      <c r="T317" s="380">
        <v>3</v>
      </c>
      <c r="U317" s="380">
        <v>15</v>
      </c>
      <c r="V317" s="380" t="s">
        <v>1762</v>
      </c>
      <c r="W317" s="380" t="s">
        <v>953</v>
      </c>
      <c r="X317" s="380" t="s">
        <v>1027</v>
      </c>
      <c r="Y317" s="380" t="s">
        <v>1028</v>
      </c>
      <c r="Z317" s="380" t="s">
        <v>1019</v>
      </c>
      <c r="AA317" s="380" t="s">
        <v>1</v>
      </c>
      <c r="AB317" s="380" t="s">
        <v>1</v>
      </c>
      <c r="AC317" s="380" t="s">
        <v>768</v>
      </c>
      <c r="AD317" s="380" t="s">
        <v>1</v>
      </c>
      <c r="AE317" s="397" t="s">
        <v>1</v>
      </c>
      <c r="AF317" s="44"/>
      <c r="AG317" s="44"/>
      <c r="AH317" s="44"/>
      <c r="AI317" s="44"/>
      <c r="AJ317" s="44"/>
      <c r="AK317" s="44"/>
      <c r="AL317" s="44"/>
      <c r="AM317" s="44"/>
      <c r="AN317" s="44"/>
      <c r="AO317" s="44"/>
      <c r="AP317" s="44"/>
      <c r="AQ317" s="44"/>
      <c r="AR317" s="44"/>
      <c r="AS317" s="44"/>
    </row>
    <row r="318" spans="1:45" ht="59.25">
      <c r="A318" s="214"/>
      <c r="B318" s="364" t="s">
        <v>524</v>
      </c>
      <c r="C318" s="376" t="s">
        <v>2090</v>
      </c>
      <c r="D318" s="382" t="s">
        <v>764</v>
      </c>
      <c r="E318" s="380">
        <v>4</v>
      </c>
      <c r="F318" s="299" t="s">
        <v>2152</v>
      </c>
      <c r="G318" s="384" t="s">
        <v>840</v>
      </c>
      <c r="H318" s="384" t="s">
        <v>1</v>
      </c>
      <c r="I318" s="395" t="s">
        <v>757</v>
      </c>
      <c r="J318" s="396" t="s">
        <v>1</v>
      </c>
      <c r="K318" s="385" t="s">
        <v>2153</v>
      </c>
      <c r="L318" s="385" t="s">
        <v>2154</v>
      </c>
      <c r="M318" s="386" t="s">
        <v>65</v>
      </c>
      <c r="N318" s="387" t="s">
        <v>2155</v>
      </c>
      <c r="O318" s="387" t="s">
        <v>2156</v>
      </c>
      <c r="P318" s="469" t="s">
        <v>2157</v>
      </c>
      <c r="Q318" s="469" t="s">
        <v>2158</v>
      </c>
      <c r="R318" s="387" t="s">
        <v>1</v>
      </c>
      <c r="S318" s="387"/>
      <c r="T318" s="380">
        <v>3</v>
      </c>
      <c r="U318" s="380">
        <v>15</v>
      </c>
      <c r="V318" s="380" t="s">
        <v>1762</v>
      </c>
      <c r="W318" s="380" t="s">
        <v>953</v>
      </c>
      <c r="X318" s="380" t="s">
        <v>1027</v>
      </c>
      <c r="Y318" s="380" t="s">
        <v>1028</v>
      </c>
      <c r="Z318" s="380" t="s">
        <v>1019</v>
      </c>
      <c r="AA318" s="380" t="s">
        <v>1</v>
      </c>
      <c r="AB318" s="380" t="s">
        <v>1</v>
      </c>
      <c r="AC318" s="380" t="s">
        <v>768</v>
      </c>
      <c r="AD318" s="380" t="s">
        <v>1</v>
      </c>
      <c r="AE318" s="397" t="s">
        <v>1</v>
      </c>
      <c r="AF318" s="44"/>
      <c r="AG318" s="44"/>
      <c r="AH318" s="44"/>
      <c r="AI318" s="44"/>
      <c r="AJ318" s="44"/>
      <c r="AK318" s="44"/>
      <c r="AL318" s="44"/>
      <c r="AM318" s="44"/>
      <c r="AN318" s="44"/>
      <c r="AO318" s="44"/>
      <c r="AP318" s="44"/>
      <c r="AQ318" s="44"/>
      <c r="AR318" s="44"/>
      <c r="AS318" s="44"/>
    </row>
    <row r="319" spans="1:45" ht="45">
      <c r="A319" s="214"/>
      <c r="B319" s="364" t="s">
        <v>524</v>
      </c>
      <c r="C319" s="376" t="s">
        <v>2090</v>
      </c>
      <c r="D319" s="383" t="s">
        <v>778</v>
      </c>
      <c r="E319" s="380">
        <v>1</v>
      </c>
      <c r="F319" s="299" t="s">
        <v>2159</v>
      </c>
      <c r="G319" s="384" t="s">
        <v>744</v>
      </c>
      <c r="H319" s="384" t="s">
        <v>1</v>
      </c>
      <c r="I319" s="395" t="s">
        <v>757</v>
      </c>
      <c r="J319" s="396" t="s">
        <v>1</v>
      </c>
      <c r="K319" s="385" t="s">
        <v>2160</v>
      </c>
      <c r="L319" s="385" t="s">
        <v>2161</v>
      </c>
      <c r="M319" s="386" t="s">
        <v>65</v>
      </c>
      <c r="N319" s="387" t="s">
        <v>2162</v>
      </c>
      <c r="O319" s="387" t="s">
        <v>2163</v>
      </c>
      <c r="P319" s="469" t="s">
        <v>2164</v>
      </c>
      <c r="Q319" s="469" t="s">
        <v>2165</v>
      </c>
      <c r="R319" s="387" t="s">
        <v>1</v>
      </c>
      <c r="S319" s="387"/>
      <c r="T319" s="380">
        <v>1</v>
      </c>
      <c r="U319" s="380">
        <v>7</v>
      </c>
      <c r="V319" s="380" t="s">
        <v>1097</v>
      </c>
      <c r="W319" s="380" t="s">
        <v>953</v>
      </c>
      <c r="X319" s="380" t="s">
        <v>1027</v>
      </c>
      <c r="Y319" s="380" t="s">
        <v>1018</v>
      </c>
      <c r="Z319" s="380" t="s">
        <v>1019</v>
      </c>
      <c r="AA319" s="380" t="s">
        <v>1</v>
      </c>
      <c r="AB319" s="380" t="s">
        <v>1</v>
      </c>
      <c r="AC319" s="380" t="s">
        <v>768</v>
      </c>
      <c r="AD319" s="380" t="s">
        <v>1</v>
      </c>
      <c r="AE319" s="397" t="s">
        <v>1</v>
      </c>
      <c r="AF319" s="44"/>
      <c r="AG319" s="44"/>
      <c r="AH319" s="44"/>
      <c r="AI319" s="44"/>
      <c r="AJ319" s="44"/>
      <c r="AK319" s="44"/>
      <c r="AL319" s="44"/>
      <c r="AM319" s="44"/>
      <c r="AN319" s="44"/>
      <c r="AO319" s="44"/>
      <c r="AP319" s="44"/>
      <c r="AQ319" s="44"/>
      <c r="AR319" s="44"/>
      <c r="AS319" s="44"/>
    </row>
    <row r="320" spans="1:45" ht="45">
      <c r="A320" s="214"/>
      <c r="B320" s="364" t="s">
        <v>524</v>
      </c>
      <c r="C320" s="376" t="s">
        <v>2090</v>
      </c>
      <c r="D320" s="383" t="s">
        <v>778</v>
      </c>
      <c r="E320" s="380">
        <v>2</v>
      </c>
      <c r="F320" s="299" t="s">
        <v>2166</v>
      </c>
      <c r="G320" s="384" t="s">
        <v>840</v>
      </c>
      <c r="H320" s="384" t="s">
        <v>1</v>
      </c>
      <c r="I320" s="395" t="s">
        <v>757</v>
      </c>
      <c r="J320" s="396" t="s">
        <v>1</v>
      </c>
      <c r="K320" s="385" t="s">
        <v>2167</v>
      </c>
      <c r="L320" s="385" t="s">
        <v>2168</v>
      </c>
      <c r="M320" s="386" t="s">
        <v>65</v>
      </c>
      <c r="N320" s="387" t="s">
        <v>2169</v>
      </c>
      <c r="O320" s="387" t="s">
        <v>2170</v>
      </c>
      <c r="P320" s="469" t="s">
        <v>2171</v>
      </c>
      <c r="Q320" s="469" t="s">
        <v>2172</v>
      </c>
      <c r="R320" s="387" t="s">
        <v>1</v>
      </c>
      <c r="S320" s="387"/>
      <c r="T320" s="380">
        <v>3</v>
      </c>
      <c r="U320" s="380">
        <v>15</v>
      </c>
      <c r="V320" s="380" t="s">
        <v>1762</v>
      </c>
      <c r="W320" s="380" t="s">
        <v>953</v>
      </c>
      <c r="X320" s="380" t="s">
        <v>1027</v>
      </c>
      <c r="Y320" s="380" t="s">
        <v>1028</v>
      </c>
      <c r="Z320" s="380" t="s">
        <v>1019</v>
      </c>
      <c r="AA320" s="380" t="s">
        <v>1</v>
      </c>
      <c r="AB320" s="380" t="s">
        <v>1</v>
      </c>
      <c r="AC320" s="380" t="s">
        <v>768</v>
      </c>
      <c r="AD320" s="380" t="s">
        <v>1</v>
      </c>
      <c r="AE320" s="397" t="s">
        <v>1</v>
      </c>
      <c r="AF320" s="44"/>
      <c r="AG320" s="44"/>
      <c r="AH320" s="44"/>
      <c r="AI320" s="44"/>
      <c r="AJ320" s="44"/>
      <c r="AK320" s="44"/>
      <c r="AL320" s="44"/>
      <c r="AM320" s="44"/>
      <c r="AN320" s="44"/>
      <c r="AO320" s="44"/>
      <c r="AP320" s="44"/>
      <c r="AQ320" s="44"/>
      <c r="AR320" s="44"/>
      <c r="AS320" s="44"/>
    </row>
    <row r="321" spans="1:45" ht="30.75">
      <c r="A321" s="214"/>
      <c r="B321" s="364" t="s">
        <v>524</v>
      </c>
      <c r="C321" s="376" t="s">
        <v>2090</v>
      </c>
      <c r="D321" s="383" t="s">
        <v>778</v>
      </c>
      <c r="E321" s="380">
        <v>3</v>
      </c>
      <c r="F321" s="299" t="s">
        <v>2173</v>
      </c>
      <c r="G321" s="384" t="s">
        <v>744</v>
      </c>
      <c r="H321" s="384" t="s">
        <v>1</v>
      </c>
      <c r="I321" s="395" t="s">
        <v>757</v>
      </c>
      <c r="J321" s="396" t="s">
        <v>1</v>
      </c>
      <c r="K321" s="385" t="s">
        <v>2174</v>
      </c>
      <c r="L321" s="385" t="s">
        <v>2175</v>
      </c>
      <c r="M321" s="386" t="s">
        <v>65</v>
      </c>
      <c r="N321" s="387" t="s">
        <v>2176</v>
      </c>
      <c r="O321" s="387" t="s">
        <v>2177</v>
      </c>
      <c r="P321" s="469" t="s">
        <v>2178</v>
      </c>
      <c r="Q321" s="469" t="s">
        <v>2179</v>
      </c>
      <c r="R321" s="387" t="s">
        <v>1</v>
      </c>
      <c r="S321" s="387"/>
      <c r="T321" s="380">
        <v>1</v>
      </c>
      <c r="U321" s="380">
        <v>7</v>
      </c>
      <c r="V321" s="380" t="s">
        <v>1097</v>
      </c>
      <c r="W321" s="380" t="s">
        <v>953</v>
      </c>
      <c r="X321" s="380" t="s">
        <v>1027</v>
      </c>
      <c r="Y321" s="380" t="s">
        <v>1018</v>
      </c>
      <c r="Z321" s="380" t="s">
        <v>1019</v>
      </c>
      <c r="AA321" s="380" t="s">
        <v>1</v>
      </c>
      <c r="AB321" s="380" t="s">
        <v>1</v>
      </c>
      <c r="AC321" s="380" t="s">
        <v>768</v>
      </c>
      <c r="AD321" s="380" t="s">
        <v>1</v>
      </c>
      <c r="AE321" s="397" t="s">
        <v>1</v>
      </c>
      <c r="AF321" s="44"/>
      <c r="AG321" s="44"/>
      <c r="AH321" s="44"/>
      <c r="AI321" s="44"/>
      <c r="AJ321" s="44"/>
      <c r="AK321" s="44"/>
      <c r="AL321" s="44"/>
      <c r="AM321" s="44"/>
      <c r="AN321" s="44"/>
      <c r="AO321" s="44"/>
      <c r="AP321" s="44"/>
      <c r="AQ321" s="44"/>
      <c r="AR321" s="44"/>
      <c r="AS321" s="44"/>
    </row>
    <row r="322" spans="1:45" ht="45">
      <c r="A322" s="214"/>
      <c r="B322" s="364" t="s">
        <v>524</v>
      </c>
      <c r="C322" s="376" t="s">
        <v>2090</v>
      </c>
      <c r="D322" s="383" t="s">
        <v>778</v>
      </c>
      <c r="E322" s="380">
        <v>4</v>
      </c>
      <c r="F322" s="299" t="s">
        <v>2180</v>
      </c>
      <c r="G322" s="384" t="s">
        <v>840</v>
      </c>
      <c r="H322" s="384" t="s">
        <v>1</v>
      </c>
      <c r="I322" s="395" t="s">
        <v>757</v>
      </c>
      <c r="J322" s="396" t="s">
        <v>1</v>
      </c>
      <c r="K322" s="385" t="s">
        <v>2181</v>
      </c>
      <c r="L322" s="385" t="s">
        <v>2182</v>
      </c>
      <c r="M322" s="386" t="s">
        <v>65</v>
      </c>
      <c r="N322" s="387" t="s">
        <v>2183</v>
      </c>
      <c r="O322" s="387" t="s">
        <v>2184</v>
      </c>
      <c r="P322" s="469" t="s">
        <v>2185</v>
      </c>
      <c r="Q322" s="469" t="s">
        <v>2186</v>
      </c>
      <c r="R322" s="387" t="s">
        <v>1</v>
      </c>
      <c r="S322" s="387"/>
      <c r="T322" s="380">
        <v>3</v>
      </c>
      <c r="U322" s="380">
        <v>15</v>
      </c>
      <c r="V322" s="380" t="s">
        <v>1762</v>
      </c>
      <c r="W322" s="380" t="s">
        <v>953</v>
      </c>
      <c r="X322" s="380" t="s">
        <v>1027</v>
      </c>
      <c r="Y322" s="380" t="s">
        <v>1028</v>
      </c>
      <c r="Z322" s="380" t="s">
        <v>1019</v>
      </c>
      <c r="AA322" s="380" t="s">
        <v>1</v>
      </c>
      <c r="AB322" s="380" t="s">
        <v>1</v>
      </c>
      <c r="AC322" s="380" t="s">
        <v>768</v>
      </c>
      <c r="AD322" s="380" t="s">
        <v>1</v>
      </c>
      <c r="AE322" s="397" t="s">
        <v>1</v>
      </c>
      <c r="AF322" s="44"/>
      <c r="AG322" s="44"/>
      <c r="AH322" s="44"/>
      <c r="AI322" s="44"/>
      <c r="AJ322" s="44"/>
      <c r="AK322" s="44"/>
      <c r="AL322" s="44"/>
      <c r="AM322" s="44"/>
      <c r="AN322" s="44"/>
      <c r="AO322" s="44"/>
      <c r="AP322" s="44"/>
      <c r="AQ322" s="44"/>
      <c r="AR322" s="44"/>
      <c r="AS322" s="44"/>
    </row>
    <row r="323" spans="1:45" ht="45">
      <c r="A323" s="214"/>
      <c r="B323" s="365" t="s">
        <v>541</v>
      </c>
      <c r="C323" s="377" t="s">
        <v>2187</v>
      </c>
      <c r="D323" s="379" t="s">
        <v>735</v>
      </c>
      <c r="E323" s="380">
        <v>1</v>
      </c>
      <c r="F323" s="299" t="s">
        <v>2188</v>
      </c>
      <c r="G323" s="384" t="s">
        <v>744</v>
      </c>
      <c r="H323" s="384" t="s">
        <v>1</v>
      </c>
      <c r="I323" s="395" t="s">
        <v>757</v>
      </c>
      <c r="J323" s="396" t="s">
        <v>1</v>
      </c>
      <c r="K323" s="385" t="s">
        <v>2189</v>
      </c>
      <c r="L323" s="385" t="s">
        <v>2190</v>
      </c>
      <c r="M323" s="386" t="s">
        <v>65</v>
      </c>
      <c r="N323" s="387" t="s">
        <v>2191</v>
      </c>
      <c r="O323" s="387" t="s">
        <v>2192</v>
      </c>
      <c r="P323" t="s">
        <v>2193</v>
      </c>
      <c r="Q323" t="s">
        <v>2194</v>
      </c>
      <c r="R323" s="387" t="s">
        <v>1</v>
      </c>
      <c r="S323" s="387"/>
      <c r="T323" s="380">
        <v>1</v>
      </c>
      <c r="U323" s="380">
        <v>7</v>
      </c>
      <c r="V323" s="380" t="s">
        <v>1097</v>
      </c>
      <c r="W323" s="380" t="s">
        <v>953</v>
      </c>
      <c r="X323" s="380" t="s">
        <v>1027</v>
      </c>
      <c r="Y323" s="380" t="s">
        <v>1018</v>
      </c>
      <c r="Z323" s="380" t="s">
        <v>1019</v>
      </c>
      <c r="AA323" s="380" t="s">
        <v>1</v>
      </c>
      <c r="AB323" s="380" t="s">
        <v>1</v>
      </c>
      <c r="AC323" s="380" t="s">
        <v>768</v>
      </c>
      <c r="AD323" s="380" t="s">
        <v>1</v>
      </c>
      <c r="AE323" s="397" t="s">
        <v>1</v>
      </c>
      <c r="AF323" s="44"/>
      <c r="AG323" s="44"/>
      <c r="AH323" s="44"/>
      <c r="AI323" s="44"/>
      <c r="AJ323" s="44"/>
      <c r="AK323" s="44"/>
      <c r="AL323" s="44"/>
      <c r="AM323" s="44"/>
      <c r="AN323" s="44"/>
      <c r="AO323" s="44"/>
      <c r="AP323" s="44"/>
      <c r="AQ323" s="44"/>
      <c r="AR323" s="44"/>
      <c r="AS323" s="44"/>
    </row>
    <row r="324" spans="1:45" ht="45">
      <c r="A324" s="214"/>
      <c r="B324" s="365" t="s">
        <v>541</v>
      </c>
      <c r="C324" s="377" t="s">
        <v>2187</v>
      </c>
      <c r="D324" s="379" t="s">
        <v>735</v>
      </c>
      <c r="E324" s="380">
        <v>2</v>
      </c>
      <c r="F324" s="299" t="s">
        <v>2195</v>
      </c>
      <c r="G324" s="384" t="s">
        <v>840</v>
      </c>
      <c r="H324" s="384" t="s">
        <v>1</v>
      </c>
      <c r="I324" s="395" t="s">
        <v>757</v>
      </c>
      <c r="J324" s="396" t="s">
        <v>1</v>
      </c>
      <c r="K324" s="385" t="s">
        <v>2196</v>
      </c>
      <c r="L324" s="385" t="s">
        <v>2197</v>
      </c>
      <c r="M324" s="386" t="s">
        <v>65</v>
      </c>
      <c r="N324" s="387" t="s">
        <v>2198</v>
      </c>
      <c r="O324" s="387" t="s">
        <v>2199</v>
      </c>
      <c r="P324" s="469" t="s">
        <v>2200</v>
      </c>
      <c r="Q324" t="s">
        <v>2201</v>
      </c>
      <c r="R324" s="387" t="s">
        <v>1</v>
      </c>
      <c r="S324" s="387"/>
      <c r="T324" s="380">
        <v>3</v>
      </c>
      <c r="U324" s="380">
        <v>15</v>
      </c>
      <c r="V324" s="380" t="s">
        <v>1762</v>
      </c>
      <c r="W324" s="380" t="s">
        <v>953</v>
      </c>
      <c r="X324" s="380" t="s">
        <v>1027</v>
      </c>
      <c r="Y324" s="380" t="s">
        <v>1028</v>
      </c>
      <c r="Z324" s="380" t="s">
        <v>1019</v>
      </c>
      <c r="AA324" s="380" t="s">
        <v>1</v>
      </c>
      <c r="AB324" s="380" t="s">
        <v>1</v>
      </c>
      <c r="AC324" s="380" t="s">
        <v>768</v>
      </c>
      <c r="AD324" s="380" t="s">
        <v>1</v>
      </c>
      <c r="AE324" s="397" t="s">
        <v>1</v>
      </c>
      <c r="AF324" s="44"/>
      <c r="AG324" s="44"/>
      <c r="AH324" s="44"/>
      <c r="AI324" s="44"/>
      <c r="AJ324" s="44"/>
      <c r="AK324" s="44"/>
      <c r="AL324" s="44"/>
      <c r="AM324" s="44"/>
      <c r="AN324" s="44"/>
      <c r="AO324" s="44"/>
      <c r="AP324" s="44"/>
      <c r="AQ324" s="44"/>
      <c r="AR324" s="44"/>
      <c r="AS324" s="44"/>
    </row>
    <row r="325" spans="1:45" ht="30.75">
      <c r="A325" s="214"/>
      <c r="B325" s="365" t="s">
        <v>541</v>
      </c>
      <c r="C325" s="377" t="s">
        <v>2187</v>
      </c>
      <c r="D325" s="380" t="s">
        <v>743</v>
      </c>
      <c r="E325" s="380">
        <v>1</v>
      </c>
      <c r="F325" s="299" t="s">
        <v>2202</v>
      </c>
      <c r="G325" s="384" t="s">
        <v>744</v>
      </c>
      <c r="H325" s="384" t="s">
        <v>1</v>
      </c>
      <c r="I325" s="395" t="s">
        <v>757</v>
      </c>
      <c r="J325" s="396" t="s">
        <v>1</v>
      </c>
      <c r="K325" s="385" t="s">
        <v>2203</v>
      </c>
      <c r="L325" s="385" t="s">
        <v>2204</v>
      </c>
      <c r="M325" s="386" t="s">
        <v>65</v>
      </c>
      <c r="N325" s="387" t="s">
        <v>2205</v>
      </c>
      <c r="O325" s="387" t="s">
        <v>2206</v>
      </c>
      <c r="P325" s="469" t="s">
        <v>2207</v>
      </c>
      <c r="Q325" s="469" t="s">
        <v>2208</v>
      </c>
      <c r="R325" s="387" t="s">
        <v>1</v>
      </c>
      <c r="S325" s="387"/>
      <c r="T325" s="380">
        <v>1</v>
      </c>
      <c r="U325" s="380">
        <v>7</v>
      </c>
      <c r="V325" s="380" t="s">
        <v>1097</v>
      </c>
      <c r="W325" s="380" t="s">
        <v>953</v>
      </c>
      <c r="X325" s="380" t="s">
        <v>1027</v>
      </c>
      <c r="Y325" s="380" t="s">
        <v>1018</v>
      </c>
      <c r="Z325" s="380" t="s">
        <v>1019</v>
      </c>
      <c r="AA325" s="380" t="s">
        <v>1</v>
      </c>
      <c r="AB325" s="380" t="s">
        <v>1</v>
      </c>
      <c r="AC325" s="380" t="s">
        <v>768</v>
      </c>
      <c r="AD325" s="380" t="s">
        <v>1</v>
      </c>
      <c r="AE325" s="397" t="s">
        <v>1</v>
      </c>
      <c r="AF325" s="44"/>
      <c r="AG325" s="44"/>
      <c r="AH325" s="44"/>
      <c r="AI325" s="44"/>
      <c r="AJ325" s="44"/>
      <c r="AK325" s="44"/>
      <c r="AL325" s="44"/>
      <c r="AM325" s="44"/>
      <c r="AN325" s="44"/>
      <c r="AO325" s="44"/>
      <c r="AP325" s="44"/>
      <c r="AQ325" s="44"/>
      <c r="AR325" s="44"/>
      <c r="AS325" s="44"/>
    </row>
    <row r="326" spans="1:45" ht="45">
      <c r="A326" s="214"/>
      <c r="B326" s="365" t="s">
        <v>541</v>
      </c>
      <c r="C326" s="377" t="s">
        <v>2187</v>
      </c>
      <c r="D326" s="380" t="s">
        <v>743</v>
      </c>
      <c r="E326" s="380">
        <v>2</v>
      </c>
      <c r="F326" s="299" t="s">
        <v>2209</v>
      </c>
      <c r="G326" s="384" t="s">
        <v>756</v>
      </c>
      <c r="H326" s="384" t="s">
        <v>1</v>
      </c>
      <c r="I326" s="395" t="s">
        <v>1045</v>
      </c>
      <c r="J326" s="396" t="s">
        <v>1</v>
      </c>
      <c r="K326" s="385" t="s">
        <v>2210</v>
      </c>
      <c r="L326" s="385" t="s">
        <v>2211</v>
      </c>
      <c r="M326" s="386" t="s">
        <v>65</v>
      </c>
      <c r="N326" s="387" t="s">
        <v>2212</v>
      </c>
      <c r="O326" s="387" t="s">
        <v>2213</v>
      </c>
      <c r="P326" s="469" t="s">
        <v>2214</v>
      </c>
      <c r="Q326" s="469" t="s">
        <v>2215</v>
      </c>
      <c r="R326" s="387" t="s">
        <v>1</v>
      </c>
      <c r="S326" s="387"/>
      <c r="T326" s="380">
        <v>1</v>
      </c>
      <c r="U326" s="380">
        <v>7</v>
      </c>
      <c r="V326" s="380" t="s">
        <v>1097</v>
      </c>
      <c r="W326" s="380" t="s">
        <v>953</v>
      </c>
      <c r="X326" s="380" t="s">
        <v>1027</v>
      </c>
      <c r="Y326" s="380" t="s">
        <v>1050</v>
      </c>
      <c r="Z326" s="380" t="s">
        <v>1051</v>
      </c>
      <c r="AA326" s="380" t="s">
        <v>1</v>
      </c>
      <c r="AB326" s="380" t="s">
        <v>1</v>
      </c>
      <c r="AC326" s="380" t="s">
        <v>768</v>
      </c>
      <c r="AD326" s="380" t="s">
        <v>1</v>
      </c>
      <c r="AE326" s="397" t="s">
        <v>1</v>
      </c>
      <c r="AF326" s="44"/>
      <c r="AG326" s="44"/>
      <c r="AH326" s="44"/>
      <c r="AI326" s="44"/>
      <c r="AJ326" s="44"/>
      <c r="AK326" s="44"/>
      <c r="AL326" s="44"/>
      <c r="AM326" s="44"/>
      <c r="AN326" s="44"/>
      <c r="AO326" s="44"/>
      <c r="AP326" s="44"/>
      <c r="AQ326" s="44"/>
      <c r="AR326" s="44"/>
      <c r="AS326" s="44"/>
    </row>
    <row r="327" spans="1:45" ht="45">
      <c r="A327" s="214"/>
      <c r="B327" s="365" t="s">
        <v>541</v>
      </c>
      <c r="C327" s="377" t="s">
        <v>2187</v>
      </c>
      <c r="D327" s="381" t="s">
        <v>750</v>
      </c>
      <c r="E327" s="380">
        <v>1</v>
      </c>
      <c r="F327" s="299" t="s">
        <v>2216</v>
      </c>
      <c r="G327" s="384" t="s">
        <v>840</v>
      </c>
      <c r="H327" s="384" t="s">
        <v>1</v>
      </c>
      <c r="I327" s="395" t="s">
        <v>757</v>
      </c>
      <c r="J327" s="396" t="s">
        <v>1</v>
      </c>
      <c r="K327" s="385" t="s">
        <v>2217</v>
      </c>
      <c r="L327" s="385" t="s">
        <v>2218</v>
      </c>
      <c r="M327" s="386" t="s">
        <v>65</v>
      </c>
      <c r="N327" s="387" t="s">
        <v>2219</v>
      </c>
      <c r="O327" s="387" t="s">
        <v>2220</v>
      </c>
      <c r="P327" s="469" t="s">
        <v>2221</v>
      </c>
      <c r="Q327" s="469" t="s">
        <v>2222</v>
      </c>
      <c r="R327" s="387" t="s">
        <v>1</v>
      </c>
      <c r="S327" s="387"/>
      <c r="T327" s="380">
        <v>3</v>
      </c>
      <c r="U327" s="380">
        <v>15</v>
      </c>
      <c r="V327" s="380" t="s">
        <v>1762</v>
      </c>
      <c r="W327" s="380" t="s">
        <v>953</v>
      </c>
      <c r="X327" s="380" t="s">
        <v>1027</v>
      </c>
      <c r="Y327" s="380" t="s">
        <v>1028</v>
      </c>
      <c r="Z327" s="380" t="s">
        <v>1019</v>
      </c>
      <c r="AA327" s="380" t="s">
        <v>1</v>
      </c>
      <c r="AB327" s="380" t="s">
        <v>1</v>
      </c>
      <c r="AC327" s="380" t="s">
        <v>768</v>
      </c>
      <c r="AD327" s="380" t="s">
        <v>1</v>
      </c>
      <c r="AE327" s="397" t="s">
        <v>1</v>
      </c>
      <c r="AF327" s="44"/>
      <c r="AG327" s="44"/>
      <c r="AH327" s="44"/>
      <c r="AI327" s="44"/>
      <c r="AJ327" s="44"/>
      <c r="AK327" s="44"/>
      <c r="AL327" s="44"/>
      <c r="AM327" s="44"/>
      <c r="AN327" s="44"/>
      <c r="AO327" s="44"/>
      <c r="AP327" s="44"/>
      <c r="AQ327" s="44"/>
      <c r="AR327" s="44"/>
      <c r="AS327" s="44"/>
    </row>
    <row r="328" spans="1:45" ht="332.25">
      <c r="A328" s="214"/>
      <c r="B328" s="365" t="s">
        <v>541</v>
      </c>
      <c r="C328" s="377" t="s">
        <v>2187</v>
      </c>
      <c r="D328" s="381" t="s">
        <v>750</v>
      </c>
      <c r="E328" s="380">
        <v>2</v>
      </c>
      <c r="F328" s="299" t="s">
        <v>2223</v>
      </c>
      <c r="G328" s="384" t="s">
        <v>833</v>
      </c>
      <c r="H328" s="384" t="s">
        <v>1</v>
      </c>
      <c r="I328" s="395" t="s">
        <v>757</v>
      </c>
      <c r="J328" s="396" t="s">
        <v>1</v>
      </c>
      <c r="K328" s="385" t="s">
        <v>2224</v>
      </c>
      <c r="L328" s="385" t="s">
        <v>1496</v>
      </c>
      <c r="M328" s="386" t="s">
        <v>65</v>
      </c>
      <c r="N328" s="387" t="s">
        <v>2225</v>
      </c>
      <c r="O328" s="387" t="s">
        <v>2226</v>
      </c>
      <c r="P328" s="478" t="s">
        <v>1499</v>
      </c>
      <c r="Q328" s="478" t="s">
        <v>2227</v>
      </c>
      <c r="R328" s="387" t="s">
        <v>2228</v>
      </c>
      <c r="S328" s="387" t="s">
        <v>2229</v>
      </c>
      <c r="T328" s="380">
        <v>1</v>
      </c>
      <c r="U328" s="380">
        <v>7</v>
      </c>
      <c r="V328" s="380" t="s">
        <v>1097</v>
      </c>
      <c r="W328" s="380" t="s">
        <v>953</v>
      </c>
      <c r="X328" s="380" t="s">
        <v>1027</v>
      </c>
      <c r="Y328" s="380" t="s">
        <v>1018</v>
      </c>
      <c r="Z328" s="380" t="s">
        <v>1019</v>
      </c>
      <c r="AA328" s="380" t="s">
        <v>1</v>
      </c>
      <c r="AB328" s="380" t="s">
        <v>1</v>
      </c>
      <c r="AC328" s="380" t="s">
        <v>768</v>
      </c>
      <c r="AD328" s="380" t="s">
        <v>1</v>
      </c>
      <c r="AE328" s="397" t="s">
        <v>1</v>
      </c>
      <c r="AF328" s="44"/>
      <c r="AG328" s="44"/>
      <c r="AH328" s="44"/>
      <c r="AI328" s="44"/>
      <c r="AJ328" s="44"/>
      <c r="AK328" s="44"/>
      <c r="AL328" s="44"/>
      <c r="AM328" s="44"/>
      <c r="AN328" s="44"/>
      <c r="AO328" s="44"/>
      <c r="AP328" s="44"/>
      <c r="AQ328" s="44"/>
      <c r="AR328" s="44"/>
      <c r="AS328" s="44"/>
    </row>
    <row r="329" spans="1:45" ht="45">
      <c r="A329" s="214"/>
      <c r="B329" s="365" t="s">
        <v>541</v>
      </c>
      <c r="C329" s="377" t="s">
        <v>2187</v>
      </c>
      <c r="D329" s="382" t="s">
        <v>764</v>
      </c>
      <c r="E329" s="380">
        <v>1</v>
      </c>
      <c r="F329" s="299" t="s">
        <v>2230</v>
      </c>
      <c r="G329" s="384" t="s">
        <v>840</v>
      </c>
      <c r="H329" s="384" t="s">
        <v>1</v>
      </c>
      <c r="I329" s="395" t="s">
        <v>757</v>
      </c>
      <c r="J329" s="396" t="s">
        <v>1</v>
      </c>
      <c r="K329" s="385" t="s">
        <v>2231</v>
      </c>
      <c r="L329" s="385" t="s">
        <v>2232</v>
      </c>
      <c r="M329" s="386" t="s">
        <v>65</v>
      </c>
      <c r="N329" s="387" t="s">
        <v>2233</v>
      </c>
      <c r="O329" s="387" t="s">
        <v>2234</v>
      </c>
      <c r="P329" s="469" t="s">
        <v>2235</v>
      </c>
      <c r="Q329" s="469" t="s">
        <v>2236</v>
      </c>
      <c r="R329" s="387" t="s">
        <v>1</v>
      </c>
      <c r="S329" s="387"/>
      <c r="T329" s="380">
        <v>3</v>
      </c>
      <c r="U329" s="380">
        <v>15</v>
      </c>
      <c r="V329" s="380" t="s">
        <v>1762</v>
      </c>
      <c r="W329" s="380" t="s">
        <v>953</v>
      </c>
      <c r="X329" s="380" t="s">
        <v>1027</v>
      </c>
      <c r="Y329" s="380" t="s">
        <v>1028</v>
      </c>
      <c r="Z329" s="380" t="s">
        <v>1019</v>
      </c>
      <c r="AA329" s="380" t="s">
        <v>1</v>
      </c>
      <c r="AB329" s="380" t="s">
        <v>1</v>
      </c>
      <c r="AC329" s="380" t="s">
        <v>768</v>
      </c>
      <c r="AD329" s="380" t="s">
        <v>1</v>
      </c>
      <c r="AE329" s="397" t="s">
        <v>1</v>
      </c>
      <c r="AF329" s="44"/>
      <c r="AG329" s="44"/>
      <c r="AH329" s="44"/>
      <c r="AI329" s="44"/>
      <c r="AJ329" s="44"/>
      <c r="AK329" s="44"/>
      <c r="AL329" s="44"/>
      <c r="AM329" s="44"/>
      <c r="AN329" s="44"/>
      <c r="AO329" s="44"/>
      <c r="AP329" s="44"/>
      <c r="AQ329" s="44"/>
      <c r="AR329" s="44"/>
      <c r="AS329" s="44"/>
    </row>
    <row r="330" spans="1:45" ht="332.25">
      <c r="A330" s="214"/>
      <c r="B330" s="365" t="s">
        <v>541</v>
      </c>
      <c r="C330" s="377" t="s">
        <v>2187</v>
      </c>
      <c r="D330" s="382" t="s">
        <v>764</v>
      </c>
      <c r="E330" s="380">
        <v>2</v>
      </c>
      <c r="F330" s="299" t="s">
        <v>2237</v>
      </c>
      <c r="G330" s="384" t="s">
        <v>828</v>
      </c>
      <c r="H330" s="384" t="s">
        <v>1</v>
      </c>
      <c r="I330" s="395" t="s">
        <v>757</v>
      </c>
      <c r="J330" s="396" t="s">
        <v>1</v>
      </c>
      <c r="K330" s="385" t="s">
        <v>2238</v>
      </c>
      <c r="L330" s="385" t="s">
        <v>2239</v>
      </c>
      <c r="M330" s="386" t="s">
        <v>65</v>
      </c>
      <c r="N330" s="387" t="s">
        <v>2240</v>
      </c>
      <c r="O330" s="387" t="s">
        <v>2241</v>
      </c>
      <c r="P330" s="469" t="s">
        <v>2242</v>
      </c>
      <c r="Q330" t="s">
        <v>2243</v>
      </c>
      <c r="R330" s="387" t="s">
        <v>2244</v>
      </c>
      <c r="S330" s="387" t="s">
        <v>2245</v>
      </c>
      <c r="T330" s="380">
        <v>1</v>
      </c>
      <c r="U330" s="380">
        <v>7</v>
      </c>
      <c r="V330" s="380" t="s">
        <v>1097</v>
      </c>
      <c r="W330" s="380" t="s">
        <v>953</v>
      </c>
      <c r="X330" s="380" t="s">
        <v>828</v>
      </c>
      <c r="Y330" s="380" t="s">
        <v>1018</v>
      </c>
      <c r="Z330" s="380" t="s">
        <v>1019</v>
      </c>
      <c r="AA330" s="380" t="s">
        <v>1</v>
      </c>
      <c r="AB330" s="380" t="s">
        <v>1</v>
      </c>
      <c r="AC330" s="380" t="s">
        <v>768</v>
      </c>
      <c r="AD330" s="380" t="s">
        <v>1</v>
      </c>
      <c r="AE330" s="397" t="s">
        <v>1</v>
      </c>
      <c r="AF330" s="44"/>
      <c r="AG330" s="44"/>
      <c r="AH330" s="44"/>
      <c r="AI330" s="44"/>
      <c r="AJ330" s="44"/>
      <c r="AK330" s="44"/>
      <c r="AL330" s="44"/>
      <c r="AM330" s="44"/>
      <c r="AN330" s="44"/>
      <c r="AO330" s="44"/>
      <c r="AP330" s="44"/>
      <c r="AQ330" s="44"/>
      <c r="AR330" s="44"/>
      <c r="AS330" s="44"/>
    </row>
    <row r="331" spans="1:45" ht="30.75">
      <c r="A331" s="214"/>
      <c r="B331" s="365" t="s">
        <v>541</v>
      </c>
      <c r="C331" s="377" t="s">
        <v>2187</v>
      </c>
      <c r="D331" s="382" t="s">
        <v>764</v>
      </c>
      <c r="E331" s="380">
        <v>3</v>
      </c>
      <c r="F331" s="299" t="s">
        <v>2246</v>
      </c>
      <c r="G331" s="384" t="s">
        <v>744</v>
      </c>
      <c r="H331" s="384" t="s">
        <v>1</v>
      </c>
      <c r="I331" s="395" t="s">
        <v>757</v>
      </c>
      <c r="J331" s="396" t="s">
        <v>1</v>
      </c>
      <c r="K331" s="385" t="s">
        <v>2247</v>
      </c>
      <c r="L331" s="385" t="s">
        <v>2248</v>
      </c>
      <c r="M331" s="386" t="s">
        <v>65</v>
      </c>
      <c r="N331" s="387" t="s">
        <v>2249</v>
      </c>
      <c r="O331" s="387" t="s">
        <v>2250</v>
      </c>
      <c r="P331" s="469" t="s">
        <v>2251</v>
      </c>
      <c r="Q331" s="469" t="s">
        <v>2252</v>
      </c>
      <c r="R331" s="387" t="s">
        <v>1</v>
      </c>
      <c r="S331" s="387"/>
      <c r="T331" s="380">
        <v>1</v>
      </c>
      <c r="U331" s="380">
        <v>7</v>
      </c>
      <c r="V331" s="380" t="s">
        <v>1097</v>
      </c>
      <c r="W331" s="380" t="s">
        <v>953</v>
      </c>
      <c r="X331" s="380" t="s">
        <v>1027</v>
      </c>
      <c r="Y331" s="380" t="s">
        <v>1018</v>
      </c>
      <c r="Z331" s="380" t="s">
        <v>1019</v>
      </c>
      <c r="AA331" s="380" t="s">
        <v>1</v>
      </c>
      <c r="AB331" s="380" t="s">
        <v>1</v>
      </c>
      <c r="AC331" s="380" t="s">
        <v>768</v>
      </c>
      <c r="AD331" s="380" t="s">
        <v>1</v>
      </c>
      <c r="AE331" s="397" t="s">
        <v>1</v>
      </c>
      <c r="AF331" s="44"/>
      <c r="AG331" s="44"/>
      <c r="AH331" s="44"/>
      <c r="AI331" s="44"/>
      <c r="AJ331" s="44"/>
      <c r="AK331" s="44"/>
      <c r="AL331" s="44"/>
      <c r="AM331" s="44"/>
      <c r="AN331" s="44"/>
      <c r="AO331" s="44"/>
      <c r="AP331" s="44"/>
      <c r="AQ331" s="44"/>
      <c r="AR331" s="44"/>
      <c r="AS331" s="44"/>
    </row>
    <row r="332" spans="1:45" ht="45">
      <c r="A332" s="214"/>
      <c r="B332" s="365" t="s">
        <v>541</v>
      </c>
      <c r="C332" s="377" t="s">
        <v>2187</v>
      </c>
      <c r="D332" s="382" t="s">
        <v>764</v>
      </c>
      <c r="E332" s="380">
        <v>4</v>
      </c>
      <c r="F332" s="299" t="s">
        <v>2253</v>
      </c>
      <c r="G332" s="384" t="s">
        <v>840</v>
      </c>
      <c r="H332" s="384" t="s">
        <v>1</v>
      </c>
      <c r="I332" s="395" t="s">
        <v>757</v>
      </c>
      <c r="J332" s="396" t="s">
        <v>1</v>
      </c>
      <c r="K332" s="385" t="s">
        <v>2254</v>
      </c>
      <c r="L332" s="385" t="s">
        <v>2255</v>
      </c>
      <c r="M332" s="386" t="s">
        <v>65</v>
      </c>
      <c r="N332" s="387" t="s">
        <v>2256</v>
      </c>
      <c r="O332" s="387" t="s">
        <v>2257</v>
      </c>
      <c r="P332" s="469" t="s">
        <v>2258</v>
      </c>
      <c r="Q332" s="469" t="s">
        <v>2259</v>
      </c>
      <c r="R332" s="387" t="s">
        <v>1</v>
      </c>
      <c r="S332" s="387"/>
      <c r="T332" s="380">
        <v>3</v>
      </c>
      <c r="U332" s="380">
        <v>15</v>
      </c>
      <c r="V332" s="380" t="s">
        <v>1762</v>
      </c>
      <c r="W332" s="380" t="s">
        <v>953</v>
      </c>
      <c r="X332" s="380" t="s">
        <v>1027</v>
      </c>
      <c r="Y332" s="380" t="s">
        <v>1028</v>
      </c>
      <c r="Z332" s="380" t="s">
        <v>1019</v>
      </c>
      <c r="AA332" s="380" t="s">
        <v>1</v>
      </c>
      <c r="AB332" s="380" t="s">
        <v>1</v>
      </c>
      <c r="AC332" s="380" t="s">
        <v>768</v>
      </c>
      <c r="AD332" s="380" t="s">
        <v>1</v>
      </c>
      <c r="AE332" s="397" t="s">
        <v>1</v>
      </c>
      <c r="AF332" s="44"/>
      <c r="AG332" s="44"/>
      <c r="AH332" s="44"/>
      <c r="AI332" s="44"/>
      <c r="AJ332" s="44"/>
      <c r="AK332" s="44"/>
      <c r="AL332" s="44"/>
      <c r="AM332" s="44"/>
      <c r="AN332" s="44"/>
      <c r="AO332" s="44"/>
      <c r="AP332" s="44"/>
      <c r="AQ332" s="44"/>
      <c r="AR332" s="44"/>
      <c r="AS332" s="44"/>
    </row>
    <row r="333" spans="1:45" ht="30.75">
      <c r="A333" s="214"/>
      <c r="B333" s="365" t="s">
        <v>541</v>
      </c>
      <c r="C333" s="377" t="s">
        <v>2187</v>
      </c>
      <c r="D333" s="383" t="s">
        <v>778</v>
      </c>
      <c r="E333" s="380">
        <v>1</v>
      </c>
      <c r="F333" s="299" t="s">
        <v>2260</v>
      </c>
      <c r="G333" s="384" t="s">
        <v>840</v>
      </c>
      <c r="H333" s="384" t="s">
        <v>1</v>
      </c>
      <c r="I333" s="395" t="s">
        <v>757</v>
      </c>
      <c r="J333" s="396" t="s">
        <v>1</v>
      </c>
      <c r="K333" s="385" t="s">
        <v>2261</v>
      </c>
      <c r="L333" s="385" t="s">
        <v>2262</v>
      </c>
      <c r="M333" s="386" t="s">
        <v>65</v>
      </c>
      <c r="N333" s="387" t="s">
        <v>2263</v>
      </c>
      <c r="O333" s="387" t="s">
        <v>2264</v>
      </c>
      <c r="P333" s="469" t="s">
        <v>2265</v>
      </c>
      <c r="Q333" t="s">
        <v>2266</v>
      </c>
      <c r="R333" s="387" t="s">
        <v>1</v>
      </c>
      <c r="S333" s="387"/>
      <c r="T333" s="380">
        <v>3</v>
      </c>
      <c r="U333" s="380">
        <v>15</v>
      </c>
      <c r="V333" s="380" t="s">
        <v>1762</v>
      </c>
      <c r="W333" s="380" t="s">
        <v>953</v>
      </c>
      <c r="X333" s="380" t="s">
        <v>1027</v>
      </c>
      <c r="Y333" s="380" t="s">
        <v>1028</v>
      </c>
      <c r="Z333" s="380" t="s">
        <v>1019</v>
      </c>
      <c r="AA333" s="380" t="s">
        <v>1</v>
      </c>
      <c r="AB333" s="380" t="s">
        <v>1</v>
      </c>
      <c r="AC333" s="380" t="s">
        <v>768</v>
      </c>
      <c r="AD333" s="380" t="s">
        <v>1</v>
      </c>
      <c r="AE333" s="397" t="s">
        <v>1</v>
      </c>
      <c r="AF333" s="44"/>
      <c r="AG333" s="44"/>
      <c r="AH333" s="44"/>
      <c r="AI333" s="44"/>
      <c r="AJ333" s="44"/>
      <c r="AK333" s="44"/>
      <c r="AL333" s="44"/>
      <c r="AM333" s="44"/>
      <c r="AN333" s="44"/>
      <c r="AO333" s="44"/>
      <c r="AP333" s="44"/>
      <c r="AQ333" s="44"/>
      <c r="AR333" s="44"/>
      <c r="AS333" s="44"/>
    </row>
    <row r="334" spans="1:45" ht="30.75">
      <c r="A334" s="214"/>
      <c r="B334" s="365" t="s">
        <v>541</v>
      </c>
      <c r="C334" s="377" t="s">
        <v>2187</v>
      </c>
      <c r="D334" s="383" t="s">
        <v>778</v>
      </c>
      <c r="E334" s="380">
        <v>2</v>
      </c>
      <c r="F334" s="299" t="s">
        <v>2267</v>
      </c>
      <c r="G334" s="384" t="s">
        <v>744</v>
      </c>
      <c r="H334" s="384" t="s">
        <v>1</v>
      </c>
      <c r="I334" s="395" t="s">
        <v>757</v>
      </c>
      <c r="J334" s="396" t="s">
        <v>1</v>
      </c>
      <c r="K334" s="385" t="s">
        <v>2268</v>
      </c>
      <c r="L334" s="385" t="s">
        <v>2269</v>
      </c>
      <c r="M334" s="386" t="s">
        <v>65</v>
      </c>
      <c r="N334" s="447" t="s">
        <v>2270</v>
      </c>
      <c r="O334" s="387" t="s">
        <v>2271</v>
      </c>
      <c r="P334" s="469" t="s">
        <v>2272</v>
      </c>
      <c r="Q334" s="469" t="s">
        <v>2273</v>
      </c>
      <c r="R334" s="387" t="s">
        <v>1</v>
      </c>
      <c r="S334" s="387"/>
      <c r="T334" s="380">
        <v>1</v>
      </c>
      <c r="U334" s="380">
        <v>7</v>
      </c>
      <c r="V334" s="380" t="s">
        <v>1097</v>
      </c>
      <c r="W334" s="380" t="s">
        <v>953</v>
      </c>
      <c r="X334" s="380" t="s">
        <v>1027</v>
      </c>
      <c r="Y334" s="380" t="s">
        <v>1018</v>
      </c>
      <c r="Z334" s="380" t="s">
        <v>1019</v>
      </c>
      <c r="AA334" s="380" t="s">
        <v>1</v>
      </c>
      <c r="AB334" s="380" t="s">
        <v>1</v>
      </c>
      <c r="AC334" s="380" t="s">
        <v>768</v>
      </c>
      <c r="AD334" s="380" t="s">
        <v>1</v>
      </c>
      <c r="AE334" s="397" t="s">
        <v>1</v>
      </c>
      <c r="AF334" s="44"/>
      <c r="AG334" s="44"/>
      <c r="AH334" s="44"/>
      <c r="AI334" s="44"/>
      <c r="AJ334" s="44"/>
      <c r="AK334" s="44"/>
      <c r="AL334" s="44"/>
      <c r="AM334" s="44"/>
      <c r="AN334" s="44"/>
      <c r="AO334" s="44"/>
      <c r="AP334" s="44"/>
      <c r="AQ334" s="44"/>
      <c r="AR334" s="44"/>
      <c r="AS334" s="44"/>
    </row>
    <row r="335" spans="1:45" ht="30.75">
      <c r="A335" s="214"/>
      <c r="B335" s="365" t="s">
        <v>541</v>
      </c>
      <c r="C335" s="377" t="s">
        <v>2187</v>
      </c>
      <c r="D335" s="383" t="s">
        <v>778</v>
      </c>
      <c r="E335" s="380">
        <v>3</v>
      </c>
      <c r="F335" s="299" t="s">
        <v>2274</v>
      </c>
      <c r="G335" s="384" t="s">
        <v>840</v>
      </c>
      <c r="H335" s="384" t="s">
        <v>1</v>
      </c>
      <c r="I335" s="395" t="s">
        <v>757</v>
      </c>
      <c r="J335" s="396" t="s">
        <v>1</v>
      </c>
      <c r="K335" s="385" t="s">
        <v>2275</v>
      </c>
      <c r="L335" s="385" t="s">
        <v>2276</v>
      </c>
      <c r="M335" s="386" t="s">
        <v>65</v>
      </c>
      <c r="N335" s="387" t="s">
        <v>2277</v>
      </c>
      <c r="O335" s="387" t="s">
        <v>2278</v>
      </c>
      <c r="P335" s="469" t="s">
        <v>2279</v>
      </c>
      <c r="Q335" s="469" t="s">
        <v>2280</v>
      </c>
      <c r="R335" s="387" t="s">
        <v>1</v>
      </c>
      <c r="S335" s="387"/>
      <c r="T335" s="380">
        <v>3</v>
      </c>
      <c r="U335" s="380">
        <v>15</v>
      </c>
      <c r="V335" s="380" t="s">
        <v>1762</v>
      </c>
      <c r="W335" s="380" t="s">
        <v>953</v>
      </c>
      <c r="X335" s="380" t="s">
        <v>1027</v>
      </c>
      <c r="Y335" s="380" t="s">
        <v>1028</v>
      </c>
      <c r="Z335" s="380" t="s">
        <v>1019</v>
      </c>
      <c r="AA335" s="380" t="s">
        <v>1</v>
      </c>
      <c r="AB335" s="380" t="s">
        <v>1</v>
      </c>
      <c r="AC335" s="380" t="s">
        <v>768</v>
      </c>
      <c r="AD335" s="380" t="s">
        <v>1</v>
      </c>
      <c r="AE335" s="397" t="s">
        <v>1</v>
      </c>
      <c r="AF335" s="44"/>
      <c r="AG335" s="44"/>
      <c r="AH335" s="44"/>
      <c r="AI335" s="44"/>
      <c r="AJ335" s="44"/>
      <c r="AK335" s="44"/>
      <c r="AL335" s="44"/>
      <c r="AM335" s="44"/>
      <c r="AN335" s="44"/>
      <c r="AO335" s="44"/>
      <c r="AP335" s="44"/>
      <c r="AQ335" s="44"/>
      <c r="AR335" s="44"/>
      <c r="AS335" s="44"/>
    </row>
    <row r="336" spans="1:45" ht="30.75">
      <c r="A336" s="214"/>
      <c r="B336" s="365" t="s">
        <v>541</v>
      </c>
      <c r="C336" s="377" t="s">
        <v>2187</v>
      </c>
      <c r="D336" s="383" t="s">
        <v>778</v>
      </c>
      <c r="E336" s="380">
        <v>4</v>
      </c>
      <c r="F336" s="299" t="s">
        <v>2281</v>
      </c>
      <c r="G336" s="384" t="s">
        <v>744</v>
      </c>
      <c r="H336" s="384" t="s">
        <v>1</v>
      </c>
      <c r="I336" s="395" t="s">
        <v>757</v>
      </c>
      <c r="J336" s="396" t="s">
        <v>1</v>
      </c>
      <c r="K336" s="385" t="s">
        <v>2282</v>
      </c>
      <c r="L336" s="385" t="s">
        <v>2283</v>
      </c>
      <c r="M336" s="386" t="s">
        <v>65</v>
      </c>
      <c r="N336" s="387" t="s">
        <v>2284</v>
      </c>
      <c r="O336" s="387" t="s">
        <v>2285</v>
      </c>
      <c r="P336" t="s">
        <v>2286</v>
      </c>
      <c r="Q336" s="469" t="s">
        <v>2287</v>
      </c>
      <c r="R336" s="387" t="s">
        <v>1</v>
      </c>
      <c r="S336" s="387"/>
      <c r="T336" s="380">
        <v>1</v>
      </c>
      <c r="U336" s="380">
        <v>7</v>
      </c>
      <c r="V336" s="380" t="s">
        <v>1097</v>
      </c>
      <c r="W336" s="380" t="s">
        <v>953</v>
      </c>
      <c r="X336" s="380" t="s">
        <v>1027</v>
      </c>
      <c r="Y336" s="380" t="s">
        <v>1018</v>
      </c>
      <c r="Z336" s="380" t="s">
        <v>1019</v>
      </c>
      <c r="AA336" s="380" t="s">
        <v>1</v>
      </c>
      <c r="AB336" s="380" t="s">
        <v>1</v>
      </c>
      <c r="AC336" s="380" t="s">
        <v>768</v>
      </c>
      <c r="AD336" s="380" t="s">
        <v>1</v>
      </c>
      <c r="AE336" s="397" t="s">
        <v>1</v>
      </c>
      <c r="AF336" s="44"/>
      <c r="AG336" s="44"/>
      <c r="AH336" s="44"/>
      <c r="AI336" s="44"/>
      <c r="AJ336" s="44"/>
      <c r="AK336" s="44"/>
      <c r="AL336" s="44"/>
      <c r="AM336" s="44"/>
      <c r="AN336" s="44"/>
      <c r="AO336" s="44"/>
      <c r="AP336" s="44"/>
      <c r="AQ336" s="44"/>
      <c r="AR336" s="44"/>
      <c r="AS336" s="44"/>
    </row>
    <row r="337" spans="1:45" ht="45">
      <c r="A337" s="214"/>
      <c r="B337" s="366" t="s">
        <v>558</v>
      </c>
      <c r="C337" s="378" t="s">
        <v>2288</v>
      </c>
      <c r="D337" s="379" t="s">
        <v>735</v>
      </c>
      <c r="E337" s="380">
        <v>1</v>
      </c>
      <c r="F337" s="299" t="s">
        <v>2289</v>
      </c>
      <c r="G337" s="384" t="s">
        <v>744</v>
      </c>
      <c r="H337" s="384" t="s">
        <v>1</v>
      </c>
      <c r="I337" s="395" t="s">
        <v>757</v>
      </c>
      <c r="J337" s="396" t="s">
        <v>1</v>
      </c>
      <c r="K337" s="385" t="s">
        <v>2290</v>
      </c>
      <c r="L337" s="385" t="s">
        <v>2291</v>
      </c>
      <c r="M337" s="386" t="s">
        <v>65</v>
      </c>
      <c r="N337" s="387" t="s">
        <v>2292</v>
      </c>
      <c r="O337" s="387" t="s">
        <v>2293</v>
      </c>
      <c r="P337" s="469" t="s">
        <v>2294</v>
      </c>
      <c r="Q337" s="469" t="s">
        <v>2295</v>
      </c>
      <c r="R337" s="387" t="s">
        <v>1</v>
      </c>
      <c r="S337" s="387"/>
      <c r="T337" s="380">
        <v>1</v>
      </c>
      <c r="U337" s="380">
        <v>7</v>
      </c>
      <c r="V337" s="380" t="s">
        <v>1097</v>
      </c>
      <c r="W337" s="380" t="s">
        <v>953</v>
      </c>
      <c r="X337" s="380" t="s">
        <v>1027</v>
      </c>
      <c r="Y337" s="380" t="s">
        <v>1018</v>
      </c>
      <c r="Z337" s="380" t="s">
        <v>1019</v>
      </c>
      <c r="AA337" s="380" t="s">
        <v>1</v>
      </c>
      <c r="AB337" s="380" t="s">
        <v>1</v>
      </c>
      <c r="AC337" s="380" t="s">
        <v>768</v>
      </c>
      <c r="AD337" s="380" t="s">
        <v>1</v>
      </c>
      <c r="AE337" s="397" t="s">
        <v>1</v>
      </c>
      <c r="AF337" s="44"/>
      <c r="AG337" s="44"/>
      <c r="AH337" s="44"/>
      <c r="AI337" s="44"/>
      <c r="AJ337" s="44"/>
      <c r="AK337" s="44"/>
      <c r="AL337" s="44"/>
      <c r="AM337" s="44"/>
      <c r="AN337" s="44"/>
      <c r="AO337" s="44"/>
      <c r="AP337" s="44"/>
      <c r="AQ337" s="44"/>
      <c r="AR337" s="44"/>
      <c r="AS337" s="44"/>
    </row>
    <row r="338" spans="1:45" ht="45">
      <c r="A338" s="214"/>
      <c r="B338" s="366" t="s">
        <v>558</v>
      </c>
      <c r="C338" s="378" t="s">
        <v>2288</v>
      </c>
      <c r="D338" s="379" t="s">
        <v>735</v>
      </c>
      <c r="E338" s="380">
        <v>2</v>
      </c>
      <c r="F338" s="299" t="s">
        <v>2296</v>
      </c>
      <c r="G338" s="384" t="s">
        <v>744</v>
      </c>
      <c r="H338" s="384" t="s">
        <v>1</v>
      </c>
      <c r="I338" s="395" t="s">
        <v>757</v>
      </c>
      <c r="J338" s="396" t="s">
        <v>1</v>
      </c>
      <c r="K338" s="385" t="s">
        <v>2297</v>
      </c>
      <c r="L338" s="385" t="s">
        <v>2291</v>
      </c>
      <c r="M338" s="386" t="s">
        <v>65</v>
      </c>
      <c r="N338" s="387" t="s">
        <v>2298</v>
      </c>
      <c r="O338" s="387" t="s">
        <v>2299</v>
      </c>
      <c r="P338" s="469" t="s">
        <v>2294</v>
      </c>
      <c r="Q338" s="469" t="s">
        <v>2300</v>
      </c>
      <c r="R338" s="387" t="s">
        <v>1</v>
      </c>
      <c r="S338" s="387"/>
      <c r="T338" s="380">
        <v>1</v>
      </c>
      <c r="U338" s="380">
        <v>7</v>
      </c>
      <c r="V338" s="380" t="s">
        <v>1097</v>
      </c>
      <c r="W338" s="380" t="s">
        <v>953</v>
      </c>
      <c r="X338" s="380" t="s">
        <v>1027</v>
      </c>
      <c r="Y338" s="380" t="s">
        <v>1018</v>
      </c>
      <c r="Z338" s="380" t="s">
        <v>1019</v>
      </c>
      <c r="AA338" s="380" t="s">
        <v>1</v>
      </c>
      <c r="AB338" s="380" t="s">
        <v>1</v>
      </c>
      <c r="AC338" s="380" t="s">
        <v>768</v>
      </c>
      <c r="AD338" s="380" t="s">
        <v>1</v>
      </c>
      <c r="AE338" s="397" t="s">
        <v>1</v>
      </c>
      <c r="AF338" s="44"/>
      <c r="AG338" s="44"/>
      <c r="AH338" s="44"/>
      <c r="AI338" s="44"/>
      <c r="AJ338" s="44"/>
      <c r="AK338" s="44"/>
      <c r="AL338" s="44"/>
      <c r="AM338" s="44"/>
      <c r="AN338" s="44"/>
      <c r="AO338" s="44"/>
      <c r="AP338" s="44"/>
      <c r="AQ338" s="44"/>
      <c r="AR338" s="44"/>
      <c r="AS338" s="44"/>
    </row>
    <row r="339" spans="1:45" ht="45">
      <c r="A339" s="214"/>
      <c r="B339" s="366" t="s">
        <v>558</v>
      </c>
      <c r="C339" s="378" t="s">
        <v>2288</v>
      </c>
      <c r="D339" s="380" t="s">
        <v>743</v>
      </c>
      <c r="E339" s="380">
        <v>1</v>
      </c>
      <c r="F339" s="299" t="s">
        <v>2301</v>
      </c>
      <c r="G339" s="384" t="s">
        <v>744</v>
      </c>
      <c r="H339" s="384" t="s">
        <v>1</v>
      </c>
      <c r="I339" s="395" t="s">
        <v>757</v>
      </c>
      <c r="J339" s="396" t="s">
        <v>1</v>
      </c>
      <c r="K339" s="385" t="s">
        <v>2302</v>
      </c>
      <c r="L339" s="385" t="s">
        <v>2303</v>
      </c>
      <c r="M339" s="386" t="s">
        <v>65</v>
      </c>
      <c r="N339" s="387" t="s">
        <v>2304</v>
      </c>
      <c r="O339" s="387" t="s">
        <v>2305</v>
      </c>
      <c r="P339" s="469" t="s">
        <v>2306</v>
      </c>
      <c r="Q339" s="469" t="s">
        <v>2307</v>
      </c>
      <c r="R339" s="387" t="s">
        <v>1</v>
      </c>
      <c r="S339" s="387"/>
      <c r="T339" s="380">
        <v>1</v>
      </c>
      <c r="U339" s="380">
        <v>7</v>
      </c>
      <c r="V339" s="380" t="s">
        <v>1097</v>
      </c>
      <c r="W339" s="380" t="s">
        <v>953</v>
      </c>
      <c r="X339" s="380" t="s">
        <v>1027</v>
      </c>
      <c r="Y339" s="380" t="s">
        <v>1018</v>
      </c>
      <c r="Z339" s="380" t="s">
        <v>1019</v>
      </c>
      <c r="AA339" s="380" t="s">
        <v>1</v>
      </c>
      <c r="AB339" s="380" t="s">
        <v>1</v>
      </c>
      <c r="AC339" s="380" t="s">
        <v>768</v>
      </c>
      <c r="AD339" s="380" t="s">
        <v>1</v>
      </c>
      <c r="AE339" s="397" t="s">
        <v>1</v>
      </c>
      <c r="AF339" s="44"/>
      <c r="AG339" s="44"/>
      <c r="AH339" s="44"/>
      <c r="AI339" s="44"/>
      <c r="AJ339" s="44"/>
      <c r="AK339" s="44"/>
      <c r="AL339" s="44"/>
      <c r="AM339" s="44"/>
      <c r="AN339" s="44"/>
      <c r="AO339" s="44"/>
      <c r="AP339" s="44"/>
      <c r="AQ339" s="44"/>
      <c r="AR339" s="44"/>
      <c r="AS339" s="44"/>
    </row>
    <row r="340" spans="1:45" ht="45">
      <c r="A340" s="214"/>
      <c r="B340" s="366" t="s">
        <v>558</v>
      </c>
      <c r="C340" s="378" t="s">
        <v>2288</v>
      </c>
      <c r="D340" s="380" t="s">
        <v>743</v>
      </c>
      <c r="E340" s="380">
        <v>2</v>
      </c>
      <c r="F340" s="299" t="s">
        <v>2308</v>
      </c>
      <c r="G340" s="384" t="s">
        <v>840</v>
      </c>
      <c r="H340" s="384" t="s">
        <v>1</v>
      </c>
      <c r="I340" s="395" t="s">
        <v>757</v>
      </c>
      <c r="J340" s="396" t="s">
        <v>1</v>
      </c>
      <c r="K340" s="385" t="s">
        <v>2309</v>
      </c>
      <c r="L340" s="385" t="s">
        <v>2310</v>
      </c>
      <c r="M340" s="386" t="s">
        <v>65</v>
      </c>
      <c r="N340" s="387" t="s">
        <v>2311</v>
      </c>
      <c r="O340" s="387" t="s">
        <v>2312</v>
      </c>
      <c r="P340" s="469" t="s">
        <v>2313</v>
      </c>
      <c r="Q340" s="469" t="s">
        <v>2314</v>
      </c>
      <c r="R340" s="387" t="s">
        <v>1</v>
      </c>
      <c r="S340" s="387"/>
      <c r="T340" s="380">
        <v>3</v>
      </c>
      <c r="U340" s="380">
        <v>15</v>
      </c>
      <c r="V340" s="380" t="s">
        <v>1762</v>
      </c>
      <c r="W340" s="380" t="s">
        <v>953</v>
      </c>
      <c r="X340" s="380" t="s">
        <v>1027</v>
      </c>
      <c r="Y340" s="380" t="s">
        <v>1028</v>
      </c>
      <c r="Z340" s="380" t="s">
        <v>1019</v>
      </c>
      <c r="AA340" s="380" t="s">
        <v>1</v>
      </c>
      <c r="AB340" s="380" t="s">
        <v>1</v>
      </c>
      <c r="AC340" s="380" t="s">
        <v>768</v>
      </c>
      <c r="AD340" s="380" t="s">
        <v>1</v>
      </c>
      <c r="AE340" s="397" t="s">
        <v>1</v>
      </c>
      <c r="AF340" s="44"/>
      <c r="AG340" s="44"/>
      <c r="AH340" s="44"/>
      <c r="AI340" s="44"/>
      <c r="AJ340" s="44"/>
      <c r="AK340" s="44"/>
      <c r="AL340" s="44"/>
      <c r="AM340" s="44"/>
      <c r="AN340" s="44"/>
      <c r="AO340" s="44"/>
      <c r="AP340" s="44"/>
      <c r="AQ340" s="44"/>
      <c r="AR340" s="44"/>
      <c r="AS340" s="44"/>
    </row>
    <row r="341" spans="1:45" ht="45">
      <c r="A341" s="214"/>
      <c r="B341" s="366" t="s">
        <v>558</v>
      </c>
      <c r="C341" s="378" t="s">
        <v>2288</v>
      </c>
      <c r="D341" s="381" t="s">
        <v>750</v>
      </c>
      <c r="E341" s="380">
        <v>1</v>
      </c>
      <c r="F341" s="299" t="s">
        <v>2315</v>
      </c>
      <c r="G341" s="384" t="s">
        <v>744</v>
      </c>
      <c r="H341" s="384" t="s">
        <v>1</v>
      </c>
      <c r="I341" s="395" t="s">
        <v>757</v>
      </c>
      <c r="J341" s="396" t="s">
        <v>1</v>
      </c>
      <c r="K341" s="385" t="s">
        <v>2316</v>
      </c>
      <c r="L341" s="385" t="s">
        <v>2317</v>
      </c>
      <c r="M341" s="386" t="s">
        <v>65</v>
      </c>
      <c r="N341" s="447" t="s">
        <v>2318</v>
      </c>
      <c r="O341" s="387" t="s">
        <v>2319</v>
      </c>
      <c r="P341" s="469" t="s">
        <v>1804</v>
      </c>
      <c r="Q341" s="469" t="s">
        <v>2320</v>
      </c>
      <c r="R341" s="387" t="s">
        <v>1</v>
      </c>
      <c r="S341" s="387"/>
      <c r="T341" s="380">
        <v>1</v>
      </c>
      <c r="U341" s="380">
        <v>7</v>
      </c>
      <c r="V341" s="380" t="s">
        <v>1097</v>
      </c>
      <c r="W341" s="380" t="s">
        <v>953</v>
      </c>
      <c r="X341" s="380" t="s">
        <v>1027</v>
      </c>
      <c r="Y341" s="380" t="s">
        <v>1018</v>
      </c>
      <c r="Z341" s="380" t="s">
        <v>1019</v>
      </c>
      <c r="AA341" s="380" t="s">
        <v>1</v>
      </c>
      <c r="AB341" s="380" t="s">
        <v>1</v>
      </c>
      <c r="AC341" s="380" t="s">
        <v>768</v>
      </c>
      <c r="AD341" s="380" t="s">
        <v>1</v>
      </c>
      <c r="AE341" s="397" t="s">
        <v>1</v>
      </c>
      <c r="AF341" s="44"/>
      <c r="AG341" s="44"/>
      <c r="AH341" s="44"/>
      <c r="AI341" s="44"/>
      <c r="AJ341" s="44"/>
      <c r="AK341" s="44"/>
      <c r="AL341" s="44"/>
      <c r="AM341" s="44"/>
      <c r="AN341" s="44"/>
      <c r="AO341" s="44"/>
      <c r="AP341" s="44"/>
      <c r="AQ341" s="44"/>
      <c r="AR341" s="44"/>
      <c r="AS341" s="44"/>
    </row>
    <row r="342" spans="1:45" ht="45">
      <c r="A342" s="214"/>
      <c r="B342" s="366" t="s">
        <v>558</v>
      </c>
      <c r="C342" s="378" t="s">
        <v>2288</v>
      </c>
      <c r="D342" s="381" t="s">
        <v>750</v>
      </c>
      <c r="E342" s="380">
        <v>2</v>
      </c>
      <c r="F342" s="299" t="s">
        <v>2321</v>
      </c>
      <c r="G342" s="384" t="s">
        <v>840</v>
      </c>
      <c r="H342" s="384" t="s">
        <v>1</v>
      </c>
      <c r="I342" s="395" t="s">
        <v>757</v>
      </c>
      <c r="J342" s="396" t="s">
        <v>1</v>
      </c>
      <c r="K342" s="385" t="s">
        <v>2322</v>
      </c>
      <c r="L342" s="385" t="s">
        <v>2323</v>
      </c>
      <c r="M342" s="386" t="s">
        <v>65</v>
      </c>
      <c r="N342" s="387" t="s">
        <v>2324</v>
      </c>
      <c r="O342" s="387" t="s">
        <v>2325</v>
      </c>
      <c r="P342" s="469" t="s">
        <v>2326</v>
      </c>
      <c r="Q342" s="469" t="s">
        <v>2327</v>
      </c>
      <c r="R342" s="387" t="s">
        <v>1</v>
      </c>
      <c r="S342" s="387"/>
      <c r="T342" s="380">
        <v>3</v>
      </c>
      <c r="U342" s="380">
        <v>15</v>
      </c>
      <c r="V342" s="380" t="s">
        <v>1762</v>
      </c>
      <c r="W342" s="380" t="s">
        <v>953</v>
      </c>
      <c r="X342" s="380" t="s">
        <v>1027</v>
      </c>
      <c r="Y342" s="380" t="s">
        <v>1028</v>
      </c>
      <c r="Z342" s="380" t="s">
        <v>1019</v>
      </c>
      <c r="AA342" s="380" t="s">
        <v>1</v>
      </c>
      <c r="AB342" s="380" t="s">
        <v>1</v>
      </c>
      <c r="AC342" s="380" t="s">
        <v>768</v>
      </c>
      <c r="AD342" s="380" t="s">
        <v>1</v>
      </c>
      <c r="AE342" s="397" t="s">
        <v>1</v>
      </c>
      <c r="AF342" s="44"/>
      <c r="AG342" s="44"/>
      <c r="AH342" s="44"/>
      <c r="AI342" s="44"/>
      <c r="AJ342" s="44"/>
      <c r="AK342" s="44"/>
      <c r="AL342" s="44"/>
      <c r="AM342" s="44"/>
      <c r="AN342" s="44"/>
      <c r="AO342" s="44"/>
      <c r="AP342" s="44"/>
      <c r="AQ342" s="44"/>
      <c r="AR342" s="44"/>
      <c r="AS342" s="44"/>
    </row>
    <row r="343" spans="1:45" ht="159">
      <c r="A343" s="214"/>
      <c r="B343" s="366" t="s">
        <v>558</v>
      </c>
      <c r="C343" s="378" t="s">
        <v>2288</v>
      </c>
      <c r="D343" s="382" t="s">
        <v>764</v>
      </c>
      <c r="E343" s="380">
        <v>1</v>
      </c>
      <c r="F343" s="299" t="s">
        <v>2328</v>
      </c>
      <c r="G343" s="384" t="s">
        <v>828</v>
      </c>
      <c r="H343" s="384" t="s">
        <v>1</v>
      </c>
      <c r="I343" s="395" t="s">
        <v>757</v>
      </c>
      <c r="J343" s="396" t="s">
        <v>1</v>
      </c>
      <c r="K343" s="385" t="s">
        <v>2329</v>
      </c>
      <c r="L343" s="385" t="s">
        <v>2330</v>
      </c>
      <c r="M343" s="386" t="s">
        <v>65</v>
      </c>
      <c r="N343" s="387" t="s">
        <v>2331</v>
      </c>
      <c r="O343" s="387" t="s">
        <v>2332</v>
      </c>
      <c r="P343" s="478" t="s">
        <v>2333</v>
      </c>
      <c r="Q343" s="478" t="s">
        <v>2334</v>
      </c>
      <c r="R343" s="387" t="s">
        <v>2335</v>
      </c>
      <c r="S343" s="387" t="s">
        <v>2336</v>
      </c>
      <c r="T343" s="380">
        <v>1</v>
      </c>
      <c r="U343" s="380">
        <v>7</v>
      </c>
      <c r="V343" s="380" t="s">
        <v>1097</v>
      </c>
      <c r="W343" s="380" t="s">
        <v>953</v>
      </c>
      <c r="X343" s="380" t="s">
        <v>828</v>
      </c>
      <c r="Y343" s="380" t="s">
        <v>1018</v>
      </c>
      <c r="Z343" s="380" t="s">
        <v>1019</v>
      </c>
      <c r="AA343" s="380" t="s">
        <v>1</v>
      </c>
      <c r="AB343" s="380" t="s">
        <v>1</v>
      </c>
      <c r="AC343" s="380" t="s">
        <v>768</v>
      </c>
      <c r="AD343" s="380" t="s">
        <v>1</v>
      </c>
      <c r="AE343" s="397" t="s">
        <v>1</v>
      </c>
      <c r="AF343" s="44"/>
      <c r="AG343" s="44"/>
      <c r="AH343" s="44"/>
      <c r="AI343" s="44"/>
      <c r="AJ343" s="44"/>
      <c r="AK343" s="44"/>
      <c r="AL343" s="44"/>
      <c r="AM343" s="44"/>
      <c r="AN343" s="44"/>
      <c r="AO343" s="44"/>
      <c r="AP343" s="44"/>
      <c r="AQ343" s="44"/>
      <c r="AR343" s="44"/>
      <c r="AS343" s="44"/>
    </row>
    <row r="344" spans="1:45" ht="45">
      <c r="A344" s="214"/>
      <c r="B344" s="366" t="s">
        <v>558</v>
      </c>
      <c r="C344" s="378" t="s">
        <v>2288</v>
      </c>
      <c r="D344" s="382" t="s">
        <v>764</v>
      </c>
      <c r="E344" s="380">
        <v>2</v>
      </c>
      <c r="F344" s="299" t="s">
        <v>2337</v>
      </c>
      <c r="G344" s="384" t="s">
        <v>840</v>
      </c>
      <c r="H344" s="384" t="s">
        <v>1</v>
      </c>
      <c r="I344" s="395" t="s">
        <v>757</v>
      </c>
      <c r="J344" s="396" t="s">
        <v>1</v>
      </c>
      <c r="K344" s="385" t="s">
        <v>2338</v>
      </c>
      <c r="L344" s="385" t="s">
        <v>2339</v>
      </c>
      <c r="M344" s="386" t="s">
        <v>65</v>
      </c>
      <c r="N344" s="387" t="s">
        <v>2340</v>
      </c>
      <c r="O344" s="387" t="s">
        <v>2341</v>
      </c>
      <c r="P344" s="469" t="s">
        <v>2342</v>
      </c>
      <c r="Q344" s="469" t="s">
        <v>2343</v>
      </c>
      <c r="R344" s="387" t="s">
        <v>1</v>
      </c>
      <c r="S344" s="387"/>
      <c r="T344" s="380">
        <v>3</v>
      </c>
      <c r="U344" s="380">
        <v>15</v>
      </c>
      <c r="V344" s="380" t="s">
        <v>1762</v>
      </c>
      <c r="W344" s="380" t="s">
        <v>953</v>
      </c>
      <c r="X344" s="380" t="s">
        <v>1027</v>
      </c>
      <c r="Y344" s="380" t="s">
        <v>1028</v>
      </c>
      <c r="Z344" s="380" t="s">
        <v>1019</v>
      </c>
      <c r="AA344" s="380" t="s">
        <v>1</v>
      </c>
      <c r="AB344" s="380" t="s">
        <v>1</v>
      </c>
      <c r="AC344" s="380" t="s">
        <v>768</v>
      </c>
      <c r="AD344" s="380" t="s">
        <v>1</v>
      </c>
      <c r="AE344" s="397" t="s">
        <v>1</v>
      </c>
      <c r="AF344" s="44"/>
      <c r="AG344" s="44"/>
      <c r="AH344" s="44"/>
      <c r="AI344" s="44"/>
      <c r="AJ344" s="44"/>
      <c r="AK344" s="44"/>
      <c r="AL344" s="44"/>
      <c r="AM344" s="44"/>
      <c r="AN344" s="44"/>
      <c r="AO344" s="44"/>
      <c r="AP344" s="44"/>
      <c r="AQ344" s="44"/>
      <c r="AR344" s="44"/>
      <c r="AS344" s="44"/>
    </row>
    <row r="345" spans="1:45" ht="30.75">
      <c r="A345" s="214"/>
      <c r="B345" s="366" t="s">
        <v>558</v>
      </c>
      <c r="C345" s="378" t="s">
        <v>2288</v>
      </c>
      <c r="D345" s="382" t="s">
        <v>764</v>
      </c>
      <c r="E345" s="380">
        <v>3</v>
      </c>
      <c r="F345" s="299" t="s">
        <v>2344</v>
      </c>
      <c r="G345" s="384" t="s">
        <v>793</v>
      </c>
      <c r="H345" s="384" t="s">
        <v>1</v>
      </c>
      <c r="I345" s="395" t="s">
        <v>757</v>
      </c>
      <c r="J345" s="396" t="s">
        <v>1</v>
      </c>
      <c r="K345" s="385" t="s">
        <v>2345</v>
      </c>
      <c r="L345" s="385" t="s">
        <v>2346</v>
      </c>
      <c r="M345" s="386" t="s">
        <v>65</v>
      </c>
      <c r="N345" s="387" t="s">
        <v>2347</v>
      </c>
      <c r="O345" s="387" t="s">
        <v>2348</v>
      </c>
      <c r="P345" s="469" t="s">
        <v>2349</v>
      </c>
      <c r="Q345" s="469" t="s">
        <v>2350</v>
      </c>
      <c r="R345" s="387" t="s">
        <v>1</v>
      </c>
      <c r="S345" s="387"/>
      <c r="T345" s="380">
        <v>1</v>
      </c>
      <c r="U345" s="380">
        <v>7</v>
      </c>
      <c r="V345" s="380" t="s">
        <v>1097</v>
      </c>
      <c r="W345" s="380" t="s">
        <v>953</v>
      </c>
      <c r="X345" s="380" t="s">
        <v>1027</v>
      </c>
      <c r="Y345" s="380" t="s">
        <v>1018</v>
      </c>
      <c r="Z345" s="380" t="s">
        <v>1019</v>
      </c>
      <c r="AA345" s="380" t="s">
        <v>1</v>
      </c>
      <c r="AB345" s="380" t="s">
        <v>1</v>
      </c>
      <c r="AC345" s="380" t="s">
        <v>768</v>
      </c>
      <c r="AD345" s="380" t="s">
        <v>1</v>
      </c>
      <c r="AE345" s="397" t="s">
        <v>1</v>
      </c>
      <c r="AF345" s="44"/>
      <c r="AG345" s="44"/>
      <c r="AH345" s="44"/>
      <c r="AI345" s="44"/>
      <c r="AJ345" s="44"/>
      <c r="AK345" s="44"/>
      <c r="AL345" s="44"/>
      <c r="AM345" s="44"/>
      <c r="AN345" s="44"/>
      <c r="AO345" s="44"/>
      <c r="AP345" s="44"/>
      <c r="AQ345" s="44"/>
      <c r="AR345" s="44"/>
      <c r="AS345" s="44"/>
    </row>
    <row r="346" spans="1:45" ht="45">
      <c r="A346" s="214"/>
      <c r="B346" s="366" t="s">
        <v>558</v>
      </c>
      <c r="C346" s="378" t="s">
        <v>2288</v>
      </c>
      <c r="D346" s="382" t="s">
        <v>764</v>
      </c>
      <c r="E346" s="380">
        <v>4</v>
      </c>
      <c r="F346" s="299" t="s">
        <v>2351</v>
      </c>
      <c r="G346" s="384" t="s">
        <v>840</v>
      </c>
      <c r="H346" s="384" t="s">
        <v>1</v>
      </c>
      <c r="I346" s="395" t="s">
        <v>757</v>
      </c>
      <c r="J346" s="396" t="s">
        <v>1</v>
      </c>
      <c r="K346" s="385" t="s">
        <v>2352</v>
      </c>
      <c r="L346" s="385" t="s">
        <v>2353</v>
      </c>
      <c r="M346" s="386" t="s">
        <v>65</v>
      </c>
      <c r="N346" s="387" t="s">
        <v>2354</v>
      </c>
      <c r="O346" s="387" t="s">
        <v>2355</v>
      </c>
      <c r="P346" s="469" t="s">
        <v>2356</v>
      </c>
      <c r="Q346" s="469" t="s">
        <v>2357</v>
      </c>
      <c r="R346" s="387" t="s">
        <v>1</v>
      </c>
      <c r="S346" s="387"/>
      <c r="T346" s="380">
        <v>3</v>
      </c>
      <c r="U346" s="380">
        <v>15</v>
      </c>
      <c r="V346" s="380" t="s">
        <v>1762</v>
      </c>
      <c r="W346" s="380" t="s">
        <v>953</v>
      </c>
      <c r="X346" s="380" t="s">
        <v>1027</v>
      </c>
      <c r="Y346" s="380" t="s">
        <v>1028</v>
      </c>
      <c r="Z346" s="380" t="s">
        <v>1019</v>
      </c>
      <c r="AA346" s="380" t="s">
        <v>1</v>
      </c>
      <c r="AB346" s="380" t="s">
        <v>1</v>
      </c>
      <c r="AC346" s="380" t="s">
        <v>768</v>
      </c>
      <c r="AD346" s="380" t="s">
        <v>1</v>
      </c>
      <c r="AE346" s="397" t="s">
        <v>1</v>
      </c>
      <c r="AF346" s="44"/>
      <c r="AG346" s="44"/>
      <c r="AH346" s="44"/>
      <c r="AI346" s="44"/>
      <c r="AJ346" s="44"/>
      <c r="AK346" s="44"/>
      <c r="AL346" s="44"/>
      <c r="AM346" s="44"/>
      <c r="AN346" s="44"/>
      <c r="AO346" s="44"/>
      <c r="AP346" s="44"/>
      <c r="AQ346" s="44"/>
      <c r="AR346" s="44"/>
      <c r="AS346" s="44"/>
    </row>
    <row r="347" spans="1:45" ht="30.75">
      <c r="A347" s="214"/>
      <c r="B347" s="366" t="s">
        <v>558</v>
      </c>
      <c r="C347" s="378" t="s">
        <v>2288</v>
      </c>
      <c r="D347" s="383" t="s">
        <v>778</v>
      </c>
      <c r="E347" s="380">
        <v>1</v>
      </c>
      <c r="F347" s="299" t="s">
        <v>2358</v>
      </c>
      <c r="G347" s="384" t="s">
        <v>744</v>
      </c>
      <c r="H347" s="384" t="s">
        <v>1</v>
      </c>
      <c r="I347" s="395" t="s">
        <v>757</v>
      </c>
      <c r="J347" s="396" t="s">
        <v>1</v>
      </c>
      <c r="K347" s="385" t="s">
        <v>2359</v>
      </c>
      <c r="L347" s="385" t="s">
        <v>2360</v>
      </c>
      <c r="M347" s="386" t="s">
        <v>65</v>
      </c>
      <c r="N347" s="387" t="s">
        <v>2361</v>
      </c>
      <c r="O347" s="387" t="s">
        <v>2362</v>
      </c>
      <c r="P347" s="469" t="s">
        <v>2363</v>
      </c>
      <c r="Q347" s="469" t="s">
        <v>2364</v>
      </c>
      <c r="R347" s="387" t="s">
        <v>1</v>
      </c>
      <c r="S347" s="387"/>
      <c r="T347" s="380">
        <v>1</v>
      </c>
      <c r="U347" s="380">
        <v>7</v>
      </c>
      <c r="V347" s="380" t="s">
        <v>1097</v>
      </c>
      <c r="W347" s="380" t="s">
        <v>953</v>
      </c>
      <c r="X347" s="380" t="s">
        <v>1027</v>
      </c>
      <c r="Y347" s="380" t="s">
        <v>1018</v>
      </c>
      <c r="Z347" s="380" t="s">
        <v>1019</v>
      </c>
      <c r="AA347" s="380" t="s">
        <v>1</v>
      </c>
      <c r="AB347" s="380" t="s">
        <v>1</v>
      </c>
      <c r="AC347" s="380" t="s">
        <v>768</v>
      </c>
      <c r="AD347" s="380" t="s">
        <v>1</v>
      </c>
      <c r="AE347" s="397" t="s">
        <v>1</v>
      </c>
      <c r="AF347" s="44"/>
      <c r="AG347" s="44"/>
      <c r="AH347" s="44"/>
      <c r="AI347" s="44"/>
      <c r="AJ347" s="44"/>
      <c r="AK347" s="44"/>
      <c r="AL347" s="44"/>
      <c r="AM347" s="44"/>
      <c r="AN347" s="44"/>
      <c r="AO347" s="44"/>
      <c r="AP347" s="44"/>
      <c r="AQ347" s="44"/>
      <c r="AR347" s="44"/>
      <c r="AS347" s="44"/>
    </row>
    <row r="348" spans="1:45" ht="45">
      <c r="A348" s="214"/>
      <c r="B348" s="366" t="s">
        <v>558</v>
      </c>
      <c r="C348" s="378" t="s">
        <v>2288</v>
      </c>
      <c r="D348" s="383" t="s">
        <v>778</v>
      </c>
      <c r="E348" s="380">
        <v>2</v>
      </c>
      <c r="F348" s="299" t="s">
        <v>2365</v>
      </c>
      <c r="G348" s="384" t="s">
        <v>840</v>
      </c>
      <c r="H348" s="384" t="s">
        <v>1</v>
      </c>
      <c r="I348" s="395" t="s">
        <v>757</v>
      </c>
      <c r="J348" s="396" t="s">
        <v>1</v>
      </c>
      <c r="K348" s="385" t="s">
        <v>2366</v>
      </c>
      <c r="L348" s="385" t="s">
        <v>2367</v>
      </c>
      <c r="M348" s="386" t="s">
        <v>65</v>
      </c>
      <c r="N348" s="387" t="s">
        <v>2368</v>
      </c>
      <c r="O348" s="387" t="s">
        <v>2369</v>
      </c>
      <c r="P348" s="469" t="s">
        <v>2370</v>
      </c>
      <c r="Q348" s="469" t="s">
        <v>2371</v>
      </c>
      <c r="R348" s="387" t="s">
        <v>1</v>
      </c>
      <c r="S348" s="387"/>
      <c r="T348" s="380">
        <v>3</v>
      </c>
      <c r="U348" s="380">
        <v>15</v>
      </c>
      <c r="V348" s="380" t="s">
        <v>1762</v>
      </c>
      <c r="W348" s="380" t="s">
        <v>953</v>
      </c>
      <c r="X348" s="380" t="s">
        <v>1027</v>
      </c>
      <c r="Y348" s="380" t="s">
        <v>1028</v>
      </c>
      <c r="Z348" s="380" t="s">
        <v>1019</v>
      </c>
      <c r="AA348" s="380" t="s">
        <v>1</v>
      </c>
      <c r="AB348" s="380" t="s">
        <v>1</v>
      </c>
      <c r="AC348" s="380" t="s">
        <v>768</v>
      </c>
      <c r="AD348" s="380" t="s">
        <v>1</v>
      </c>
      <c r="AE348" s="397" t="s">
        <v>1</v>
      </c>
      <c r="AF348" s="44"/>
      <c r="AG348" s="44"/>
      <c r="AH348" s="44"/>
      <c r="AI348" s="44"/>
      <c r="AJ348" s="44"/>
      <c r="AK348" s="44"/>
      <c r="AL348" s="44"/>
      <c r="AM348" s="44"/>
      <c r="AN348" s="44"/>
      <c r="AO348" s="44"/>
      <c r="AP348" s="44"/>
      <c r="AQ348" s="44"/>
      <c r="AR348" s="44"/>
      <c r="AS348" s="44"/>
    </row>
    <row r="349" spans="1:45" ht="45">
      <c r="A349" s="214"/>
      <c r="B349" s="366" t="s">
        <v>558</v>
      </c>
      <c r="C349" s="378" t="s">
        <v>2288</v>
      </c>
      <c r="D349" s="383" t="s">
        <v>778</v>
      </c>
      <c r="E349" s="380">
        <v>3</v>
      </c>
      <c r="F349" s="299" t="s">
        <v>2372</v>
      </c>
      <c r="G349" s="384" t="s">
        <v>828</v>
      </c>
      <c r="H349" s="384" t="s">
        <v>1</v>
      </c>
      <c r="I349" s="395" t="s">
        <v>757</v>
      </c>
      <c r="J349" s="396" t="s">
        <v>1</v>
      </c>
      <c r="K349" s="385" t="s">
        <v>2373</v>
      </c>
      <c r="L349" s="385" t="s">
        <v>2374</v>
      </c>
      <c r="M349" s="386" t="s">
        <v>65</v>
      </c>
      <c r="N349" s="387" t="s">
        <v>2375</v>
      </c>
      <c r="O349" s="387" t="s">
        <v>2376</v>
      </c>
      <c r="P349" s="469" t="s">
        <v>2377</v>
      </c>
      <c r="Q349" s="469" t="s">
        <v>2378</v>
      </c>
      <c r="R349" s="387" t="s">
        <v>2379</v>
      </c>
      <c r="S349" s="387" t="s">
        <v>2379</v>
      </c>
      <c r="T349" s="380">
        <v>1</v>
      </c>
      <c r="U349" s="380">
        <v>7</v>
      </c>
      <c r="V349" s="380" t="s">
        <v>1097</v>
      </c>
      <c r="W349" s="380" t="s">
        <v>953</v>
      </c>
      <c r="X349" s="380" t="s">
        <v>828</v>
      </c>
      <c r="Y349" s="380" t="s">
        <v>1018</v>
      </c>
      <c r="Z349" s="380" t="s">
        <v>1019</v>
      </c>
      <c r="AA349" s="380" t="s">
        <v>1</v>
      </c>
      <c r="AB349" s="380" t="s">
        <v>1</v>
      </c>
      <c r="AC349" s="380" t="s">
        <v>768</v>
      </c>
      <c r="AD349" s="380" t="s">
        <v>1</v>
      </c>
      <c r="AE349" s="397" t="s">
        <v>1</v>
      </c>
      <c r="AF349" s="44"/>
      <c r="AG349" s="44"/>
      <c r="AH349" s="44"/>
      <c r="AI349" s="44"/>
      <c r="AJ349" s="44"/>
      <c r="AK349" s="44"/>
      <c r="AL349" s="44"/>
      <c r="AM349" s="44"/>
      <c r="AN349" s="44"/>
      <c r="AO349" s="44"/>
      <c r="AP349" s="44"/>
      <c r="AQ349" s="44"/>
      <c r="AR349" s="44"/>
      <c r="AS349" s="44"/>
    </row>
    <row r="350" spans="1:45" ht="45">
      <c r="A350" s="214"/>
      <c r="B350" s="388" t="s">
        <v>558</v>
      </c>
      <c r="C350" s="389" t="s">
        <v>2288</v>
      </c>
      <c r="D350" s="390" t="s">
        <v>778</v>
      </c>
      <c r="E350" s="391">
        <v>4</v>
      </c>
      <c r="F350" s="326" t="s">
        <v>2380</v>
      </c>
      <c r="G350" s="392" t="s">
        <v>744</v>
      </c>
      <c r="H350" s="392" t="s">
        <v>1</v>
      </c>
      <c r="I350" s="398" t="s">
        <v>757</v>
      </c>
      <c r="J350" s="399" t="s">
        <v>1</v>
      </c>
      <c r="K350" s="385" t="s">
        <v>2381</v>
      </c>
      <c r="L350" s="385" t="s">
        <v>2382</v>
      </c>
      <c r="M350" s="393" t="s">
        <v>65</v>
      </c>
      <c r="N350" s="387" t="s">
        <v>2383</v>
      </c>
      <c r="O350" s="387" t="s">
        <v>2384</v>
      </c>
      <c r="P350" s="469" t="s">
        <v>2385</v>
      </c>
      <c r="Q350" s="469" t="s">
        <v>2386</v>
      </c>
      <c r="R350" s="394" t="s">
        <v>1</v>
      </c>
      <c r="S350" s="394"/>
      <c r="T350" s="391">
        <v>1</v>
      </c>
      <c r="U350" s="391">
        <v>7</v>
      </c>
      <c r="V350" s="391" t="s">
        <v>1097</v>
      </c>
      <c r="W350" s="391" t="s">
        <v>953</v>
      </c>
      <c r="X350" s="391" t="s">
        <v>1027</v>
      </c>
      <c r="Y350" s="391" t="s">
        <v>1018</v>
      </c>
      <c r="Z350" s="391" t="s">
        <v>1019</v>
      </c>
      <c r="AA350" s="391" t="s">
        <v>1</v>
      </c>
      <c r="AB350" s="391" t="s">
        <v>1</v>
      </c>
      <c r="AC350" s="391" t="s">
        <v>768</v>
      </c>
      <c r="AD350" s="391" t="s">
        <v>1</v>
      </c>
      <c r="AE350" s="400" t="s">
        <v>1</v>
      </c>
      <c r="AF350" s="44"/>
      <c r="AG350" s="44"/>
      <c r="AH350" s="44"/>
      <c r="AI350" s="44"/>
      <c r="AJ350" s="44"/>
      <c r="AK350" s="44"/>
      <c r="AL350" s="44"/>
      <c r="AM350" s="44"/>
      <c r="AN350" s="44"/>
      <c r="AO350" s="44"/>
      <c r="AP350" s="44"/>
      <c r="AQ350" s="44"/>
      <c r="AR350" s="44"/>
      <c r="AS350" s="44"/>
    </row>
    <row r="351" spans="1:45">
      <c r="A351" s="214"/>
      <c r="B351" s="366"/>
      <c r="C351" s="378"/>
      <c r="D351" s="383"/>
      <c r="E351" s="380"/>
      <c r="F351" s="299" t="str">
        <f>""&amp;Table12[[#This Row],[TTM Stage]]&amp;Table12[[#This Row],[Task No.]]&amp;"-"&amp;Table12[[#This Row],[Type of activity]]&amp;"-"&amp;Table12[[#This Row],[TargetGroup]]</f>
        <v>--Descripción</v>
      </c>
      <c r="G351" s="384"/>
      <c r="H351" s="384"/>
      <c r="I351" s="395"/>
      <c r="J351" s="396"/>
      <c r="K351" s="385"/>
      <c r="L351" s="476" t="s">
        <v>2387</v>
      </c>
      <c r="M351" s="476" t="s">
        <v>2388</v>
      </c>
      <c r="N351" s="387"/>
      <c r="O351" s="476" t="s">
        <v>2389</v>
      </c>
      <c r="P351" s="476" t="s">
        <v>2390</v>
      </c>
      <c r="Q351" s="477" t="s">
        <v>2391</v>
      </c>
      <c r="R351" s="387"/>
      <c r="S351" s="394"/>
      <c r="T351" s="380"/>
      <c r="U351" s="380"/>
      <c r="V351" s="380"/>
      <c r="W351" s="380"/>
      <c r="X351" s="380"/>
      <c r="Y351" s="380"/>
      <c r="Z351" s="380"/>
      <c r="AA351" s="380"/>
      <c r="AB351" s="380"/>
      <c r="AC351" s="380"/>
      <c r="AD351" s="380"/>
      <c r="AE351" s="397"/>
      <c r="AF351" s="44"/>
      <c r="AG351" s="44"/>
      <c r="AH351" s="44"/>
      <c r="AI351" s="44"/>
      <c r="AJ351" s="44"/>
      <c r="AK351" s="44"/>
      <c r="AL351" s="44"/>
      <c r="AM351" s="44"/>
      <c r="AN351" s="44"/>
      <c r="AO351" s="44"/>
      <c r="AP351" s="44"/>
      <c r="AQ351" s="44"/>
      <c r="AR351" s="44"/>
      <c r="AS351" s="44"/>
    </row>
    <row r="352" spans="1:45">
      <c r="A352" s="214"/>
      <c r="B352" s="366"/>
      <c r="C352" s="378"/>
      <c r="D352" s="383"/>
      <c r="E352" s="380"/>
      <c r="F352" s="299" t="str">
        <f>""&amp;Table12[[#This Row],[TTM Stage]]&amp;Table12[[#This Row],[Task No.]]&amp;"-"&amp;Table12[[#This Row],[Type of activity]]&amp;"-"&amp;Table12[[#This Row],[TargetGroup]]</f>
        <v>--Muchos panes que se publicitan como "integrales" o "multicereales" en su cara frontal tienen como primer ingrediente harina de trigo refinada. El marketing alimentario utiliza a menudo colorantes como el caramelo o salvado añadido para dar una apariencia de grano completo a productos que nutricionalmente no lo son.</v>
      </c>
      <c r="G352" s="384"/>
      <c r="H352" s="384"/>
      <c r="I352" s="395"/>
      <c r="J352" s="396"/>
      <c r="K352" s="385"/>
      <c r="L352" s="476" t="s">
        <v>2392</v>
      </c>
      <c r="M352" s="445" t="s">
        <v>2389</v>
      </c>
      <c r="N352" s="387"/>
      <c r="O352" s="445" t="s">
        <v>2393</v>
      </c>
      <c r="P352" s="476" t="s">
        <v>2394</v>
      </c>
      <c r="Q352" s="445" t="s">
        <v>2395</v>
      </c>
      <c r="R352" s="387"/>
      <c r="S352" s="394"/>
      <c r="T352" s="380"/>
      <c r="U352" s="380"/>
      <c r="V352" s="380"/>
      <c r="W352" s="380"/>
      <c r="X352" s="380"/>
      <c r="Y352" s="380"/>
      <c r="Z352" s="380"/>
      <c r="AA352" s="380"/>
      <c r="AB352" s="380"/>
      <c r="AC352" s="380"/>
      <c r="AD352" s="380"/>
      <c r="AE352" s="397"/>
      <c r="AF352" s="44"/>
      <c r="AG352" s="44"/>
      <c r="AH352" s="44"/>
      <c r="AI352" s="44"/>
      <c r="AJ352" s="44"/>
      <c r="AK352" s="44"/>
      <c r="AL352" s="44"/>
      <c r="AM352" s="44"/>
      <c r="AN352" s="44"/>
      <c r="AO352" s="44"/>
      <c r="AP352" s="44"/>
      <c r="AQ352" s="44"/>
      <c r="AR352" s="44"/>
      <c r="AS352" s="44"/>
    </row>
    <row r="353" spans="1:45">
      <c r="A353" s="214"/>
      <c r="B353" s="366"/>
      <c r="C353" s="378"/>
      <c r="D353" s="383"/>
      <c r="E353" s="380"/>
      <c r="F353" s="299" t="str">
        <f>""&amp;Table12[[#This Row],[TTM Stage]]&amp;Table12[[#This Row],[Task No.]]&amp;"-"&amp;Table12[[#This Row],[Type of activity]]&amp;"-"&amp;Table12[[#This Row],[TargetGroup]]</f>
        <v>--El cerebro humano no registra la saciedad de las calorías líquidas de la misma forma que las sólidas. Al omitir el proceso de masticación, se inhiben ciertas señales hormonales de plenitud, lo que facilita el consumo excesivo de energía a través de refrescos o zumos sin que el cuerpo perciba que ha comido.</v>
      </c>
      <c r="G353" s="384"/>
      <c r="H353" s="384"/>
      <c r="I353" s="395"/>
      <c r="J353" s="396"/>
      <c r="K353" s="385"/>
      <c r="L353" s="476" t="s">
        <v>2396</v>
      </c>
      <c r="M353" s="445" t="s">
        <v>2393</v>
      </c>
      <c r="N353" s="387"/>
      <c r="O353" s="445" t="s">
        <v>2397</v>
      </c>
      <c r="P353" s="477" t="s">
        <v>2398</v>
      </c>
      <c r="Q353" s="486" t="s">
        <v>2399</v>
      </c>
      <c r="R353" s="387"/>
      <c r="S353" s="394"/>
      <c r="T353" s="380"/>
      <c r="U353" s="380"/>
      <c r="V353" s="380"/>
      <c r="W353" s="380"/>
      <c r="X353" s="380"/>
      <c r="Y353" s="380"/>
      <c r="Z353" s="380"/>
      <c r="AA353" s="380"/>
      <c r="AB353" s="380"/>
      <c r="AC353" s="380"/>
      <c r="AD353" s="380"/>
      <c r="AE353" s="397"/>
      <c r="AF353" s="44"/>
      <c r="AG353" s="44"/>
      <c r="AH353" s="44"/>
      <c r="AI353" s="44"/>
      <c r="AJ353" s="44"/>
      <c r="AK353" s="44"/>
      <c r="AL353" s="44"/>
      <c r="AM353" s="44"/>
      <c r="AN353" s="44"/>
      <c r="AO353" s="44"/>
      <c r="AP353" s="44"/>
      <c r="AQ353" s="44"/>
      <c r="AR353" s="44"/>
      <c r="AS353" s="44"/>
    </row>
    <row r="354" spans="1:45">
      <c r="A354" s="214"/>
      <c r="B354" s="408" t="s">
        <v>102</v>
      </c>
      <c r="C354" s="97" t="s">
        <v>577</v>
      </c>
      <c r="D354" s="420" t="s">
        <v>735</v>
      </c>
      <c r="E354" s="421">
        <v>1</v>
      </c>
      <c r="F354" s="299" t="str">
        <f>""&amp;Table12[[#This Row],[TTM Stage]]&amp;Table12[[#This Row],[Task No.]]&amp;"-"&amp;Table12[[#This Row],[Type of activity]]&amp;"-"&amp;Table12[[#This Row],[TargetGroup]]</f>
        <v>PC1-M1 - A-El orden en que se ingieren los alimentos altera la respuesta metabólica. Consumir primero la fibra (verduras), seguida de la proteína y las grasas, y dejando los carbohidratos para el final, permite reducir significativamente el pico de glucosa en sangre tras la comida, mejorando el control de la insulina.</v>
      </c>
      <c r="G354" s="178"/>
      <c r="H354" s="178"/>
      <c r="I354" s="179"/>
      <c r="J354" s="287"/>
      <c r="K354" s="272"/>
      <c r="L354" s="476"/>
      <c r="M354" s="445" t="s">
        <v>2397</v>
      </c>
      <c r="N354" s="180" t="s">
        <v>582</v>
      </c>
      <c r="O354" s="445"/>
      <c r="P354" t="s">
        <v>2400</v>
      </c>
      <c r="Q354" s="474"/>
      <c r="R354" s="180"/>
      <c r="S354" s="180"/>
      <c r="T354" s="174"/>
      <c r="U354" s="174"/>
      <c r="V354" s="174"/>
      <c r="W354" s="174"/>
      <c r="X354" s="174"/>
      <c r="Y354" s="174"/>
      <c r="Z354" s="174"/>
      <c r="AA354" s="174"/>
      <c r="AB354" s="174"/>
      <c r="AC354" s="174"/>
      <c r="AD354" s="174"/>
      <c r="AE354" s="181"/>
      <c r="AF354" s="44"/>
      <c r="AG354" s="44"/>
      <c r="AH354" s="44"/>
      <c r="AI354" s="44"/>
      <c r="AJ354" s="44"/>
      <c r="AK354" s="44"/>
      <c r="AL354" s="44"/>
      <c r="AM354" s="44"/>
      <c r="AN354" s="44"/>
      <c r="AO354" s="44"/>
      <c r="AP354" s="44"/>
      <c r="AQ354" s="44"/>
      <c r="AR354" s="44"/>
      <c r="AS354" s="44"/>
    </row>
    <row r="355" spans="1:45">
      <c r="A355" s="214"/>
      <c r="B355" s="408" t="s">
        <v>102</v>
      </c>
      <c r="C355" s="97" t="s">
        <v>577</v>
      </c>
      <c r="D355" s="420" t="s">
        <v>735</v>
      </c>
      <c r="E355" s="421">
        <v>2</v>
      </c>
      <c r="F355" s="299" t="str">
        <f>""&amp;Table12[[#This Row],[TTM Stage]]&amp;Table12[[#This Row],[Task No.]]&amp;"-"&amp;Table12[[#This Row],[Type of activity]]&amp;"-"&amp;Table12[[#This Row],[TargetGroup]]</f>
        <v>PC2-M1 - A-Young</v>
      </c>
      <c r="G355" s="178"/>
      <c r="H355" s="178"/>
      <c r="I355" s="179"/>
      <c r="J355" s="287"/>
      <c r="K355" s="272"/>
      <c r="L355" s="431"/>
      <c r="M355" s="427" t="s">
        <v>65</v>
      </c>
      <c r="N355" s="448" t="s">
        <v>583</v>
      </c>
      <c r="O355" s="445"/>
      <c r="P355" s="474"/>
      <c r="Q355" s="474"/>
      <c r="R355" s="180"/>
      <c r="S355" s="180"/>
      <c r="T355" s="174"/>
      <c r="U355" s="174"/>
      <c r="V355" s="174"/>
      <c r="W355" s="174"/>
      <c r="X355" s="174"/>
      <c r="Y355" s="174"/>
      <c r="Z355" s="174"/>
      <c r="AA355" s="174"/>
      <c r="AB355" s="174"/>
      <c r="AC355" s="174"/>
      <c r="AD355" s="174"/>
      <c r="AE355" s="181"/>
      <c r="AF355" s="44"/>
      <c r="AG355" s="44"/>
      <c r="AH355" s="44"/>
      <c r="AI355" s="44"/>
      <c r="AJ355" s="44"/>
      <c r="AK355" s="44"/>
      <c r="AL355" s="44"/>
      <c r="AM355" s="44"/>
      <c r="AN355" s="44"/>
      <c r="AO355" s="44"/>
      <c r="AP355" s="44"/>
      <c r="AQ355" s="44"/>
      <c r="AR355" s="44"/>
      <c r="AS355" s="44"/>
    </row>
    <row r="356" spans="1:45">
      <c r="A356" s="214"/>
      <c r="B356" s="408" t="s">
        <v>102</v>
      </c>
      <c r="C356" s="97" t="s">
        <v>577</v>
      </c>
      <c r="D356" s="421" t="s">
        <v>743</v>
      </c>
      <c r="E356" s="421">
        <v>1</v>
      </c>
      <c r="F356" s="299" t="str">
        <f>""&amp;Table12[[#This Row],[TTM Stage]]&amp;Table12[[#This Row],[Task No.]]&amp;"-"&amp;Table12[[#This Row],[Type of activity]]&amp;"-"&amp;Table12[[#This Row],[TargetGroup]]</f>
        <v>C1-M1 - A-Young</v>
      </c>
      <c r="G356" s="178"/>
      <c r="H356" s="178"/>
      <c r="I356" s="179"/>
      <c r="J356" s="287"/>
      <c r="K356" s="272"/>
      <c r="L356" s="431"/>
      <c r="M356" s="427" t="s">
        <v>65</v>
      </c>
      <c r="N356" s="448" t="s">
        <v>584</v>
      </c>
      <c r="O356" s="445"/>
      <c r="P356" s="474"/>
      <c r="Q356" s="474"/>
      <c r="R356" s="180"/>
      <c r="S356" s="180"/>
      <c r="T356" s="174"/>
      <c r="U356" s="174"/>
      <c r="V356" s="174"/>
      <c r="W356" s="174"/>
      <c r="X356" s="174"/>
      <c r="Y356" s="174"/>
      <c r="Z356" s="174"/>
      <c r="AA356" s="174"/>
      <c r="AB356" s="174"/>
      <c r="AC356" s="174"/>
      <c r="AD356" s="174"/>
      <c r="AE356" s="181"/>
      <c r="AF356" s="44"/>
      <c r="AG356" s="44"/>
      <c r="AH356" s="44"/>
      <c r="AI356" s="44"/>
      <c r="AJ356" s="44"/>
      <c r="AK356" s="44"/>
      <c r="AL356" s="44"/>
      <c r="AM356" s="44"/>
      <c r="AN356" s="44"/>
      <c r="AO356" s="44"/>
      <c r="AP356" s="44"/>
      <c r="AQ356" s="44"/>
      <c r="AR356" s="44"/>
      <c r="AS356" s="44"/>
    </row>
    <row r="357" spans="1:45">
      <c r="A357" s="214"/>
      <c r="B357" s="408" t="s">
        <v>102</v>
      </c>
      <c r="C357" s="97" t="s">
        <v>577</v>
      </c>
      <c r="D357" s="421" t="s">
        <v>743</v>
      </c>
      <c r="E357" s="421">
        <v>2</v>
      </c>
      <c r="F357" s="299" t="str">
        <f>""&amp;Table12[[#This Row],[TTM Stage]]&amp;Table12[[#This Row],[Task No.]]&amp;"-"&amp;Table12[[#This Row],[Type of activity]]&amp;"-"&amp;Table12[[#This Row],[TargetGroup]]</f>
        <v>C2-M1 - A-Young</v>
      </c>
      <c r="G357" s="178"/>
      <c r="H357" s="178"/>
      <c r="I357" s="179"/>
      <c r="J357" s="287"/>
      <c r="K357" s="272"/>
      <c r="L357" s="431"/>
      <c r="M357" s="427" t="s">
        <v>65</v>
      </c>
      <c r="N357" s="448" t="s">
        <v>585</v>
      </c>
      <c r="O357" s="445"/>
      <c r="P357" s="474"/>
      <c r="Q357" s="474"/>
      <c r="R357" s="180"/>
      <c r="S357" s="180"/>
      <c r="T357" s="174"/>
      <c r="U357" s="174"/>
      <c r="V357" s="174"/>
      <c r="W357" s="174"/>
      <c r="X357" s="174"/>
      <c r="Y357" s="174"/>
      <c r="Z357" s="174"/>
      <c r="AA357" s="174"/>
      <c r="AB357" s="174"/>
      <c r="AC357" s="174"/>
      <c r="AD357" s="174"/>
      <c r="AE357" s="181"/>
      <c r="AF357" s="44"/>
      <c r="AG357" s="44"/>
      <c r="AH357" s="44"/>
      <c r="AI357" s="44"/>
      <c r="AJ357" s="44"/>
      <c r="AK357" s="44"/>
      <c r="AL357" s="44"/>
      <c r="AM357" s="44"/>
      <c r="AN357" s="44"/>
      <c r="AO357" s="44"/>
      <c r="AP357" s="44"/>
      <c r="AQ357" s="44"/>
      <c r="AR357" s="44"/>
      <c r="AS357" s="44"/>
    </row>
    <row r="358" spans="1:45">
      <c r="A358" s="214"/>
      <c r="B358" s="408" t="s">
        <v>102</v>
      </c>
      <c r="C358" s="97" t="s">
        <v>577</v>
      </c>
      <c r="D358" s="422" t="s">
        <v>750</v>
      </c>
      <c r="E358" s="421">
        <v>1</v>
      </c>
      <c r="F358" s="299" t="str">
        <f>""&amp;Table12[[#This Row],[TTM Stage]]&amp;Table12[[#This Row],[Task No.]]&amp;"-"&amp;Table12[[#This Row],[Type of activity]]&amp;"-"&amp;Table12[[#This Row],[TargetGroup]]</f>
        <v>P1-M1 - A-Young</v>
      </c>
      <c r="G358" s="178"/>
      <c r="H358" s="178"/>
      <c r="I358" s="179"/>
      <c r="J358" s="287"/>
      <c r="K358" s="272"/>
      <c r="L358" s="431"/>
      <c r="M358" s="427" t="s">
        <v>65</v>
      </c>
      <c r="N358" s="448" t="s">
        <v>586</v>
      </c>
      <c r="O358" s="445"/>
      <c r="P358" s="474"/>
      <c r="Q358" s="474"/>
      <c r="R358" s="180"/>
      <c r="S358" s="180"/>
      <c r="T358" s="174"/>
      <c r="U358" s="174"/>
      <c r="V358" s="174"/>
      <c r="W358" s="174"/>
      <c r="X358" s="174"/>
      <c r="Y358" s="174"/>
      <c r="Z358" s="174"/>
      <c r="AA358" s="174"/>
      <c r="AB358" s="174"/>
      <c r="AC358" s="174"/>
      <c r="AD358" s="174"/>
      <c r="AE358" s="181"/>
      <c r="AF358" s="44"/>
      <c r="AG358" s="44"/>
      <c r="AH358" s="44"/>
      <c r="AI358" s="44"/>
      <c r="AJ358" s="44"/>
      <c r="AK358" s="44"/>
      <c r="AL358" s="44"/>
      <c r="AM358" s="44"/>
      <c r="AN358" s="44"/>
      <c r="AO358" s="44"/>
      <c r="AP358" s="44"/>
      <c r="AQ358" s="44"/>
      <c r="AR358" s="44"/>
      <c r="AS358" s="44"/>
    </row>
    <row r="359" spans="1:45">
      <c r="A359" s="214"/>
      <c r="B359" s="408" t="s">
        <v>102</v>
      </c>
      <c r="C359" s="97" t="s">
        <v>577</v>
      </c>
      <c r="D359" s="422" t="s">
        <v>750</v>
      </c>
      <c r="E359" s="421">
        <v>2</v>
      </c>
      <c r="F359" s="299" t="str">
        <f>""&amp;Table12[[#This Row],[TTM Stage]]&amp;Table12[[#This Row],[Task No.]]&amp;"-"&amp;Table12[[#This Row],[Type of activity]]&amp;"-"&amp;Table12[[#This Row],[TargetGroup]]</f>
        <v>P2-M1 - A-Young</v>
      </c>
      <c r="G359" s="178"/>
      <c r="H359" s="178"/>
      <c r="I359" s="179"/>
      <c r="J359" s="287"/>
      <c r="K359" s="272"/>
      <c r="L359" s="431"/>
      <c r="M359" s="427" t="s">
        <v>65</v>
      </c>
      <c r="N359" s="448" t="s">
        <v>587</v>
      </c>
      <c r="O359" s="191"/>
      <c r="P359" s="191"/>
      <c r="Q359" s="191"/>
      <c r="R359" s="180"/>
      <c r="S359" s="180"/>
      <c r="T359" s="174"/>
      <c r="U359" s="174"/>
      <c r="V359" s="174"/>
      <c r="W359" s="174"/>
      <c r="X359" s="174"/>
      <c r="Y359" s="174"/>
      <c r="Z359" s="174"/>
      <c r="AA359" s="174"/>
      <c r="AB359" s="174"/>
      <c r="AC359" s="174"/>
      <c r="AD359" s="174"/>
      <c r="AE359" s="181"/>
      <c r="AF359" s="44"/>
      <c r="AG359" s="44"/>
      <c r="AH359" s="44"/>
      <c r="AI359" s="44"/>
      <c r="AJ359" s="44"/>
      <c r="AK359" s="44"/>
      <c r="AL359" s="44"/>
      <c r="AM359" s="44"/>
      <c r="AN359" s="44"/>
      <c r="AO359" s="44"/>
      <c r="AP359" s="44"/>
      <c r="AQ359" s="44"/>
      <c r="AR359" s="44"/>
      <c r="AS359" s="44"/>
    </row>
    <row r="360" spans="1:45">
      <c r="A360" s="214"/>
      <c r="B360" s="408" t="s">
        <v>102</v>
      </c>
      <c r="C360" s="97" t="s">
        <v>577</v>
      </c>
      <c r="D360" s="423" t="s">
        <v>764</v>
      </c>
      <c r="E360" s="421">
        <v>1</v>
      </c>
      <c r="F360" s="299" t="str">
        <f>""&amp;Table12[[#This Row],[TTM Stage]]&amp;Table12[[#This Row],[Task No.]]&amp;"-"&amp;Table12[[#This Row],[Type of activity]]&amp;"-"&amp;Table12[[#This Row],[TargetGroup]]</f>
        <v>A1-M1 - A-Young</v>
      </c>
      <c r="G360" s="178"/>
      <c r="H360" s="178"/>
      <c r="I360" s="179"/>
      <c r="J360" s="287"/>
      <c r="K360" s="272"/>
      <c r="L360" s="431"/>
      <c r="M360" s="427" t="s">
        <v>65</v>
      </c>
      <c r="N360" s="448" t="s">
        <v>588</v>
      </c>
      <c r="O360" s="414"/>
      <c r="P360" s="414"/>
      <c r="Q360" s="414"/>
      <c r="R360" s="180"/>
      <c r="S360" s="180"/>
      <c r="T360" s="174"/>
      <c r="U360" s="174"/>
      <c r="V360" s="174"/>
      <c r="W360" s="174"/>
      <c r="X360" s="174"/>
      <c r="Y360" s="174"/>
      <c r="Z360" s="174"/>
      <c r="AA360" s="174"/>
      <c r="AB360" s="174"/>
      <c r="AC360" s="174"/>
      <c r="AD360" s="174"/>
      <c r="AE360" s="181"/>
      <c r="AF360" s="44"/>
      <c r="AG360" s="44"/>
      <c r="AH360" s="44"/>
      <c r="AI360" s="44"/>
      <c r="AJ360" s="44"/>
      <c r="AK360" s="44"/>
      <c r="AL360" s="44"/>
      <c r="AM360" s="44"/>
      <c r="AN360" s="44"/>
      <c r="AO360" s="44"/>
      <c r="AP360" s="44"/>
      <c r="AQ360" s="44"/>
      <c r="AR360" s="44"/>
      <c r="AS360" s="44"/>
    </row>
    <row r="361" spans="1:45">
      <c r="A361" s="214"/>
      <c r="B361" s="408" t="s">
        <v>102</v>
      </c>
      <c r="C361" s="97" t="s">
        <v>577</v>
      </c>
      <c r="D361" s="423" t="s">
        <v>764</v>
      </c>
      <c r="E361" s="421">
        <v>2</v>
      </c>
      <c r="F361" s="299" t="str">
        <f>""&amp;Table12[[#This Row],[TTM Stage]]&amp;Table12[[#This Row],[Task No.]]&amp;"-"&amp;Table12[[#This Row],[Type of activity]]&amp;"-"&amp;Table12[[#This Row],[TargetGroup]]</f>
        <v>A2-M1 - A-Young</v>
      </c>
      <c r="G361" s="178"/>
      <c r="H361" s="178"/>
      <c r="I361" s="179"/>
      <c r="J361" s="287"/>
      <c r="K361" s="272"/>
      <c r="L361" s="431"/>
      <c r="M361" s="427" t="s">
        <v>65</v>
      </c>
      <c r="N361" s="448" t="s">
        <v>2401</v>
      </c>
      <c r="O361" s="414"/>
      <c r="P361" s="414"/>
      <c r="Q361" s="414"/>
      <c r="R361" s="180"/>
      <c r="S361" s="180"/>
      <c r="T361" s="174"/>
      <c r="U361" s="174"/>
      <c r="V361" s="174"/>
      <c r="W361" s="174"/>
      <c r="X361" s="174"/>
      <c r="Y361" s="174"/>
      <c r="Z361" s="174"/>
      <c r="AA361" s="174"/>
      <c r="AB361" s="174"/>
      <c r="AC361" s="174"/>
      <c r="AD361" s="174"/>
      <c r="AE361" s="181"/>
      <c r="AF361" s="44"/>
      <c r="AG361" s="44"/>
      <c r="AH361" s="44"/>
      <c r="AI361" s="44"/>
      <c r="AJ361" s="44"/>
      <c r="AK361" s="44"/>
      <c r="AL361" s="44"/>
      <c r="AM361" s="44"/>
      <c r="AN361" s="44"/>
      <c r="AO361" s="44"/>
      <c r="AP361" s="44"/>
      <c r="AQ361" s="44"/>
      <c r="AR361" s="44"/>
      <c r="AS361" s="44"/>
    </row>
    <row r="362" spans="1:45">
      <c r="A362" s="214"/>
      <c r="B362" s="408" t="s">
        <v>102</v>
      </c>
      <c r="C362" s="97" t="s">
        <v>577</v>
      </c>
      <c r="D362" s="423" t="s">
        <v>764</v>
      </c>
      <c r="E362" s="421">
        <v>3</v>
      </c>
      <c r="F362" s="299" t="str">
        <f>""&amp;Table12[[#This Row],[TTM Stage]]&amp;Table12[[#This Row],[Task No.]]&amp;"-"&amp;Table12[[#This Row],[Type of activity]]&amp;"-"&amp;Table12[[#This Row],[TargetGroup]]</f>
        <v>A3-M1 - A-Young</v>
      </c>
      <c r="G362" s="178"/>
      <c r="H362" s="178"/>
      <c r="I362" s="179"/>
      <c r="J362" s="287"/>
      <c r="K362" s="272"/>
      <c r="L362" s="431"/>
      <c r="M362" s="427" t="s">
        <v>65</v>
      </c>
      <c r="N362" s="449" t="s">
        <v>587</v>
      </c>
      <c r="O362" s="180"/>
      <c r="P362" s="180"/>
      <c r="Q362" s="180"/>
      <c r="R362" s="180"/>
      <c r="S362" s="180"/>
      <c r="T362" s="174"/>
      <c r="U362" s="174"/>
      <c r="V362" s="174"/>
      <c r="W362" s="174"/>
      <c r="X362" s="174"/>
      <c r="Y362" s="174"/>
      <c r="Z362" s="174"/>
      <c r="AA362" s="174"/>
      <c r="AB362" s="174"/>
      <c r="AC362" s="174"/>
      <c r="AD362" s="174"/>
      <c r="AE362" s="181"/>
      <c r="AF362" s="44"/>
      <c r="AG362" s="44"/>
      <c r="AH362" s="44"/>
      <c r="AI362" s="44"/>
      <c r="AJ362" s="44"/>
      <c r="AK362" s="44"/>
      <c r="AL362" s="44"/>
      <c r="AM362" s="44"/>
      <c r="AN362" s="44"/>
      <c r="AO362" s="44"/>
      <c r="AP362" s="44"/>
      <c r="AQ362" s="44"/>
      <c r="AR362" s="44"/>
      <c r="AS362" s="44"/>
    </row>
    <row r="363" spans="1:45">
      <c r="A363" s="214"/>
      <c r="B363" s="408" t="s">
        <v>102</v>
      </c>
      <c r="C363" s="97" t="s">
        <v>577</v>
      </c>
      <c r="D363" s="423" t="s">
        <v>764</v>
      </c>
      <c r="E363" s="421">
        <v>4</v>
      </c>
      <c r="F363" s="299" t="str">
        <f>""&amp;Table12[[#This Row],[TTM Stage]]&amp;Table12[[#This Row],[Task No.]]&amp;"-"&amp;Table12[[#This Row],[Type of activity]]&amp;"-"&amp;Table12[[#This Row],[TargetGroup]]</f>
        <v>A4-M1 - A-Young</v>
      </c>
      <c r="G363" s="178"/>
      <c r="H363" s="178"/>
      <c r="I363" s="179"/>
      <c r="J363" s="287"/>
      <c r="K363" s="272"/>
      <c r="L363" s="431"/>
      <c r="M363" s="427" t="s">
        <v>65</v>
      </c>
      <c r="N363" s="448" t="s">
        <v>587</v>
      </c>
      <c r="O363" s="414"/>
      <c r="P363" s="414"/>
      <c r="Q363" s="414"/>
      <c r="R363" s="180"/>
      <c r="S363" s="180"/>
      <c r="T363" s="174"/>
      <c r="U363" s="174"/>
      <c r="V363" s="174"/>
      <c r="W363" s="174"/>
      <c r="X363" s="174"/>
      <c r="Y363" s="174"/>
      <c r="Z363" s="174"/>
      <c r="AA363" s="174"/>
      <c r="AB363" s="174"/>
      <c r="AC363" s="174"/>
      <c r="AD363" s="174"/>
      <c r="AE363" s="181"/>
      <c r="AF363" s="44"/>
      <c r="AG363" s="44"/>
      <c r="AH363" s="44"/>
      <c r="AI363" s="44"/>
      <c r="AJ363" s="44"/>
      <c r="AK363" s="44"/>
      <c r="AL363" s="44"/>
      <c r="AM363" s="44"/>
      <c r="AN363" s="44"/>
      <c r="AO363" s="44"/>
      <c r="AP363" s="44"/>
      <c r="AQ363" s="44"/>
      <c r="AR363" s="44"/>
      <c r="AS363" s="44"/>
    </row>
    <row r="364" spans="1:45">
      <c r="A364" s="214"/>
      <c r="B364" s="408" t="s">
        <v>102</v>
      </c>
      <c r="C364" s="97" t="s">
        <v>577</v>
      </c>
      <c r="D364" s="424" t="s">
        <v>778</v>
      </c>
      <c r="E364" s="421">
        <v>1</v>
      </c>
      <c r="F364" s="299" t="str">
        <f>""&amp;Table12[[#This Row],[TTM Stage]]&amp;Table12[[#This Row],[Task No.]]&amp;"-"&amp;Table12[[#This Row],[Type of activity]]&amp;"-"&amp;Table12[[#This Row],[TargetGroup]]</f>
        <v>M1-M1 - A-Young</v>
      </c>
      <c r="G364" s="178"/>
      <c r="H364" s="178"/>
      <c r="I364" s="179"/>
      <c r="J364" s="287"/>
      <c r="K364" s="272"/>
      <c r="L364" s="431"/>
      <c r="M364" s="427" t="s">
        <v>65</v>
      </c>
      <c r="N364" s="448" t="s">
        <v>590</v>
      </c>
      <c r="O364" s="414"/>
      <c r="P364" s="414"/>
      <c r="Q364" s="414"/>
      <c r="R364" s="180"/>
      <c r="S364" s="180"/>
      <c r="T364" s="174"/>
      <c r="U364" s="174"/>
      <c r="V364" s="174"/>
      <c r="W364" s="174"/>
      <c r="X364" s="174"/>
      <c r="Y364" s="174"/>
      <c r="Z364" s="174"/>
      <c r="AA364" s="174"/>
      <c r="AB364" s="174"/>
      <c r="AC364" s="174"/>
      <c r="AD364" s="174"/>
      <c r="AE364" s="181"/>
      <c r="AF364" s="44"/>
      <c r="AG364" s="44"/>
      <c r="AH364" s="44"/>
      <c r="AI364" s="44"/>
      <c r="AJ364" s="44"/>
      <c r="AK364" s="44"/>
      <c r="AL364" s="44"/>
      <c r="AM364" s="44"/>
      <c r="AN364" s="44"/>
      <c r="AO364" s="44"/>
      <c r="AP364" s="44"/>
      <c r="AQ364" s="44"/>
      <c r="AR364" s="44"/>
      <c r="AS364" s="44"/>
    </row>
    <row r="365" spans="1:45">
      <c r="A365" s="214"/>
      <c r="B365" s="408" t="s">
        <v>102</v>
      </c>
      <c r="C365" s="97" t="s">
        <v>577</v>
      </c>
      <c r="D365" s="424" t="s">
        <v>778</v>
      </c>
      <c r="E365" s="421">
        <v>2</v>
      </c>
      <c r="F365" s="299" t="str">
        <f>""&amp;Table12[[#This Row],[TTM Stage]]&amp;Table12[[#This Row],[Task No.]]&amp;"-"&amp;Table12[[#This Row],[Type of activity]]&amp;"-"&amp;Table12[[#This Row],[TargetGroup]]</f>
        <v>M2-M1 - A-Young</v>
      </c>
      <c r="G365" s="178"/>
      <c r="H365" s="178"/>
      <c r="I365" s="179"/>
      <c r="J365" s="287"/>
      <c r="K365" s="272"/>
      <c r="L365" s="431"/>
      <c r="M365" s="427" t="s">
        <v>65</v>
      </c>
      <c r="N365" s="448" t="s">
        <v>587</v>
      </c>
      <c r="O365" s="414"/>
      <c r="P365" s="414"/>
      <c r="Q365" s="414"/>
      <c r="R365" s="180"/>
      <c r="S365" s="180"/>
      <c r="T365" s="174"/>
      <c r="U365" s="174"/>
      <c r="V365" s="174"/>
      <c r="W365" s="174"/>
      <c r="X365" s="174"/>
      <c r="Y365" s="174"/>
      <c r="Z365" s="174"/>
      <c r="AA365" s="174"/>
      <c r="AB365" s="174"/>
      <c r="AC365" s="174"/>
      <c r="AD365" s="174"/>
      <c r="AE365" s="181"/>
      <c r="AF365" s="44"/>
      <c r="AG365" s="44"/>
      <c r="AH365" s="44"/>
      <c r="AI365" s="44"/>
      <c r="AJ365" s="44"/>
      <c r="AK365" s="44"/>
      <c r="AL365" s="44"/>
      <c r="AM365" s="44"/>
      <c r="AN365" s="44"/>
      <c r="AO365" s="44"/>
      <c r="AP365" s="44"/>
      <c r="AQ365" s="44"/>
      <c r="AR365" s="44"/>
      <c r="AS365" s="44"/>
    </row>
    <row r="366" spans="1:45">
      <c r="A366" s="214"/>
      <c r="B366" s="408" t="s">
        <v>102</v>
      </c>
      <c r="C366" s="97" t="s">
        <v>577</v>
      </c>
      <c r="D366" s="424" t="s">
        <v>778</v>
      </c>
      <c r="E366" s="421">
        <v>3</v>
      </c>
      <c r="F366" s="299" t="str">
        <f>""&amp;Table12[[#This Row],[TTM Stage]]&amp;Table12[[#This Row],[Task No.]]&amp;"-"&amp;Table12[[#This Row],[Type of activity]]&amp;"-"&amp;Table12[[#This Row],[TargetGroup]]</f>
        <v>M3-M1 - A-Young</v>
      </c>
      <c r="G366" s="178"/>
      <c r="H366" s="178"/>
      <c r="I366" s="179"/>
      <c r="J366" s="287"/>
      <c r="K366" s="272"/>
      <c r="L366" s="431"/>
      <c r="M366" s="427" t="s">
        <v>65</v>
      </c>
      <c r="N366" s="449" t="s">
        <v>587</v>
      </c>
      <c r="O366" s="180"/>
      <c r="P366" s="180"/>
      <c r="Q366" s="180"/>
      <c r="R366" s="180"/>
      <c r="S366" s="180"/>
      <c r="T366" s="174"/>
      <c r="U366" s="174"/>
      <c r="V366" s="174"/>
      <c r="W366" s="174"/>
      <c r="X366" s="174"/>
      <c r="Y366" s="174"/>
      <c r="Z366" s="174"/>
      <c r="AA366" s="174"/>
      <c r="AB366" s="174"/>
      <c r="AC366" s="174"/>
      <c r="AD366" s="174"/>
      <c r="AE366" s="181"/>
      <c r="AF366" s="44"/>
      <c r="AG366" s="44"/>
      <c r="AH366" s="44"/>
      <c r="AI366" s="44"/>
      <c r="AJ366" s="44"/>
      <c r="AK366" s="44"/>
      <c r="AL366" s="44"/>
      <c r="AM366" s="44"/>
      <c r="AN366" s="44"/>
      <c r="AO366" s="44"/>
      <c r="AP366" s="44"/>
      <c r="AQ366" s="44"/>
      <c r="AR366" s="44"/>
      <c r="AS366" s="44"/>
    </row>
    <row r="367" spans="1:45">
      <c r="A367" s="214"/>
      <c r="B367" s="408" t="s">
        <v>102</v>
      </c>
      <c r="C367" s="97" t="s">
        <v>577</v>
      </c>
      <c r="D367" s="425" t="s">
        <v>778</v>
      </c>
      <c r="E367" s="426">
        <v>4</v>
      </c>
      <c r="F367" s="326" t="str">
        <f>""&amp;Table12[[#This Row],[TTM Stage]]&amp;Table12[[#This Row],[Task No.]]&amp;"-"&amp;Table12[[#This Row],[Type of activity]]&amp;"-"&amp;Table12[[#This Row],[TargetGroup]]</f>
        <v>M4-M1 - A-Young</v>
      </c>
      <c r="G367" s="189"/>
      <c r="H367" s="189"/>
      <c r="I367" s="190"/>
      <c r="J367" s="415"/>
      <c r="K367" s="291"/>
      <c r="L367" s="431"/>
      <c r="M367" s="427" t="s">
        <v>65</v>
      </c>
      <c r="N367" s="450" t="s">
        <v>591</v>
      </c>
      <c r="O367" s="416"/>
      <c r="P367" s="416"/>
      <c r="Q367" s="416"/>
      <c r="R367" s="191"/>
      <c r="S367" s="191"/>
      <c r="T367" s="188"/>
      <c r="U367" s="188"/>
      <c r="V367" s="188"/>
      <c r="W367" s="188"/>
      <c r="X367" s="188"/>
      <c r="Y367" s="188"/>
      <c r="Z367" s="188"/>
      <c r="AA367" s="188"/>
      <c r="AB367" s="188"/>
      <c r="AC367" s="188"/>
      <c r="AD367" s="188"/>
      <c r="AE367" s="192"/>
      <c r="AF367" s="44"/>
      <c r="AG367" s="44"/>
      <c r="AH367" s="44"/>
      <c r="AI367" s="44"/>
      <c r="AJ367" s="44"/>
      <c r="AK367" s="44"/>
      <c r="AL367" s="44"/>
      <c r="AM367" s="44"/>
      <c r="AN367" s="44"/>
      <c r="AO367" s="44"/>
      <c r="AP367" s="44"/>
      <c r="AQ367" s="44"/>
      <c r="AR367" s="44"/>
      <c r="AS367" s="44"/>
    </row>
    <row r="368" spans="1:45">
      <c r="A368" s="214"/>
      <c r="B368" s="408" t="s">
        <v>102</v>
      </c>
      <c r="C368" s="97" t="s">
        <v>592</v>
      </c>
      <c r="D368" s="420" t="s">
        <v>735</v>
      </c>
      <c r="E368" s="421">
        <v>1</v>
      </c>
      <c r="F368" s="299" t="str">
        <f>""&amp;Table12[[#This Row],[TTM Stage]]&amp;Table12[[#This Row],[Task No.]]&amp;"-"&amp;Table12[[#This Row],[Type of activity]]&amp;"-"&amp;Table12[[#This Row],[TargetGroup]]</f>
        <v>PC1-M1 - B-Young</v>
      </c>
      <c r="G368" s="178"/>
      <c r="H368" s="178"/>
      <c r="I368" s="179"/>
      <c r="J368" s="287"/>
      <c r="K368" s="272"/>
      <c r="L368" s="431"/>
      <c r="M368" s="427" t="s">
        <v>65</v>
      </c>
      <c r="N368" s="449" t="s">
        <v>587</v>
      </c>
      <c r="O368" s="180"/>
      <c r="P368" s="180"/>
      <c r="Q368" s="180"/>
      <c r="R368" s="180"/>
      <c r="S368" s="180"/>
      <c r="T368" s="174"/>
      <c r="U368" s="174"/>
      <c r="V368" s="174"/>
      <c r="W368" s="174"/>
      <c r="X368" s="174"/>
      <c r="Y368" s="174"/>
      <c r="Z368" s="174"/>
      <c r="AA368" s="174"/>
      <c r="AB368" s="174"/>
      <c r="AC368" s="174"/>
      <c r="AD368" s="174"/>
      <c r="AE368" s="181"/>
      <c r="AF368" s="44"/>
      <c r="AG368" s="44"/>
      <c r="AH368" s="44"/>
      <c r="AI368" s="44"/>
      <c r="AJ368" s="44"/>
      <c r="AK368" s="44"/>
      <c r="AL368" s="44"/>
      <c r="AM368" s="44"/>
      <c r="AN368" s="44"/>
      <c r="AO368" s="44"/>
      <c r="AP368" s="44"/>
      <c r="AQ368" s="44"/>
      <c r="AR368" s="44"/>
      <c r="AS368" s="44"/>
    </row>
    <row r="369" spans="1:45">
      <c r="A369" s="214"/>
      <c r="B369" s="408" t="s">
        <v>102</v>
      </c>
      <c r="C369" s="97" t="s">
        <v>592</v>
      </c>
      <c r="D369" s="420" t="s">
        <v>735</v>
      </c>
      <c r="E369" s="421">
        <v>2</v>
      </c>
      <c r="F369" s="299" t="str">
        <f>""&amp;Table12[[#This Row],[TTM Stage]]&amp;Table12[[#This Row],[Task No.]]&amp;"-"&amp;Table12[[#This Row],[Type of activity]]&amp;"-"&amp;Table12[[#This Row],[TargetGroup]]</f>
        <v>PC2-M1 - B-Young</v>
      </c>
      <c r="G369" s="178"/>
      <c r="H369" s="178"/>
      <c r="I369" s="179"/>
      <c r="J369" s="287"/>
      <c r="K369" s="272"/>
      <c r="L369" s="431"/>
      <c r="M369" s="427" t="s">
        <v>65</v>
      </c>
      <c r="N369" s="448" t="s">
        <v>596</v>
      </c>
      <c r="O369" s="414"/>
      <c r="P369" s="414"/>
      <c r="Q369" s="414"/>
      <c r="R369" s="180"/>
      <c r="S369" s="180"/>
      <c r="T369" s="174"/>
      <c r="U369" s="174"/>
      <c r="V369" s="174"/>
      <c r="W369" s="174"/>
      <c r="X369" s="174"/>
      <c r="Y369" s="174"/>
      <c r="Z369" s="174"/>
      <c r="AA369" s="174"/>
      <c r="AB369" s="174"/>
      <c r="AC369" s="174"/>
      <c r="AD369" s="174"/>
      <c r="AE369" s="181"/>
      <c r="AF369" s="44"/>
      <c r="AG369" s="44"/>
      <c r="AH369" s="44"/>
      <c r="AI369" s="44"/>
      <c r="AJ369" s="44"/>
      <c r="AK369" s="44"/>
      <c r="AL369" s="44"/>
      <c r="AM369" s="44"/>
      <c r="AN369" s="44"/>
      <c r="AO369" s="44"/>
      <c r="AP369" s="44"/>
      <c r="AQ369" s="44"/>
      <c r="AR369" s="44"/>
      <c r="AS369" s="44"/>
    </row>
    <row r="370" spans="1:45">
      <c r="A370" s="214"/>
      <c r="B370" s="408" t="s">
        <v>102</v>
      </c>
      <c r="C370" s="97" t="s">
        <v>592</v>
      </c>
      <c r="D370" s="421" t="s">
        <v>743</v>
      </c>
      <c r="E370" s="421">
        <v>1</v>
      </c>
      <c r="F370" s="299" t="str">
        <f>""&amp;Table12[[#This Row],[TTM Stage]]&amp;Table12[[#This Row],[Task No.]]&amp;"-"&amp;Table12[[#This Row],[Type of activity]]&amp;"-"&amp;Table12[[#This Row],[TargetGroup]]</f>
        <v>C1-M1 - B-Young</v>
      </c>
      <c r="G370" s="178"/>
      <c r="H370" s="178"/>
      <c r="I370" s="179"/>
      <c r="J370" s="287"/>
      <c r="K370" s="272"/>
      <c r="L370" s="431"/>
      <c r="M370" s="427" t="s">
        <v>65</v>
      </c>
      <c r="N370" s="455" t="s">
        <v>2402</v>
      </c>
      <c r="O370" s="414"/>
      <c r="P370" s="414"/>
      <c r="Q370" s="414"/>
      <c r="R370" s="180"/>
      <c r="S370" s="180"/>
      <c r="T370" s="174"/>
      <c r="U370" s="174"/>
      <c r="V370" s="174"/>
      <c r="W370" s="174"/>
      <c r="X370" s="174"/>
      <c r="Y370" s="174"/>
      <c r="Z370" s="174"/>
      <c r="AA370" s="174"/>
      <c r="AB370" s="174"/>
      <c r="AC370" s="174"/>
      <c r="AD370" s="174"/>
      <c r="AE370" s="181"/>
      <c r="AF370" s="44"/>
      <c r="AG370" s="44"/>
      <c r="AH370" s="44"/>
      <c r="AI370" s="44"/>
      <c r="AJ370" s="44"/>
      <c r="AK370" s="44"/>
      <c r="AL370" s="44"/>
      <c r="AM370" s="44"/>
      <c r="AN370" s="44"/>
      <c r="AO370" s="44"/>
      <c r="AP370" s="44"/>
      <c r="AQ370" s="44"/>
      <c r="AR370" s="44"/>
      <c r="AS370" s="44"/>
    </row>
    <row r="371" spans="1:45">
      <c r="A371" s="214"/>
      <c r="B371" s="408" t="s">
        <v>102</v>
      </c>
      <c r="C371" s="97" t="s">
        <v>592</v>
      </c>
      <c r="D371" s="421" t="s">
        <v>743</v>
      </c>
      <c r="E371" s="421">
        <v>2</v>
      </c>
      <c r="F371" s="299" t="str">
        <f>""&amp;Table12[[#This Row],[TTM Stage]]&amp;Table12[[#This Row],[Task No.]]&amp;"-"&amp;Table12[[#This Row],[Type of activity]]&amp;"-"&amp;Table12[[#This Row],[TargetGroup]]</f>
        <v>C2-M1 - B-Young</v>
      </c>
      <c r="G371" s="178"/>
      <c r="H371" s="178"/>
      <c r="I371" s="179"/>
      <c r="J371" s="287"/>
      <c r="K371" s="272"/>
      <c r="L371" s="431"/>
      <c r="M371" s="427" t="s">
        <v>65</v>
      </c>
      <c r="N371" s="448" t="s">
        <v>598</v>
      </c>
      <c r="O371" s="414"/>
      <c r="P371" s="414"/>
      <c r="Q371" s="414"/>
      <c r="R371" s="180"/>
      <c r="S371" s="180"/>
      <c r="T371" s="174"/>
      <c r="U371" s="174"/>
      <c r="V371" s="174"/>
      <c r="W371" s="174"/>
      <c r="X371" s="174"/>
      <c r="Y371" s="174"/>
      <c r="Z371" s="174"/>
      <c r="AA371" s="174"/>
      <c r="AB371" s="174"/>
      <c r="AC371" s="174"/>
      <c r="AD371" s="174"/>
      <c r="AE371" s="181"/>
      <c r="AF371" s="44"/>
      <c r="AG371" s="44"/>
      <c r="AH371" s="44"/>
      <c r="AI371" s="44"/>
      <c r="AJ371" s="44"/>
      <c r="AK371" s="44"/>
      <c r="AL371" s="44"/>
      <c r="AM371" s="44"/>
      <c r="AN371" s="44"/>
      <c r="AO371" s="44"/>
      <c r="AP371" s="44"/>
      <c r="AQ371" s="44"/>
      <c r="AR371" s="44"/>
      <c r="AS371" s="44"/>
    </row>
    <row r="372" spans="1:45">
      <c r="A372" s="214"/>
      <c r="B372" s="408" t="s">
        <v>102</v>
      </c>
      <c r="C372" s="97" t="s">
        <v>592</v>
      </c>
      <c r="D372" s="422" t="s">
        <v>750</v>
      </c>
      <c r="E372" s="421">
        <v>1</v>
      </c>
      <c r="F372" s="299" t="str">
        <f>""&amp;Table12[[#This Row],[TTM Stage]]&amp;Table12[[#This Row],[Task No.]]&amp;"-"&amp;Table12[[#This Row],[Type of activity]]&amp;"-"&amp;Table12[[#This Row],[TargetGroup]]</f>
        <v>P1-M1 - B-Young</v>
      </c>
      <c r="G372" s="178"/>
      <c r="H372" s="178"/>
      <c r="I372" s="179"/>
      <c r="J372" s="287"/>
      <c r="K372" s="272"/>
      <c r="L372" s="431"/>
      <c r="M372" s="427" t="s">
        <v>65</v>
      </c>
      <c r="N372" s="448" t="s">
        <v>599</v>
      </c>
      <c r="O372" s="414"/>
      <c r="P372" s="414"/>
      <c r="Q372" s="414"/>
      <c r="R372" s="180"/>
      <c r="S372" s="180"/>
      <c r="T372" s="174"/>
      <c r="U372" s="174"/>
      <c r="V372" s="174"/>
      <c r="W372" s="174"/>
      <c r="X372" s="174"/>
      <c r="Y372" s="174"/>
      <c r="Z372" s="174"/>
      <c r="AA372" s="174"/>
      <c r="AB372" s="174"/>
      <c r="AC372" s="174"/>
      <c r="AD372" s="174"/>
      <c r="AE372" s="181"/>
      <c r="AF372" s="44"/>
      <c r="AG372" s="44"/>
      <c r="AH372" s="44"/>
      <c r="AI372" s="44"/>
      <c r="AJ372" s="44"/>
      <c r="AK372" s="44"/>
      <c r="AL372" s="44"/>
      <c r="AM372" s="44"/>
      <c r="AN372" s="44"/>
      <c r="AO372" s="44"/>
      <c r="AP372" s="44"/>
      <c r="AQ372" s="44"/>
      <c r="AR372" s="44"/>
      <c r="AS372" s="44"/>
    </row>
    <row r="373" spans="1:45">
      <c r="A373" s="214"/>
      <c r="B373" s="408" t="s">
        <v>102</v>
      </c>
      <c r="C373" s="97" t="s">
        <v>592</v>
      </c>
      <c r="D373" s="422" t="s">
        <v>750</v>
      </c>
      <c r="E373" s="421">
        <v>2</v>
      </c>
      <c r="F373" s="299" t="str">
        <f>""&amp;Table12[[#This Row],[TTM Stage]]&amp;Table12[[#This Row],[Task No.]]&amp;"-"&amp;Table12[[#This Row],[Type of activity]]&amp;"-"&amp;Table12[[#This Row],[TargetGroup]]</f>
        <v>P2-M1 - B-Young</v>
      </c>
      <c r="G373" s="178"/>
      <c r="H373" s="178"/>
      <c r="I373" s="179"/>
      <c r="J373" s="287"/>
      <c r="K373" s="272"/>
      <c r="L373" s="431"/>
      <c r="M373" s="427" t="s">
        <v>65</v>
      </c>
      <c r="N373" s="448" t="s">
        <v>587</v>
      </c>
      <c r="O373" s="414"/>
      <c r="P373" s="414"/>
      <c r="Q373" s="414"/>
      <c r="R373" s="180"/>
      <c r="S373" s="180"/>
      <c r="T373" s="174"/>
      <c r="U373" s="174"/>
      <c r="V373" s="174"/>
      <c r="W373" s="174"/>
      <c r="X373" s="174"/>
      <c r="Y373" s="174"/>
      <c r="Z373" s="174"/>
      <c r="AA373" s="174"/>
      <c r="AB373" s="174"/>
      <c r="AC373" s="174"/>
      <c r="AD373" s="174"/>
      <c r="AE373" s="181"/>
      <c r="AF373" s="44"/>
      <c r="AG373" s="44"/>
      <c r="AH373" s="44"/>
      <c r="AI373" s="44"/>
      <c r="AJ373" s="44"/>
      <c r="AK373" s="44"/>
      <c r="AL373" s="44"/>
      <c r="AM373" s="44"/>
      <c r="AN373" s="44"/>
      <c r="AO373" s="44"/>
      <c r="AP373" s="44"/>
      <c r="AQ373" s="44"/>
      <c r="AR373" s="44"/>
      <c r="AS373" s="44"/>
    </row>
    <row r="374" spans="1:45">
      <c r="A374" s="214"/>
      <c r="B374" s="408" t="s">
        <v>102</v>
      </c>
      <c r="C374" s="97" t="s">
        <v>592</v>
      </c>
      <c r="D374" s="423" t="s">
        <v>764</v>
      </c>
      <c r="E374" s="421">
        <v>1</v>
      </c>
      <c r="F374" s="299" t="str">
        <f>""&amp;Table12[[#This Row],[TTM Stage]]&amp;Table12[[#This Row],[Task No.]]&amp;"-"&amp;Table12[[#This Row],[Type of activity]]&amp;"-"&amp;Table12[[#This Row],[TargetGroup]]</f>
        <v>A1-M1 - B-Young</v>
      </c>
      <c r="G374" s="178"/>
      <c r="H374" s="178"/>
      <c r="I374" s="179"/>
      <c r="J374" s="287"/>
      <c r="K374" s="272"/>
      <c r="L374" s="431"/>
      <c r="M374" s="427" t="s">
        <v>65</v>
      </c>
      <c r="N374" s="448" t="s">
        <v>600</v>
      </c>
      <c r="O374" s="414"/>
      <c r="P374" s="414"/>
      <c r="Q374" s="414"/>
      <c r="R374" s="180"/>
      <c r="S374" s="180"/>
      <c r="T374" s="174"/>
      <c r="U374" s="174"/>
      <c r="V374" s="174"/>
      <c r="W374" s="174"/>
      <c r="X374" s="174"/>
      <c r="Y374" s="174"/>
      <c r="Z374" s="174"/>
      <c r="AA374" s="174"/>
      <c r="AB374" s="174"/>
      <c r="AC374" s="174"/>
      <c r="AD374" s="174"/>
      <c r="AE374" s="181"/>
      <c r="AF374" s="44"/>
      <c r="AG374" s="44"/>
      <c r="AH374" s="44"/>
      <c r="AI374" s="44"/>
      <c r="AJ374" s="44"/>
      <c r="AK374" s="44"/>
      <c r="AL374" s="44"/>
      <c r="AM374" s="44"/>
      <c r="AN374" s="44"/>
      <c r="AO374" s="44"/>
      <c r="AP374" s="44"/>
      <c r="AQ374" s="44"/>
      <c r="AR374" s="44"/>
      <c r="AS374" s="44"/>
    </row>
    <row r="375" spans="1:45">
      <c r="A375" s="214"/>
      <c r="B375" s="408" t="s">
        <v>102</v>
      </c>
      <c r="C375" s="97" t="s">
        <v>592</v>
      </c>
      <c r="D375" s="423" t="s">
        <v>764</v>
      </c>
      <c r="E375" s="421">
        <v>2</v>
      </c>
      <c r="F375" s="299" t="str">
        <f>""&amp;Table12[[#This Row],[TTM Stage]]&amp;Table12[[#This Row],[Task No.]]&amp;"-"&amp;Table12[[#This Row],[Type of activity]]&amp;"-"&amp;Table12[[#This Row],[TargetGroup]]</f>
        <v>A2-M1 - B-Young</v>
      </c>
      <c r="G375" s="178"/>
      <c r="H375" s="178"/>
      <c r="I375" s="179"/>
      <c r="J375" s="287"/>
      <c r="K375" s="272"/>
      <c r="L375" s="431"/>
      <c r="M375" s="427" t="s">
        <v>65</v>
      </c>
      <c r="N375" s="449" t="s">
        <v>587</v>
      </c>
      <c r="O375" s="180"/>
      <c r="P375" s="180"/>
      <c r="Q375" s="180"/>
      <c r="R375" s="180"/>
      <c r="S375" s="180"/>
      <c r="T375" s="174"/>
      <c r="U375" s="174"/>
      <c r="V375" s="174"/>
      <c r="W375" s="174"/>
      <c r="X375" s="174"/>
      <c r="Y375" s="174"/>
      <c r="Z375" s="174"/>
      <c r="AA375" s="174"/>
      <c r="AB375" s="174"/>
      <c r="AC375" s="174"/>
      <c r="AD375" s="174"/>
      <c r="AE375" s="181"/>
      <c r="AF375" s="44"/>
      <c r="AG375" s="44"/>
      <c r="AH375" s="44"/>
      <c r="AI375" s="44"/>
      <c r="AJ375" s="44"/>
      <c r="AK375" s="44"/>
      <c r="AL375" s="44"/>
      <c r="AM375" s="44"/>
      <c r="AN375" s="44"/>
      <c r="AO375" s="44"/>
      <c r="AP375" s="44"/>
      <c r="AQ375" s="44"/>
      <c r="AR375" s="44"/>
      <c r="AS375" s="44"/>
    </row>
    <row r="376" spans="1:45">
      <c r="A376" s="214"/>
      <c r="B376" s="408" t="s">
        <v>102</v>
      </c>
      <c r="C376" s="97" t="s">
        <v>592</v>
      </c>
      <c r="D376" s="423" t="s">
        <v>764</v>
      </c>
      <c r="E376" s="421">
        <v>3</v>
      </c>
      <c r="F376" s="299" t="str">
        <f>""&amp;Table12[[#This Row],[TTM Stage]]&amp;Table12[[#This Row],[Task No.]]&amp;"-"&amp;Table12[[#This Row],[Type of activity]]&amp;"-"&amp;Table12[[#This Row],[TargetGroup]]</f>
        <v>A3-M1 - B-Young</v>
      </c>
      <c r="G376" s="178"/>
      <c r="H376" s="178"/>
      <c r="I376" s="179"/>
      <c r="J376" s="287"/>
      <c r="K376" s="272"/>
      <c r="L376" s="431"/>
      <c r="M376" s="427" t="s">
        <v>65</v>
      </c>
      <c r="N376" s="448" t="s">
        <v>601</v>
      </c>
      <c r="O376" s="414"/>
      <c r="P376" s="414"/>
      <c r="Q376" s="414"/>
      <c r="R376" s="180"/>
      <c r="S376" s="180"/>
      <c r="T376" s="174"/>
      <c r="U376" s="174"/>
      <c r="V376" s="174"/>
      <c r="W376" s="174"/>
      <c r="X376" s="174"/>
      <c r="Y376" s="174"/>
      <c r="Z376" s="174"/>
      <c r="AA376" s="174"/>
      <c r="AB376" s="174"/>
      <c r="AC376" s="174"/>
      <c r="AD376" s="174"/>
      <c r="AE376" s="181"/>
      <c r="AF376" s="44"/>
      <c r="AG376" s="44"/>
      <c r="AH376" s="44"/>
      <c r="AI376" s="44"/>
      <c r="AJ376" s="44"/>
      <c r="AK376" s="44"/>
      <c r="AL376" s="44"/>
      <c r="AM376" s="44"/>
      <c r="AN376" s="44"/>
      <c r="AO376" s="44"/>
      <c r="AP376" s="44"/>
      <c r="AQ376" s="44"/>
      <c r="AR376" s="44"/>
      <c r="AS376" s="44"/>
    </row>
    <row r="377" spans="1:45">
      <c r="A377" s="214"/>
      <c r="B377" s="408" t="s">
        <v>102</v>
      </c>
      <c r="C377" s="97" t="s">
        <v>592</v>
      </c>
      <c r="D377" s="423" t="s">
        <v>764</v>
      </c>
      <c r="E377" s="421">
        <v>4</v>
      </c>
      <c r="F377" s="299" t="str">
        <f>""&amp;Table12[[#This Row],[TTM Stage]]&amp;Table12[[#This Row],[Task No.]]&amp;"-"&amp;Table12[[#This Row],[Type of activity]]&amp;"-"&amp;Table12[[#This Row],[TargetGroup]]</f>
        <v>A4-M1 - B-Young</v>
      </c>
      <c r="G377" s="178"/>
      <c r="H377" s="178"/>
      <c r="I377" s="179"/>
      <c r="J377" s="287"/>
      <c r="K377" s="272"/>
      <c r="L377" s="431"/>
      <c r="M377" s="427" t="s">
        <v>65</v>
      </c>
      <c r="N377" s="448" t="s">
        <v>602</v>
      </c>
      <c r="O377" s="414"/>
      <c r="P377" s="414"/>
      <c r="Q377" s="414"/>
      <c r="R377" s="180"/>
      <c r="S377" s="180"/>
      <c r="T377" s="174"/>
      <c r="U377" s="174"/>
      <c r="V377" s="174"/>
      <c r="W377" s="174"/>
      <c r="X377" s="174"/>
      <c r="Y377" s="174"/>
      <c r="Z377" s="174"/>
      <c r="AA377" s="174"/>
      <c r="AB377" s="174"/>
      <c r="AC377" s="174"/>
      <c r="AD377" s="174"/>
      <c r="AE377" s="181"/>
      <c r="AF377" s="44"/>
      <c r="AG377" s="44"/>
      <c r="AH377" s="44"/>
      <c r="AI377" s="44"/>
      <c r="AJ377" s="44"/>
      <c r="AK377" s="44"/>
      <c r="AL377" s="44"/>
      <c r="AM377" s="44"/>
      <c r="AN377" s="44"/>
      <c r="AO377" s="44"/>
      <c r="AP377" s="44"/>
      <c r="AQ377" s="44"/>
      <c r="AR377" s="44"/>
      <c r="AS377" s="44"/>
    </row>
    <row r="378" spans="1:45">
      <c r="A378" s="214"/>
      <c r="B378" s="408" t="s">
        <v>102</v>
      </c>
      <c r="C378" s="97" t="s">
        <v>592</v>
      </c>
      <c r="D378" s="424" t="s">
        <v>778</v>
      </c>
      <c r="E378" s="421">
        <v>1</v>
      </c>
      <c r="F378" s="299" t="str">
        <f>""&amp;Table12[[#This Row],[TTM Stage]]&amp;Table12[[#This Row],[Task No.]]&amp;"-"&amp;Table12[[#This Row],[Type of activity]]&amp;"-"&amp;Table12[[#This Row],[TargetGroup]]</f>
        <v>M1-M1 - B-Young</v>
      </c>
      <c r="G378" s="178"/>
      <c r="H378" s="178"/>
      <c r="I378" s="179"/>
      <c r="J378" s="287"/>
      <c r="K378" s="272"/>
      <c r="L378" s="431"/>
      <c r="M378" s="427" t="s">
        <v>65</v>
      </c>
      <c r="N378" s="448" t="s">
        <v>603</v>
      </c>
      <c r="O378" s="414"/>
      <c r="P378" s="414"/>
      <c r="Q378" s="414"/>
      <c r="R378" s="180"/>
      <c r="S378" s="180"/>
      <c r="T378" s="174"/>
      <c r="U378" s="174"/>
      <c r="V378" s="174"/>
      <c r="W378" s="174"/>
      <c r="X378" s="174"/>
      <c r="Y378" s="174"/>
      <c r="Z378" s="174"/>
      <c r="AA378" s="174"/>
      <c r="AB378" s="174"/>
      <c r="AC378" s="174"/>
      <c r="AD378" s="174"/>
      <c r="AE378" s="181"/>
      <c r="AF378" s="44"/>
      <c r="AG378" s="44"/>
      <c r="AH378" s="44"/>
      <c r="AI378" s="44"/>
      <c r="AJ378" s="44"/>
      <c r="AK378" s="44"/>
      <c r="AL378" s="44"/>
      <c r="AM378" s="44"/>
      <c r="AN378" s="44"/>
      <c r="AO378" s="44"/>
      <c r="AP378" s="44"/>
      <c r="AQ378" s="44"/>
      <c r="AR378" s="44"/>
      <c r="AS378" s="44"/>
    </row>
    <row r="379" spans="1:45">
      <c r="A379" s="214"/>
      <c r="B379" s="408" t="s">
        <v>102</v>
      </c>
      <c r="C379" s="97" t="s">
        <v>592</v>
      </c>
      <c r="D379" s="424" t="s">
        <v>778</v>
      </c>
      <c r="E379" s="421">
        <v>2</v>
      </c>
      <c r="F379" s="299" t="str">
        <f>""&amp;Table12[[#This Row],[TTM Stage]]&amp;Table12[[#This Row],[Task No.]]&amp;"-"&amp;Table12[[#This Row],[Type of activity]]&amp;"-"&amp;Table12[[#This Row],[TargetGroup]]</f>
        <v>M2-M1 - B-Young</v>
      </c>
      <c r="G379" s="178"/>
      <c r="H379" s="178"/>
      <c r="I379" s="179"/>
      <c r="J379" s="287"/>
      <c r="K379" s="272"/>
      <c r="L379" s="431"/>
      <c r="M379" s="427" t="s">
        <v>65</v>
      </c>
      <c r="N379" s="448" t="s">
        <v>587</v>
      </c>
      <c r="O379" s="414"/>
      <c r="P379" s="414"/>
      <c r="Q379" s="414"/>
      <c r="R379" s="180"/>
      <c r="S379" s="180"/>
      <c r="T379" s="174"/>
      <c r="U379" s="174"/>
      <c r="V379" s="174"/>
      <c r="W379" s="174"/>
      <c r="X379" s="174"/>
      <c r="Y379" s="174"/>
      <c r="Z379" s="174"/>
      <c r="AA379" s="174"/>
      <c r="AB379" s="174"/>
      <c r="AC379" s="174"/>
      <c r="AD379" s="174"/>
      <c r="AE379" s="181"/>
      <c r="AF379" s="44"/>
      <c r="AG379" s="44"/>
      <c r="AH379" s="44"/>
      <c r="AI379" s="44"/>
      <c r="AJ379" s="44"/>
      <c r="AK379" s="44"/>
      <c r="AL379" s="44"/>
      <c r="AM379" s="44"/>
      <c r="AN379" s="44"/>
      <c r="AO379" s="44"/>
      <c r="AP379" s="44"/>
      <c r="AQ379" s="44"/>
      <c r="AR379" s="44"/>
      <c r="AS379" s="44"/>
    </row>
    <row r="380" spans="1:45">
      <c r="A380" s="214"/>
      <c r="B380" s="408" t="s">
        <v>102</v>
      </c>
      <c r="C380" s="97" t="s">
        <v>592</v>
      </c>
      <c r="D380" s="424" t="s">
        <v>778</v>
      </c>
      <c r="E380" s="421">
        <v>3</v>
      </c>
      <c r="F380" s="299" t="str">
        <f>""&amp;Table12[[#This Row],[TTM Stage]]&amp;Table12[[#This Row],[Task No.]]&amp;"-"&amp;Table12[[#This Row],[Type of activity]]&amp;"-"&amp;Table12[[#This Row],[TargetGroup]]</f>
        <v>M3-M1 - B-Young</v>
      </c>
      <c r="G380" s="178"/>
      <c r="H380" s="178"/>
      <c r="I380" s="179"/>
      <c r="J380" s="287"/>
      <c r="K380" s="272"/>
      <c r="L380" s="431"/>
      <c r="M380" s="427" t="s">
        <v>65</v>
      </c>
      <c r="N380" s="448" t="s">
        <v>604</v>
      </c>
      <c r="O380" s="414"/>
      <c r="P380" s="414"/>
      <c r="Q380" s="414"/>
      <c r="R380" s="180"/>
      <c r="S380" s="180"/>
      <c r="T380" s="174"/>
      <c r="U380" s="174"/>
      <c r="V380" s="174"/>
      <c r="W380" s="174"/>
      <c r="X380" s="174"/>
      <c r="Y380" s="174"/>
      <c r="Z380" s="174"/>
      <c r="AA380" s="174"/>
      <c r="AB380" s="174"/>
      <c r="AC380" s="174"/>
      <c r="AD380" s="174"/>
      <c r="AE380" s="181"/>
      <c r="AF380" s="44"/>
      <c r="AG380" s="44"/>
      <c r="AH380" s="44"/>
      <c r="AI380" s="44"/>
      <c r="AJ380" s="44"/>
      <c r="AK380" s="44"/>
      <c r="AL380" s="44"/>
      <c r="AM380" s="44"/>
      <c r="AN380" s="44"/>
      <c r="AO380" s="44"/>
      <c r="AP380" s="44"/>
      <c r="AQ380" s="44"/>
      <c r="AR380" s="44"/>
      <c r="AS380" s="44"/>
    </row>
    <row r="381" spans="1:45">
      <c r="A381" s="214"/>
      <c r="B381" s="408" t="s">
        <v>102</v>
      </c>
      <c r="C381" s="97" t="s">
        <v>592</v>
      </c>
      <c r="D381" s="425" t="s">
        <v>778</v>
      </c>
      <c r="E381" s="426">
        <v>4</v>
      </c>
      <c r="F381" s="326" t="str">
        <f>""&amp;Table12[[#This Row],[TTM Stage]]&amp;Table12[[#This Row],[Task No.]]&amp;"-"&amp;Table12[[#This Row],[Type of activity]]&amp;"-"&amp;Table12[[#This Row],[TargetGroup]]</f>
        <v>M4-M1 - B-Young</v>
      </c>
      <c r="G381" s="189"/>
      <c r="H381" s="189"/>
      <c r="I381" s="190"/>
      <c r="J381" s="415"/>
      <c r="K381" s="291"/>
      <c r="L381" s="431"/>
      <c r="M381" s="427" t="s">
        <v>65</v>
      </c>
      <c r="N381" s="451" t="s">
        <v>587</v>
      </c>
      <c r="O381" s="191"/>
      <c r="P381" s="191"/>
      <c r="Q381" s="191"/>
      <c r="R381" s="191"/>
      <c r="S381" s="191"/>
      <c r="T381" s="188"/>
      <c r="U381" s="188"/>
      <c r="V381" s="188"/>
      <c r="W381" s="188"/>
      <c r="X381" s="188"/>
      <c r="Y381" s="188"/>
      <c r="Z381" s="188"/>
      <c r="AA381" s="188"/>
      <c r="AB381" s="188"/>
      <c r="AC381" s="188"/>
      <c r="AD381" s="188"/>
      <c r="AE381" s="192"/>
      <c r="AF381" s="44"/>
      <c r="AG381" s="44"/>
      <c r="AH381" s="44"/>
      <c r="AI381" s="44"/>
      <c r="AJ381" s="44"/>
      <c r="AK381" s="44"/>
      <c r="AL381" s="44"/>
      <c r="AM381" s="44"/>
      <c r="AN381" s="44"/>
      <c r="AO381" s="44"/>
      <c r="AP381" s="44"/>
      <c r="AQ381" s="44"/>
      <c r="AR381" s="44"/>
      <c r="AS381" s="44"/>
    </row>
    <row r="382" spans="1:45">
      <c r="A382" s="214"/>
      <c r="B382" s="408" t="s">
        <v>102</v>
      </c>
      <c r="C382" s="97" t="s">
        <v>605</v>
      </c>
      <c r="D382" s="420" t="s">
        <v>735</v>
      </c>
      <c r="E382" s="421">
        <v>1</v>
      </c>
      <c r="F382" s="299" t="str">
        <f>""&amp;Table12[[#This Row],[TTM Stage]]&amp;Table12[[#This Row],[Task No.]]&amp;"-"&amp;Table12[[#This Row],[Type of activity]]&amp;"-"&amp;Table12[[#This Row],[TargetGroup]]</f>
        <v>PC1-M1 - C-Young</v>
      </c>
      <c r="G382" s="178"/>
      <c r="H382" s="178"/>
      <c r="I382" s="179"/>
      <c r="J382" s="287"/>
      <c r="K382" s="272"/>
      <c r="L382" s="431"/>
      <c r="M382" s="427" t="s">
        <v>65</v>
      </c>
      <c r="N382" s="448" t="s">
        <v>609</v>
      </c>
      <c r="O382" s="414"/>
      <c r="P382" s="414"/>
      <c r="Q382" s="414"/>
      <c r="R382" s="180"/>
      <c r="S382" s="180"/>
      <c r="T382" s="174"/>
      <c r="U382" s="174"/>
      <c r="V382" s="174"/>
      <c r="W382" s="174"/>
      <c r="X382" s="174"/>
      <c r="Y382" s="174"/>
      <c r="Z382" s="174"/>
      <c r="AA382" s="174"/>
      <c r="AB382" s="174"/>
      <c r="AC382" s="174"/>
      <c r="AD382" s="174"/>
      <c r="AE382" s="181"/>
      <c r="AF382" s="44"/>
      <c r="AG382" s="44"/>
      <c r="AH382" s="44"/>
      <c r="AI382" s="44"/>
      <c r="AJ382" s="44"/>
      <c r="AK382" s="44"/>
      <c r="AL382" s="44"/>
      <c r="AM382" s="44"/>
      <c r="AN382" s="44"/>
      <c r="AO382" s="44"/>
      <c r="AP382" s="44"/>
      <c r="AQ382" s="44"/>
      <c r="AR382" s="44"/>
      <c r="AS382" s="44"/>
    </row>
    <row r="383" spans="1:45">
      <c r="A383" s="214"/>
      <c r="B383" s="408" t="s">
        <v>102</v>
      </c>
      <c r="C383" s="97" t="s">
        <v>605</v>
      </c>
      <c r="D383" s="420" t="s">
        <v>735</v>
      </c>
      <c r="E383" s="421">
        <v>2</v>
      </c>
      <c r="F383" s="299" t="str">
        <f>""&amp;Table12[[#This Row],[TTM Stage]]&amp;Table12[[#This Row],[Task No.]]&amp;"-"&amp;Table12[[#This Row],[Type of activity]]&amp;"-"&amp;Table12[[#This Row],[TargetGroup]]</f>
        <v>PC2-M1 - C-Young</v>
      </c>
      <c r="G383" s="178"/>
      <c r="H383" s="178"/>
      <c r="I383" s="179"/>
      <c r="J383" s="287"/>
      <c r="K383" s="272"/>
      <c r="L383" s="431"/>
      <c r="M383" s="427" t="s">
        <v>65</v>
      </c>
      <c r="N383" s="449" t="s">
        <v>587</v>
      </c>
      <c r="O383" s="180"/>
      <c r="P383" s="180"/>
      <c r="Q383" s="180"/>
      <c r="R383" s="180"/>
      <c r="S383" s="180"/>
      <c r="T383" s="174"/>
      <c r="U383" s="174"/>
      <c r="V383" s="174"/>
      <c r="W383" s="174"/>
      <c r="X383" s="174"/>
      <c r="Y383" s="174"/>
      <c r="Z383" s="174"/>
      <c r="AA383" s="174"/>
      <c r="AB383" s="174"/>
      <c r="AC383" s="174"/>
      <c r="AD383" s="174"/>
      <c r="AE383" s="181"/>
      <c r="AF383" s="44"/>
      <c r="AG383" s="44"/>
      <c r="AH383" s="44"/>
      <c r="AI383" s="44"/>
      <c r="AJ383" s="44"/>
      <c r="AK383" s="44"/>
      <c r="AL383" s="44"/>
      <c r="AM383" s="44"/>
      <c r="AN383" s="44"/>
      <c r="AO383" s="44"/>
      <c r="AP383" s="44"/>
      <c r="AQ383" s="44"/>
      <c r="AR383" s="44"/>
      <c r="AS383" s="44"/>
    </row>
    <row r="384" spans="1:45">
      <c r="A384" s="214"/>
      <c r="B384" s="408" t="s">
        <v>102</v>
      </c>
      <c r="C384" s="97" t="s">
        <v>605</v>
      </c>
      <c r="D384" s="421" t="s">
        <v>743</v>
      </c>
      <c r="E384" s="421">
        <v>1</v>
      </c>
      <c r="F384" s="299" t="str">
        <f>""&amp;Table12[[#This Row],[TTM Stage]]&amp;Table12[[#This Row],[Task No.]]&amp;"-"&amp;Table12[[#This Row],[Type of activity]]&amp;"-"&amp;Table12[[#This Row],[TargetGroup]]</f>
        <v>C1-M1 - C-Young</v>
      </c>
      <c r="G384" s="178"/>
      <c r="H384" s="178"/>
      <c r="I384" s="179"/>
      <c r="J384" s="287"/>
      <c r="K384" s="272"/>
      <c r="L384" s="431"/>
      <c r="M384" s="427" t="s">
        <v>65</v>
      </c>
      <c r="N384" s="448" t="s">
        <v>610</v>
      </c>
      <c r="O384" s="414"/>
      <c r="P384" s="414"/>
      <c r="Q384" s="414"/>
      <c r="R384" s="180"/>
      <c r="S384" s="180"/>
      <c r="T384" s="174"/>
      <c r="U384" s="174"/>
      <c r="V384" s="174"/>
      <c r="W384" s="174"/>
      <c r="X384" s="174"/>
      <c r="Y384" s="174"/>
      <c r="Z384" s="174"/>
      <c r="AA384" s="174"/>
      <c r="AB384" s="174"/>
      <c r="AC384" s="174"/>
      <c r="AD384" s="174"/>
      <c r="AE384" s="181"/>
      <c r="AF384" s="44"/>
      <c r="AG384" s="44"/>
      <c r="AH384" s="44"/>
      <c r="AI384" s="44"/>
      <c r="AJ384" s="44"/>
      <c r="AK384" s="44"/>
      <c r="AL384" s="44"/>
      <c r="AM384" s="44"/>
      <c r="AN384" s="44"/>
      <c r="AO384" s="44"/>
      <c r="AP384" s="44"/>
      <c r="AQ384" s="44"/>
      <c r="AR384" s="44"/>
      <c r="AS384" s="44"/>
    </row>
    <row r="385" spans="1:45">
      <c r="A385" s="214"/>
      <c r="B385" s="408" t="s">
        <v>102</v>
      </c>
      <c r="C385" s="97" t="s">
        <v>605</v>
      </c>
      <c r="D385" s="421" t="s">
        <v>743</v>
      </c>
      <c r="E385" s="421">
        <v>2</v>
      </c>
      <c r="F385" s="299" t="str">
        <f>""&amp;Table12[[#This Row],[TTM Stage]]&amp;Table12[[#This Row],[Task No.]]&amp;"-"&amp;Table12[[#This Row],[Type of activity]]&amp;"-"&amp;Table12[[#This Row],[TargetGroup]]</f>
        <v>C2-M1 - C-Young</v>
      </c>
      <c r="G385" s="178"/>
      <c r="H385" s="178"/>
      <c r="I385" s="179"/>
      <c r="J385" s="287"/>
      <c r="K385" s="272"/>
      <c r="L385" s="431"/>
      <c r="M385" s="427" t="s">
        <v>65</v>
      </c>
      <c r="N385" s="448" t="s">
        <v>587</v>
      </c>
      <c r="O385" s="414"/>
      <c r="P385" s="414"/>
      <c r="Q385" s="414"/>
      <c r="R385" s="180"/>
      <c r="S385" s="180"/>
      <c r="T385" s="174"/>
      <c r="U385" s="174"/>
      <c r="V385" s="174"/>
      <c r="W385" s="174"/>
      <c r="X385" s="174"/>
      <c r="Y385" s="174"/>
      <c r="Z385" s="174"/>
      <c r="AA385" s="174"/>
      <c r="AB385" s="174"/>
      <c r="AC385" s="174"/>
      <c r="AD385" s="174"/>
      <c r="AE385" s="181"/>
      <c r="AF385" s="44"/>
      <c r="AG385" s="44"/>
      <c r="AH385" s="44"/>
      <c r="AI385" s="44"/>
      <c r="AJ385" s="44"/>
      <c r="AK385" s="44"/>
      <c r="AL385" s="44"/>
      <c r="AM385" s="44"/>
      <c r="AN385" s="44"/>
      <c r="AO385" s="44"/>
      <c r="AP385" s="44"/>
      <c r="AQ385" s="44"/>
      <c r="AR385" s="44"/>
      <c r="AS385" s="44"/>
    </row>
    <row r="386" spans="1:45">
      <c r="A386" s="214"/>
      <c r="B386" s="408" t="s">
        <v>102</v>
      </c>
      <c r="C386" s="97" t="s">
        <v>605</v>
      </c>
      <c r="D386" s="422" t="s">
        <v>750</v>
      </c>
      <c r="E386" s="421">
        <v>1</v>
      </c>
      <c r="F386" s="299" t="str">
        <f>""&amp;Table12[[#This Row],[TTM Stage]]&amp;Table12[[#This Row],[Task No.]]&amp;"-"&amp;Table12[[#This Row],[Type of activity]]&amp;"-"&amp;Table12[[#This Row],[TargetGroup]]</f>
        <v>P1-M1 - C-Young</v>
      </c>
      <c r="G386" s="178"/>
      <c r="H386" s="178"/>
      <c r="I386" s="179"/>
      <c r="J386" s="287"/>
      <c r="K386" s="272"/>
      <c r="L386" s="431"/>
      <c r="M386" s="427" t="s">
        <v>65</v>
      </c>
      <c r="N386" s="448" t="s">
        <v>587</v>
      </c>
      <c r="O386" s="414"/>
      <c r="P386" s="414"/>
      <c r="Q386" s="414"/>
      <c r="R386" s="180"/>
      <c r="S386" s="180"/>
      <c r="T386" s="174"/>
      <c r="U386" s="174"/>
      <c r="V386" s="174"/>
      <c r="W386" s="174"/>
      <c r="X386" s="174"/>
      <c r="Y386" s="174"/>
      <c r="Z386" s="174"/>
      <c r="AA386" s="174"/>
      <c r="AB386" s="174"/>
      <c r="AC386" s="174"/>
      <c r="AD386" s="174"/>
      <c r="AE386" s="181"/>
      <c r="AF386" s="44"/>
      <c r="AG386" s="44"/>
      <c r="AH386" s="44"/>
      <c r="AI386" s="44"/>
      <c r="AJ386" s="44"/>
      <c r="AK386" s="44"/>
      <c r="AL386" s="44"/>
      <c r="AM386" s="44"/>
      <c r="AN386" s="44"/>
      <c r="AO386" s="44"/>
      <c r="AP386" s="44"/>
      <c r="AQ386" s="44"/>
      <c r="AR386" s="44"/>
      <c r="AS386" s="44"/>
    </row>
    <row r="387" spans="1:45">
      <c r="A387" s="214"/>
      <c r="B387" s="408" t="s">
        <v>102</v>
      </c>
      <c r="C387" s="97" t="s">
        <v>605</v>
      </c>
      <c r="D387" s="422" t="s">
        <v>750</v>
      </c>
      <c r="E387" s="421">
        <v>2</v>
      </c>
      <c r="F387" s="299" t="str">
        <f>""&amp;Table12[[#This Row],[TTM Stage]]&amp;Table12[[#This Row],[Task No.]]&amp;"-"&amp;Table12[[#This Row],[Type of activity]]&amp;"-"&amp;Table12[[#This Row],[TargetGroup]]</f>
        <v>P2-M1 - C-Young</v>
      </c>
      <c r="G387" s="178"/>
      <c r="H387" s="178"/>
      <c r="I387" s="179"/>
      <c r="J387" s="287"/>
      <c r="K387" s="272"/>
      <c r="L387" s="431"/>
      <c r="M387" s="427" t="s">
        <v>65</v>
      </c>
      <c r="N387" s="448" t="s">
        <v>611</v>
      </c>
      <c r="O387" s="414"/>
      <c r="P387" s="414"/>
      <c r="Q387" s="414"/>
      <c r="R387" s="180"/>
      <c r="S387" s="180"/>
      <c r="T387" s="174"/>
      <c r="U387" s="174"/>
      <c r="V387" s="174"/>
      <c r="W387" s="174"/>
      <c r="X387" s="174"/>
      <c r="Y387" s="174"/>
      <c r="Z387" s="174"/>
      <c r="AA387" s="174"/>
      <c r="AB387" s="174"/>
      <c r="AC387" s="174"/>
      <c r="AD387" s="174"/>
      <c r="AE387" s="181"/>
      <c r="AF387" s="44"/>
      <c r="AG387" s="44"/>
      <c r="AH387" s="44"/>
      <c r="AI387" s="44"/>
      <c r="AJ387" s="44"/>
      <c r="AK387" s="44"/>
      <c r="AL387" s="44"/>
      <c r="AM387" s="44"/>
      <c r="AN387" s="44"/>
      <c r="AO387" s="44"/>
      <c r="AP387" s="44"/>
      <c r="AQ387" s="44"/>
      <c r="AR387" s="44"/>
      <c r="AS387" s="44"/>
    </row>
    <row r="388" spans="1:45">
      <c r="A388" s="214"/>
      <c r="B388" s="408" t="s">
        <v>102</v>
      </c>
      <c r="C388" s="97" t="s">
        <v>605</v>
      </c>
      <c r="D388" s="423" t="s">
        <v>764</v>
      </c>
      <c r="E388" s="421">
        <v>1</v>
      </c>
      <c r="F388" s="299" t="str">
        <f>""&amp;Table12[[#This Row],[TTM Stage]]&amp;Table12[[#This Row],[Task No.]]&amp;"-"&amp;Table12[[#This Row],[Type of activity]]&amp;"-"&amp;Table12[[#This Row],[TargetGroup]]</f>
        <v>A1-M1 - C-Young</v>
      </c>
      <c r="G388" s="178"/>
      <c r="H388" s="178"/>
      <c r="I388" s="179"/>
      <c r="J388" s="287"/>
      <c r="K388" s="272"/>
      <c r="L388" s="431"/>
      <c r="M388" s="427" t="s">
        <v>65</v>
      </c>
      <c r="N388" s="449" t="s">
        <v>587</v>
      </c>
      <c r="O388" s="180"/>
      <c r="P388" s="180"/>
      <c r="Q388" s="180"/>
      <c r="R388" s="180"/>
      <c r="S388" s="180"/>
      <c r="T388" s="174"/>
      <c r="U388" s="174"/>
      <c r="V388" s="174"/>
      <c r="W388" s="174"/>
      <c r="X388" s="174"/>
      <c r="Y388" s="174"/>
      <c r="Z388" s="174"/>
      <c r="AA388" s="174"/>
      <c r="AB388" s="174"/>
      <c r="AC388" s="174"/>
      <c r="AD388" s="174"/>
      <c r="AE388" s="181"/>
      <c r="AF388" s="44"/>
      <c r="AG388" s="44"/>
      <c r="AH388" s="44"/>
      <c r="AI388" s="44"/>
      <c r="AJ388" s="44"/>
      <c r="AK388" s="44"/>
      <c r="AL388" s="44"/>
      <c r="AM388" s="44"/>
      <c r="AN388" s="44"/>
      <c r="AO388" s="44"/>
      <c r="AP388" s="44"/>
      <c r="AQ388" s="44"/>
      <c r="AR388" s="44"/>
      <c r="AS388" s="44"/>
    </row>
    <row r="389" spans="1:45">
      <c r="A389" s="214"/>
      <c r="B389" s="408" t="s">
        <v>102</v>
      </c>
      <c r="C389" s="97" t="s">
        <v>605</v>
      </c>
      <c r="D389" s="423" t="s">
        <v>764</v>
      </c>
      <c r="E389" s="421">
        <v>2</v>
      </c>
      <c r="F389" s="299" t="str">
        <f>""&amp;Table12[[#This Row],[TTM Stage]]&amp;Table12[[#This Row],[Task No.]]&amp;"-"&amp;Table12[[#This Row],[Type of activity]]&amp;"-"&amp;Table12[[#This Row],[TargetGroup]]</f>
        <v>A2-M1 - C-Young</v>
      </c>
      <c r="G389" s="178"/>
      <c r="H389" s="178"/>
      <c r="I389" s="179"/>
      <c r="J389" s="287"/>
      <c r="K389" s="272"/>
      <c r="L389" s="431"/>
      <c r="M389" s="427" t="s">
        <v>65</v>
      </c>
      <c r="N389" s="448" t="s">
        <v>612</v>
      </c>
      <c r="O389" s="414"/>
      <c r="P389" s="414"/>
      <c r="Q389" s="414"/>
      <c r="R389" s="180"/>
      <c r="S389" s="180"/>
      <c r="T389" s="174"/>
      <c r="U389" s="174"/>
      <c r="V389" s="174"/>
      <c r="W389" s="174"/>
      <c r="X389" s="174"/>
      <c r="Y389" s="174"/>
      <c r="Z389" s="174"/>
      <c r="AA389" s="174"/>
      <c r="AB389" s="174"/>
      <c r="AC389" s="174"/>
      <c r="AD389" s="174"/>
      <c r="AE389" s="181"/>
      <c r="AF389" s="44"/>
      <c r="AG389" s="44"/>
      <c r="AH389" s="44"/>
      <c r="AI389" s="44"/>
      <c r="AJ389" s="44"/>
      <c r="AK389" s="44"/>
      <c r="AL389" s="44"/>
      <c r="AM389" s="44"/>
      <c r="AN389" s="44"/>
      <c r="AO389" s="44"/>
      <c r="AP389" s="44"/>
      <c r="AQ389" s="44"/>
      <c r="AR389" s="44"/>
      <c r="AS389" s="44"/>
    </row>
    <row r="390" spans="1:45">
      <c r="A390" s="214"/>
      <c r="B390" s="408" t="s">
        <v>102</v>
      </c>
      <c r="C390" s="97" t="s">
        <v>605</v>
      </c>
      <c r="D390" s="423" t="s">
        <v>764</v>
      </c>
      <c r="E390" s="421">
        <v>3</v>
      </c>
      <c r="F390" s="299" t="str">
        <f>""&amp;Table12[[#This Row],[TTM Stage]]&amp;Table12[[#This Row],[Task No.]]&amp;"-"&amp;Table12[[#This Row],[Type of activity]]&amp;"-"&amp;Table12[[#This Row],[TargetGroup]]</f>
        <v>A3-M1 - C-Young</v>
      </c>
      <c r="G390" s="178"/>
      <c r="H390" s="178"/>
      <c r="I390" s="179"/>
      <c r="J390" s="287"/>
      <c r="K390" s="272"/>
      <c r="L390" s="431"/>
      <c r="M390" s="427" t="s">
        <v>65</v>
      </c>
      <c r="N390" s="448" t="s">
        <v>613</v>
      </c>
      <c r="O390" s="414"/>
      <c r="P390" s="414"/>
      <c r="Q390" s="414"/>
      <c r="R390" s="180"/>
      <c r="S390" s="180"/>
      <c r="T390" s="174"/>
      <c r="U390" s="174"/>
      <c r="V390" s="174"/>
      <c r="W390" s="174"/>
      <c r="X390" s="174"/>
      <c r="Y390" s="174"/>
      <c r="Z390" s="174"/>
      <c r="AA390" s="174"/>
      <c r="AB390" s="174"/>
      <c r="AC390" s="174"/>
      <c r="AD390" s="174"/>
      <c r="AE390" s="181"/>
      <c r="AF390" s="44"/>
      <c r="AG390" s="44"/>
      <c r="AH390" s="44"/>
      <c r="AI390" s="44"/>
      <c r="AJ390" s="44"/>
      <c r="AK390" s="44"/>
      <c r="AL390" s="44"/>
      <c r="AM390" s="44"/>
      <c r="AN390" s="44"/>
      <c r="AO390" s="44"/>
      <c r="AP390" s="44"/>
      <c r="AQ390" s="44"/>
      <c r="AR390" s="44"/>
      <c r="AS390" s="44"/>
    </row>
    <row r="391" spans="1:45">
      <c r="A391" s="214"/>
      <c r="B391" s="408" t="s">
        <v>102</v>
      </c>
      <c r="C391" s="97" t="s">
        <v>605</v>
      </c>
      <c r="D391" s="423" t="s">
        <v>764</v>
      </c>
      <c r="E391" s="421">
        <v>4</v>
      </c>
      <c r="F391" s="299" t="str">
        <f>""&amp;Table12[[#This Row],[TTM Stage]]&amp;Table12[[#This Row],[Task No.]]&amp;"-"&amp;Table12[[#This Row],[Type of activity]]&amp;"-"&amp;Table12[[#This Row],[TargetGroup]]</f>
        <v>A4-M1 - C-Young</v>
      </c>
      <c r="G391" s="178"/>
      <c r="H391" s="178"/>
      <c r="I391" s="179"/>
      <c r="J391" s="287"/>
      <c r="K391" s="272"/>
      <c r="L391" s="431"/>
      <c r="M391" s="427" t="s">
        <v>65</v>
      </c>
      <c r="N391" s="448" t="s">
        <v>614</v>
      </c>
      <c r="O391" s="414"/>
      <c r="P391" s="414"/>
      <c r="Q391" s="414"/>
      <c r="R391" s="180"/>
      <c r="S391" s="180"/>
      <c r="T391" s="174"/>
      <c r="U391" s="174"/>
      <c r="V391" s="174"/>
      <c r="W391" s="174"/>
      <c r="X391" s="174"/>
      <c r="Y391" s="174"/>
      <c r="Z391" s="174"/>
      <c r="AA391" s="174"/>
      <c r="AB391" s="174"/>
      <c r="AC391" s="174"/>
      <c r="AD391" s="174"/>
      <c r="AE391" s="181"/>
      <c r="AF391" s="44"/>
      <c r="AG391" s="44"/>
      <c r="AH391" s="44"/>
      <c r="AI391" s="44"/>
      <c r="AJ391" s="44"/>
      <c r="AK391" s="44"/>
      <c r="AL391" s="44"/>
      <c r="AM391" s="44"/>
      <c r="AN391" s="44"/>
      <c r="AO391" s="44"/>
      <c r="AP391" s="44"/>
      <c r="AQ391" s="44"/>
      <c r="AR391" s="44"/>
      <c r="AS391" s="44"/>
    </row>
    <row r="392" spans="1:45">
      <c r="A392" s="214"/>
      <c r="B392" s="408" t="s">
        <v>102</v>
      </c>
      <c r="C392" s="97" t="s">
        <v>605</v>
      </c>
      <c r="D392" s="424" t="s">
        <v>778</v>
      </c>
      <c r="E392" s="421">
        <v>1</v>
      </c>
      <c r="F392" s="299" t="str">
        <f>""&amp;Table12[[#This Row],[TTM Stage]]&amp;Table12[[#This Row],[Task No.]]&amp;"-"&amp;Table12[[#This Row],[Type of activity]]&amp;"-"&amp;Table12[[#This Row],[TargetGroup]]</f>
        <v>M1-M1 - C-Young</v>
      </c>
      <c r="G392" s="178"/>
      <c r="H392" s="178"/>
      <c r="I392" s="179"/>
      <c r="J392" s="287"/>
      <c r="K392" s="272"/>
      <c r="L392" s="431"/>
      <c r="M392" s="427" t="s">
        <v>65</v>
      </c>
      <c r="N392" s="448" t="s">
        <v>587</v>
      </c>
      <c r="O392" s="414"/>
      <c r="P392" s="414"/>
      <c r="Q392" s="414"/>
      <c r="R392" s="180"/>
      <c r="S392" s="180"/>
      <c r="T392" s="174"/>
      <c r="U392" s="174"/>
      <c r="V392" s="174"/>
      <c r="W392" s="174"/>
      <c r="X392" s="174"/>
      <c r="Y392" s="174"/>
      <c r="Z392" s="174"/>
      <c r="AA392" s="174"/>
      <c r="AB392" s="174"/>
      <c r="AC392" s="174"/>
      <c r="AD392" s="174"/>
      <c r="AE392" s="181"/>
      <c r="AF392" s="44"/>
      <c r="AG392" s="44"/>
      <c r="AH392" s="44"/>
      <c r="AI392" s="44"/>
      <c r="AJ392" s="44"/>
      <c r="AK392" s="44"/>
      <c r="AL392" s="44"/>
      <c r="AM392" s="44"/>
      <c r="AN392" s="44"/>
      <c r="AO392" s="44"/>
      <c r="AP392" s="44"/>
      <c r="AQ392" s="44"/>
      <c r="AR392" s="44"/>
      <c r="AS392" s="44"/>
    </row>
    <row r="393" spans="1:45">
      <c r="A393" s="214"/>
      <c r="B393" s="408" t="s">
        <v>102</v>
      </c>
      <c r="C393" s="97" t="s">
        <v>605</v>
      </c>
      <c r="D393" s="424" t="s">
        <v>778</v>
      </c>
      <c r="E393" s="421">
        <v>2</v>
      </c>
      <c r="F393" s="299" t="str">
        <f>""&amp;Table12[[#This Row],[TTM Stage]]&amp;Table12[[#This Row],[Task No.]]&amp;"-"&amp;Table12[[#This Row],[Type of activity]]&amp;"-"&amp;Table12[[#This Row],[TargetGroup]]</f>
        <v>M2-M1 - C-Young</v>
      </c>
      <c r="G393" s="178"/>
      <c r="H393" s="178"/>
      <c r="I393" s="179"/>
      <c r="J393" s="287"/>
      <c r="K393" s="272"/>
      <c r="L393" s="431"/>
      <c r="M393" s="427" t="s">
        <v>65</v>
      </c>
      <c r="N393" s="448" t="s">
        <v>587</v>
      </c>
      <c r="O393" s="414"/>
      <c r="P393" s="414"/>
      <c r="Q393" s="414"/>
      <c r="R393" s="180"/>
      <c r="S393" s="180"/>
      <c r="T393" s="174"/>
      <c r="U393" s="174"/>
      <c r="V393" s="174"/>
      <c r="W393" s="174"/>
      <c r="X393" s="174"/>
      <c r="Y393" s="174"/>
      <c r="Z393" s="174"/>
      <c r="AA393" s="174"/>
      <c r="AB393" s="174"/>
      <c r="AC393" s="174"/>
      <c r="AD393" s="174"/>
      <c r="AE393" s="181"/>
      <c r="AF393" s="44"/>
      <c r="AG393" s="44"/>
      <c r="AH393" s="44"/>
      <c r="AI393" s="44"/>
      <c r="AJ393" s="44"/>
      <c r="AK393" s="44"/>
      <c r="AL393" s="44"/>
      <c r="AM393" s="44"/>
      <c r="AN393" s="44"/>
      <c r="AO393" s="44"/>
      <c r="AP393" s="44"/>
      <c r="AQ393" s="44"/>
      <c r="AR393" s="44"/>
      <c r="AS393" s="44"/>
    </row>
    <row r="394" spans="1:45">
      <c r="A394" s="214"/>
      <c r="B394" s="408" t="s">
        <v>102</v>
      </c>
      <c r="C394" s="97" t="s">
        <v>605</v>
      </c>
      <c r="D394" s="424" t="s">
        <v>778</v>
      </c>
      <c r="E394" s="421">
        <v>3</v>
      </c>
      <c r="F394" s="326" t="str">
        <f>""&amp;Table12[[#This Row],[TTM Stage]]&amp;Table12[[#This Row],[Task No.]]&amp;"-"&amp;Table12[[#This Row],[Type of activity]]&amp;"-"&amp;Table12[[#This Row],[TargetGroup]]</f>
        <v>M3-M1 - C-Young</v>
      </c>
      <c r="G394" s="189"/>
      <c r="H394" s="189"/>
      <c r="I394" s="190"/>
      <c r="J394" s="415"/>
      <c r="K394" s="291"/>
      <c r="L394" s="431"/>
      <c r="M394" s="427" t="s">
        <v>65</v>
      </c>
      <c r="N394" s="451" t="s">
        <v>587</v>
      </c>
      <c r="O394" s="191"/>
      <c r="P394" s="191"/>
      <c r="Q394" s="191"/>
      <c r="R394" s="191"/>
      <c r="S394" s="191"/>
      <c r="T394" s="188"/>
      <c r="U394" s="188"/>
      <c r="V394" s="188"/>
      <c r="W394" s="188"/>
      <c r="X394" s="188"/>
      <c r="Y394" s="188"/>
      <c r="Z394" s="188"/>
      <c r="AA394" s="188"/>
      <c r="AB394" s="188"/>
      <c r="AC394" s="188"/>
      <c r="AD394" s="188"/>
      <c r="AE394" s="192"/>
      <c r="AF394" s="44"/>
      <c r="AG394" s="44"/>
      <c r="AH394" s="44"/>
      <c r="AI394" s="44"/>
      <c r="AJ394" s="44"/>
      <c r="AK394" s="44"/>
      <c r="AL394" s="44"/>
      <c r="AM394" s="44"/>
      <c r="AN394" s="44"/>
      <c r="AO394" s="44"/>
      <c r="AP394" s="44"/>
      <c r="AQ394" s="44"/>
      <c r="AR394" s="44"/>
      <c r="AS394" s="44"/>
    </row>
    <row r="395" spans="1:45">
      <c r="A395" s="214"/>
      <c r="B395" s="408" t="s">
        <v>102</v>
      </c>
      <c r="C395" s="97" t="s">
        <v>605</v>
      </c>
      <c r="D395" s="425" t="s">
        <v>778</v>
      </c>
      <c r="E395" s="426">
        <v>4</v>
      </c>
      <c r="F395" s="299" t="str">
        <f>""&amp;Table12[[#This Row],[TTM Stage]]&amp;Table12[[#This Row],[Task No.]]&amp;"-"&amp;Table12[[#This Row],[Type of activity]]&amp;"-"&amp;Table12[[#This Row],[TargetGroup]]</f>
        <v>M4-M1 - C-Young</v>
      </c>
      <c r="G395" s="178"/>
      <c r="H395" s="178"/>
      <c r="I395" s="179"/>
      <c r="J395" s="287"/>
      <c r="K395" s="272"/>
      <c r="L395" s="431"/>
      <c r="M395" s="427" t="s">
        <v>65</v>
      </c>
      <c r="N395" s="449" t="s">
        <v>621</v>
      </c>
      <c r="O395" s="180"/>
      <c r="P395" s="180"/>
      <c r="Q395" s="180"/>
      <c r="R395" s="180"/>
      <c r="S395" s="180"/>
      <c r="T395" s="174"/>
      <c r="U395" s="174"/>
      <c r="V395" s="174"/>
      <c r="W395" s="174"/>
      <c r="X395" s="174"/>
      <c r="Y395" s="174"/>
      <c r="Z395" s="174"/>
      <c r="AA395" s="174"/>
      <c r="AB395" s="174"/>
      <c r="AC395" s="174"/>
      <c r="AD395" s="174"/>
      <c r="AE395" s="181"/>
      <c r="AF395" s="44"/>
      <c r="AG395" s="44"/>
      <c r="AH395" s="44"/>
      <c r="AI395" s="44"/>
      <c r="AJ395" s="44"/>
      <c r="AK395" s="44"/>
      <c r="AL395" s="44"/>
      <c r="AM395" s="44"/>
      <c r="AN395" s="44"/>
      <c r="AO395" s="44"/>
      <c r="AP395" s="44"/>
      <c r="AQ395" s="44"/>
      <c r="AR395" s="44"/>
      <c r="AS395" s="44"/>
    </row>
    <row r="396" spans="1:45">
      <c r="A396" s="214"/>
      <c r="B396" s="409" t="s">
        <v>106</v>
      </c>
      <c r="C396" s="98" t="s">
        <v>616</v>
      </c>
      <c r="D396" s="420" t="s">
        <v>735</v>
      </c>
      <c r="E396" s="421">
        <v>1</v>
      </c>
      <c r="F396" s="299" t="str">
        <f>""&amp;Table12[[#This Row],[TTM Stage]]&amp;Table12[[#This Row],[Task No.]]&amp;"-"&amp;Table12[[#This Row],[Type of activity]]&amp;"-"&amp;Table12[[#This Row],[TargetGroup]]</f>
        <v>PC1-M2- A-Young</v>
      </c>
      <c r="G396" s="178"/>
      <c r="H396" s="178"/>
      <c r="I396" s="179"/>
      <c r="J396" s="287"/>
      <c r="K396" s="272"/>
      <c r="L396" s="431"/>
      <c r="M396" s="427" t="s">
        <v>65</v>
      </c>
      <c r="N396" s="449" t="s">
        <v>622</v>
      </c>
      <c r="O396" s="180"/>
      <c r="P396" s="180"/>
      <c r="Q396" s="180"/>
      <c r="R396" s="180"/>
      <c r="S396" s="180"/>
      <c r="T396" s="174"/>
      <c r="U396" s="174"/>
      <c r="V396" s="174"/>
      <c r="W396" s="174"/>
      <c r="X396" s="174"/>
      <c r="Y396" s="174"/>
      <c r="Z396" s="174"/>
      <c r="AA396" s="174"/>
      <c r="AB396" s="174"/>
      <c r="AC396" s="174"/>
      <c r="AD396" s="174"/>
      <c r="AE396" s="181"/>
      <c r="AF396" s="44"/>
      <c r="AG396" s="44"/>
      <c r="AH396" s="44"/>
      <c r="AI396" s="44"/>
      <c r="AJ396" s="44"/>
      <c r="AK396" s="44"/>
      <c r="AL396" s="44"/>
      <c r="AM396" s="44"/>
      <c r="AN396" s="44"/>
      <c r="AO396" s="44"/>
      <c r="AP396" s="44"/>
      <c r="AQ396" s="44"/>
      <c r="AR396" s="44"/>
      <c r="AS396" s="44"/>
    </row>
    <row r="397" spans="1:45">
      <c r="A397" s="214"/>
      <c r="B397" s="409" t="s">
        <v>106</v>
      </c>
      <c r="C397" s="98" t="s">
        <v>616</v>
      </c>
      <c r="D397" s="420" t="s">
        <v>735</v>
      </c>
      <c r="E397" s="421">
        <v>2</v>
      </c>
      <c r="F397" s="299" t="str">
        <f>""&amp;Table12[[#This Row],[TTM Stage]]&amp;Table12[[#This Row],[Task No.]]&amp;"-"&amp;Table12[[#This Row],[Type of activity]]&amp;"-"&amp;Table12[[#This Row],[TargetGroup]]</f>
        <v>PC2-M2- A-Young</v>
      </c>
      <c r="G397" s="178"/>
      <c r="H397" s="178"/>
      <c r="I397" s="179"/>
      <c r="J397" s="287"/>
      <c r="K397" s="272"/>
      <c r="L397" s="431"/>
      <c r="M397" s="427" t="s">
        <v>65</v>
      </c>
      <c r="N397" s="449" t="s">
        <v>587</v>
      </c>
      <c r="O397" s="180"/>
      <c r="P397" s="180"/>
      <c r="Q397" s="180"/>
      <c r="R397" s="180"/>
      <c r="S397" s="180"/>
      <c r="T397" s="174"/>
      <c r="U397" s="174"/>
      <c r="V397" s="174"/>
      <c r="W397" s="174"/>
      <c r="X397" s="174"/>
      <c r="Y397" s="174"/>
      <c r="Z397" s="174"/>
      <c r="AA397" s="174"/>
      <c r="AB397" s="174"/>
      <c r="AC397" s="174"/>
      <c r="AD397" s="174"/>
      <c r="AE397" s="181"/>
      <c r="AF397" s="44"/>
      <c r="AG397" s="44"/>
      <c r="AH397" s="44"/>
      <c r="AI397" s="44"/>
      <c r="AJ397" s="44"/>
      <c r="AK397" s="44"/>
      <c r="AL397" s="44"/>
      <c r="AM397" s="44"/>
      <c r="AN397" s="44"/>
      <c r="AO397" s="44"/>
      <c r="AP397" s="44"/>
      <c r="AQ397" s="44"/>
      <c r="AR397" s="44"/>
      <c r="AS397" s="44"/>
    </row>
    <row r="398" spans="1:45">
      <c r="A398" s="214"/>
      <c r="B398" s="409" t="s">
        <v>106</v>
      </c>
      <c r="C398" s="98" t="s">
        <v>616</v>
      </c>
      <c r="D398" s="421" t="s">
        <v>743</v>
      </c>
      <c r="E398" s="421">
        <v>1</v>
      </c>
      <c r="F398" s="299" t="str">
        <f>""&amp;Table12[[#This Row],[TTM Stage]]&amp;Table12[[#This Row],[Task No.]]&amp;"-"&amp;Table12[[#This Row],[Type of activity]]&amp;"-"&amp;Table12[[#This Row],[TargetGroup]]</f>
        <v>C1-M2- A-Young</v>
      </c>
      <c r="G398" s="178"/>
      <c r="H398" s="178"/>
      <c r="I398" s="179"/>
      <c r="J398" s="287"/>
      <c r="K398" s="272"/>
      <c r="L398" s="431"/>
      <c r="M398" s="427" t="s">
        <v>65</v>
      </c>
      <c r="N398" s="449" t="s">
        <v>623</v>
      </c>
      <c r="O398" s="180"/>
      <c r="P398" s="180"/>
      <c r="Q398" s="180"/>
      <c r="R398" s="180"/>
      <c r="S398" s="180"/>
      <c r="T398" s="174"/>
      <c r="U398" s="174"/>
      <c r="V398" s="174"/>
      <c r="W398" s="174"/>
      <c r="X398" s="174"/>
      <c r="Y398" s="174"/>
      <c r="Z398" s="174"/>
      <c r="AA398" s="174"/>
      <c r="AB398" s="174"/>
      <c r="AC398" s="174"/>
      <c r="AD398" s="174"/>
      <c r="AE398" s="181"/>
      <c r="AF398" s="44"/>
      <c r="AG398" s="44"/>
      <c r="AH398" s="44"/>
      <c r="AI398" s="44"/>
      <c r="AJ398" s="44"/>
      <c r="AK398" s="44"/>
      <c r="AL398" s="44"/>
      <c r="AM398" s="44"/>
      <c r="AN398" s="44"/>
      <c r="AO398" s="44"/>
      <c r="AP398" s="44"/>
      <c r="AQ398" s="44"/>
      <c r="AR398" s="44"/>
      <c r="AS398" s="44"/>
    </row>
    <row r="399" spans="1:45">
      <c r="A399" s="214"/>
      <c r="B399" s="409" t="s">
        <v>106</v>
      </c>
      <c r="C399" s="98" t="s">
        <v>616</v>
      </c>
      <c r="D399" s="421" t="s">
        <v>743</v>
      </c>
      <c r="E399" s="421">
        <v>2</v>
      </c>
      <c r="F399" s="299" t="str">
        <f>""&amp;Table12[[#This Row],[TTM Stage]]&amp;Table12[[#This Row],[Task No.]]&amp;"-"&amp;Table12[[#This Row],[Type of activity]]&amp;"-"&amp;Table12[[#This Row],[TargetGroup]]</f>
        <v>C2-M2- A-Young</v>
      </c>
      <c r="G399" s="178"/>
      <c r="H399" s="178"/>
      <c r="I399" s="179"/>
      <c r="J399" s="287"/>
      <c r="K399" s="272"/>
      <c r="L399" s="431"/>
      <c r="M399" s="427" t="s">
        <v>65</v>
      </c>
      <c r="N399" s="449" t="s">
        <v>624</v>
      </c>
      <c r="O399" s="180"/>
      <c r="P399" s="180"/>
      <c r="Q399" s="180"/>
      <c r="R399" s="180"/>
      <c r="S399" s="180"/>
      <c r="T399" s="174"/>
      <c r="U399" s="174"/>
      <c r="V399" s="174"/>
      <c r="W399" s="174"/>
      <c r="X399" s="174"/>
      <c r="Y399" s="174"/>
      <c r="Z399" s="174"/>
      <c r="AA399" s="174"/>
      <c r="AB399" s="174"/>
      <c r="AC399" s="174"/>
      <c r="AD399" s="174"/>
      <c r="AE399" s="181"/>
      <c r="AF399" s="44"/>
      <c r="AG399" s="44"/>
      <c r="AH399" s="44"/>
      <c r="AI399" s="44"/>
      <c r="AJ399" s="44"/>
      <c r="AK399" s="44"/>
      <c r="AL399" s="44"/>
      <c r="AM399" s="44"/>
      <c r="AN399" s="44"/>
      <c r="AO399" s="44"/>
      <c r="AP399" s="44"/>
      <c r="AQ399" s="44"/>
      <c r="AR399" s="44"/>
      <c r="AS399" s="44"/>
    </row>
    <row r="400" spans="1:45">
      <c r="A400" s="214"/>
      <c r="B400" s="409" t="s">
        <v>106</v>
      </c>
      <c r="C400" s="98" t="s">
        <v>616</v>
      </c>
      <c r="D400" s="422" t="s">
        <v>750</v>
      </c>
      <c r="E400" s="421">
        <v>1</v>
      </c>
      <c r="F400" s="299" t="str">
        <f>""&amp;Table12[[#This Row],[TTM Stage]]&amp;Table12[[#This Row],[Task No.]]&amp;"-"&amp;Table12[[#This Row],[Type of activity]]&amp;"-"&amp;Table12[[#This Row],[TargetGroup]]</f>
        <v>P1-M2- A-Young</v>
      </c>
      <c r="G400" s="178"/>
      <c r="H400" s="178"/>
      <c r="I400" s="179"/>
      <c r="J400" s="287"/>
      <c r="K400" s="272"/>
      <c r="L400" s="431"/>
      <c r="M400" s="427" t="s">
        <v>65</v>
      </c>
      <c r="N400" s="449" t="s">
        <v>625</v>
      </c>
      <c r="O400" s="180"/>
      <c r="P400" s="180"/>
      <c r="Q400" s="180"/>
      <c r="R400" s="180"/>
      <c r="S400" s="180"/>
      <c r="T400" s="174"/>
      <c r="U400" s="174"/>
      <c r="V400" s="174"/>
      <c r="W400" s="174"/>
      <c r="X400" s="174"/>
      <c r="Y400" s="174"/>
      <c r="Z400" s="174"/>
      <c r="AA400" s="174"/>
      <c r="AB400" s="174"/>
      <c r="AC400" s="174"/>
      <c r="AD400" s="174"/>
      <c r="AE400" s="181"/>
      <c r="AF400" s="44"/>
      <c r="AG400" s="44"/>
      <c r="AH400" s="44"/>
      <c r="AI400" s="44"/>
      <c r="AJ400" s="44"/>
      <c r="AK400" s="44"/>
      <c r="AL400" s="44"/>
      <c r="AM400" s="44"/>
      <c r="AN400" s="44"/>
      <c r="AO400" s="44"/>
      <c r="AP400" s="44"/>
      <c r="AQ400" s="44"/>
      <c r="AR400" s="44"/>
      <c r="AS400" s="44"/>
    </row>
    <row r="401" spans="1:45">
      <c r="A401" s="214"/>
      <c r="B401" s="409" t="s">
        <v>106</v>
      </c>
      <c r="C401" s="98" t="s">
        <v>616</v>
      </c>
      <c r="D401" s="422" t="s">
        <v>750</v>
      </c>
      <c r="E401" s="421">
        <v>2</v>
      </c>
      <c r="F401" s="299" t="str">
        <f>""&amp;Table12[[#This Row],[TTM Stage]]&amp;Table12[[#This Row],[Task No.]]&amp;"-"&amp;Table12[[#This Row],[Type of activity]]&amp;"-"&amp;Table12[[#This Row],[TargetGroup]]</f>
        <v>P2-M2- A-Young</v>
      </c>
      <c r="G401" s="178"/>
      <c r="H401" s="178"/>
      <c r="I401" s="179"/>
      <c r="J401" s="287"/>
      <c r="K401" s="272"/>
      <c r="L401" s="431"/>
      <c r="M401" s="427" t="s">
        <v>65</v>
      </c>
      <c r="N401" s="449" t="s">
        <v>626</v>
      </c>
      <c r="O401" s="180"/>
      <c r="P401" s="180"/>
      <c r="Q401" s="180"/>
      <c r="R401" s="180"/>
      <c r="S401" s="180"/>
      <c r="T401" s="174"/>
      <c r="U401" s="174"/>
      <c r="V401" s="174"/>
      <c r="W401" s="174"/>
      <c r="X401" s="174"/>
      <c r="Y401" s="174"/>
      <c r="Z401" s="174"/>
      <c r="AA401" s="174"/>
      <c r="AB401" s="174"/>
      <c r="AC401" s="174"/>
      <c r="AD401" s="174"/>
      <c r="AE401" s="181"/>
      <c r="AF401" s="44"/>
      <c r="AG401" s="44"/>
      <c r="AH401" s="44"/>
      <c r="AI401" s="44"/>
      <c r="AJ401" s="44"/>
      <c r="AK401" s="44"/>
      <c r="AL401" s="44"/>
      <c r="AM401" s="44"/>
      <c r="AN401" s="44"/>
      <c r="AO401" s="44"/>
      <c r="AP401" s="44"/>
      <c r="AQ401" s="44"/>
      <c r="AR401" s="44"/>
      <c r="AS401" s="44"/>
    </row>
    <row r="402" spans="1:45">
      <c r="A402" s="214"/>
      <c r="B402" s="409" t="s">
        <v>106</v>
      </c>
      <c r="C402" s="98" t="s">
        <v>616</v>
      </c>
      <c r="D402" s="423" t="s">
        <v>764</v>
      </c>
      <c r="E402" s="421">
        <v>1</v>
      </c>
      <c r="F402" s="299" t="str">
        <f>""&amp;Table12[[#This Row],[TTM Stage]]&amp;Table12[[#This Row],[Task No.]]&amp;"-"&amp;Table12[[#This Row],[Type of activity]]&amp;"-"&amp;Table12[[#This Row],[TargetGroup]]</f>
        <v>A1-M2- A-Young</v>
      </c>
      <c r="G402" s="178"/>
      <c r="H402" s="178"/>
      <c r="I402" s="179"/>
      <c r="J402" s="287"/>
      <c r="K402" s="272"/>
      <c r="L402" s="431"/>
      <c r="M402" s="427" t="s">
        <v>65</v>
      </c>
      <c r="N402" s="449" t="s">
        <v>627</v>
      </c>
      <c r="O402" s="180"/>
      <c r="P402" s="180"/>
      <c r="Q402" s="180"/>
      <c r="R402" s="180"/>
      <c r="S402" s="180"/>
      <c r="T402" s="174"/>
      <c r="U402" s="174"/>
      <c r="V402" s="174"/>
      <c r="W402" s="174"/>
      <c r="X402" s="174"/>
      <c r="Y402" s="174"/>
      <c r="Z402" s="174"/>
      <c r="AA402" s="174"/>
      <c r="AB402" s="174"/>
      <c r="AC402" s="174"/>
      <c r="AD402" s="174"/>
      <c r="AE402" s="181"/>
      <c r="AF402" s="44"/>
      <c r="AG402" s="44"/>
      <c r="AH402" s="44"/>
      <c r="AI402" s="44"/>
      <c r="AJ402" s="44"/>
      <c r="AK402" s="44"/>
      <c r="AL402" s="44"/>
      <c r="AM402" s="44"/>
      <c r="AN402" s="44"/>
      <c r="AO402" s="44"/>
      <c r="AP402" s="44"/>
      <c r="AQ402" s="44"/>
      <c r="AR402" s="44"/>
      <c r="AS402" s="44"/>
    </row>
    <row r="403" spans="1:45">
      <c r="A403" s="214"/>
      <c r="B403" s="409" t="s">
        <v>106</v>
      </c>
      <c r="C403" s="98" t="s">
        <v>616</v>
      </c>
      <c r="D403" s="423" t="s">
        <v>764</v>
      </c>
      <c r="E403" s="421">
        <v>2</v>
      </c>
      <c r="F403" s="299" t="str">
        <f>""&amp;Table12[[#This Row],[TTM Stage]]&amp;Table12[[#This Row],[Task No.]]&amp;"-"&amp;Table12[[#This Row],[Type of activity]]&amp;"-"&amp;Table12[[#This Row],[TargetGroup]]</f>
        <v>A2-M2- A-Young</v>
      </c>
      <c r="G403" s="178"/>
      <c r="H403" s="178"/>
      <c r="I403" s="179"/>
      <c r="J403" s="287"/>
      <c r="K403" s="272"/>
      <c r="L403" s="431"/>
      <c r="M403" s="427" t="s">
        <v>65</v>
      </c>
      <c r="N403" s="449" t="s">
        <v>628</v>
      </c>
      <c r="O403" s="180"/>
      <c r="P403" s="180"/>
      <c r="Q403" s="180"/>
      <c r="R403" s="180"/>
      <c r="S403" s="180"/>
      <c r="T403" s="174"/>
      <c r="U403" s="174"/>
      <c r="V403" s="174"/>
      <c r="W403" s="174"/>
      <c r="X403" s="174"/>
      <c r="Y403" s="174"/>
      <c r="Z403" s="174"/>
      <c r="AA403" s="174"/>
      <c r="AB403" s="174"/>
      <c r="AC403" s="174"/>
      <c r="AD403" s="174"/>
      <c r="AE403" s="181"/>
      <c r="AF403" s="44"/>
      <c r="AG403" s="44"/>
      <c r="AH403" s="44"/>
      <c r="AI403" s="44"/>
      <c r="AJ403" s="44"/>
      <c r="AK403" s="44"/>
      <c r="AL403" s="44"/>
      <c r="AM403" s="44"/>
      <c r="AN403" s="44"/>
      <c r="AO403" s="44"/>
      <c r="AP403" s="44"/>
      <c r="AQ403" s="44"/>
      <c r="AR403" s="44"/>
      <c r="AS403" s="44"/>
    </row>
    <row r="404" spans="1:45">
      <c r="A404" s="214"/>
      <c r="B404" s="409" t="s">
        <v>106</v>
      </c>
      <c r="C404" s="98" t="s">
        <v>616</v>
      </c>
      <c r="D404" s="423" t="s">
        <v>764</v>
      </c>
      <c r="E404" s="421">
        <v>3</v>
      </c>
      <c r="F404" s="299" t="str">
        <f>""&amp;Table12[[#This Row],[TTM Stage]]&amp;Table12[[#This Row],[Task No.]]&amp;"-"&amp;Table12[[#This Row],[Type of activity]]&amp;"-"&amp;Table12[[#This Row],[TargetGroup]]</f>
        <v>A3-M2- A-Young</v>
      </c>
      <c r="G404" s="178"/>
      <c r="H404" s="178"/>
      <c r="I404" s="179"/>
      <c r="J404" s="287"/>
      <c r="K404" s="272"/>
      <c r="L404" s="431"/>
      <c r="M404" s="427" t="s">
        <v>65</v>
      </c>
      <c r="N404" s="449" t="s">
        <v>587</v>
      </c>
      <c r="O404" s="180"/>
      <c r="P404" s="180"/>
      <c r="Q404" s="180"/>
      <c r="R404" s="180"/>
      <c r="S404" s="180"/>
      <c r="T404" s="174"/>
      <c r="U404" s="174"/>
      <c r="V404" s="174"/>
      <c r="W404" s="174"/>
      <c r="X404" s="174"/>
      <c r="Y404" s="174"/>
      <c r="Z404" s="174"/>
      <c r="AA404" s="174"/>
      <c r="AB404" s="174"/>
      <c r="AC404" s="174"/>
      <c r="AD404" s="174"/>
      <c r="AE404" s="181"/>
      <c r="AF404" s="44"/>
      <c r="AG404" s="44"/>
      <c r="AH404" s="44"/>
      <c r="AI404" s="44"/>
      <c r="AJ404" s="44"/>
      <c r="AK404" s="44"/>
      <c r="AL404" s="44"/>
      <c r="AM404" s="44"/>
      <c r="AN404" s="44"/>
      <c r="AO404" s="44"/>
      <c r="AP404" s="44"/>
      <c r="AQ404" s="44"/>
      <c r="AR404" s="44"/>
      <c r="AS404" s="44"/>
    </row>
    <row r="405" spans="1:45">
      <c r="A405" s="214"/>
      <c r="B405" s="409" t="s">
        <v>106</v>
      </c>
      <c r="C405" s="98" t="s">
        <v>616</v>
      </c>
      <c r="D405" s="423" t="s">
        <v>764</v>
      </c>
      <c r="E405" s="421">
        <v>4</v>
      </c>
      <c r="F405" s="299" t="str">
        <f>""&amp;Table12[[#This Row],[TTM Stage]]&amp;Table12[[#This Row],[Task No.]]&amp;"-"&amp;Table12[[#This Row],[Type of activity]]&amp;"-"&amp;Table12[[#This Row],[TargetGroup]]</f>
        <v>A4-M2- A-Young</v>
      </c>
      <c r="G405" s="178"/>
      <c r="H405" s="178"/>
      <c r="I405" s="179"/>
      <c r="J405" s="287"/>
      <c r="K405" s="272"/>
      <c r="L405" s="431"/>
      <c r="M405" s="427" t="s">
        <v>65</v>
      </c>
      <c r="N405" s="449" t="s">
        <v>629</v>
      </c>
      <c r="O405" s="180"/>
      <c r="P405" s="180"/>
      <c r="Q405" s="180"/>
      <c r="R405" s="180"/>
      <c r="S405" s="180"/>
      <c r="T405" s="174"/>
      <c r="U405" s="174"/>
      <c r="V405" s="174"/>
      <c r="W405" s="174"/>
      <c r="X405" s="174"/>
      <c r="Y405" s="174"/>
      <c r="Z405" s="174"/>
      <c r="AA405" s="174"/>
      <c r="AB405" s="174"/>
      <c r="AC405" s="174"/>
      <c r="AD405" s="174"/>
      <c r="AE405" s="181"/>
      <c r="AF405" s="44"/>
      <c r="AG405" s="44"/>
      <c r="AH405" s="44"/>
      <c r="AI405" s="44"/>
      <c r="AJ405" s="44"/>
      <c r="AK405" s="44"/>
      <c r="AL405" s="44"/>
      <c r="AM405" s="44"/>
      <c r="AN405" s="44"/>
      <c r="AO405" s="44"/>
      <c r="AP405" s="44"/>
      <c r="AQ405" s="44"/>
      <c r="AR405" s="44"/>
      <c r="AS405" s="44"/>
    </row>
    <row r="406" spans="1:45">
      <c r="A406" s="214"/>
      <c r="B406" s="409" t="s">
        <v>106</v>
      </c>
      <c r="C406" s="98" t="s">
        <v>616</v>
      </c>
      <c r="D406" s="424" t="s">
        <v>778</v>
      </c>
      <c r="E406" s="421">
        <v>1</v>
      </c>
      <c r="F406" s="299" t="str">
        <f>""&amp;Table12[[#This Row],[TTM Stage]]&amp;Table12[[#This Row],[Task No.]]&amp;"-"&amp;Table12[[#This Row],[Type of activity]]&amp;"-"&amp;Table12[[#This Row],[TargetGroup]]</f>
        <v>M1-M2- A-Young</v>
      </c>
      <c r="G406" s="178"/>
      <c r="H406" s="178"/>
      <c r="I406" s="179"/>
      <c r="J406" s="287"/>
      <c r="K406" s="272"/>
      <c r="L406" s="431"/>
      <c r="M406" s="427" t="s">
        <v>65</v>
      </c>
      <c r="N406" s="449" t="s">
        <v>587</v>
      </c>
      <c r="O406" s="180"/>
      <c r="P406" s="180"/>
      <c r="Q406" s="180"/>
      <c r="R406" s="180"/>
      <c r="S406" s="180"/>
      <c r="T406" s="174"/>
      <c r="U406" s="174"/>
      <c r="V406" s="174"/>
      <c r="W406" s="174"/>
      <c r="X406" s="174"/>
      <c r="Y406" s="174"/>
      <c r="Z406" s="174"/>
      <c r="AA406" s="174"/>
      <c r="AB406" s="174"/>
      <c r="AC406" s="174"/>
      <c r="AD406" s="174"/>
      <c r="AE406" s="181"/>
      <c r="AF406" s="44"/>
      <c r="AG406" s="44"/>
      <c r="AH406" s="44"/>
      <c r="AI406" s="44"/>
      <c r="AJ406" s="44"/>
      <c r="AK406" s="44"/>
      <c r="AL406" s="44"/>
      <c r="AM406" s="44"/>
      <c r="AN406" s="44"/>
      <c r="AO406" s="44"/>
      <c r="AP406" s="44"/>
      <c r="AQ406" s="44"/>
      <c r="AR406" s="44"/>
      <c r="AS406" s="44"/>
    </row>
    <row r="407" spans="1:45">
      <c r="A407" s="214"/>
      <c r="B407" s="409" t="s">
        <v>106</v>
      </c>
      <c r="C407" s="98" t="s">
        <v>616</v>
      </c>
      <c r="D407" s="424" t="s">
        <v>778</v>
      </c>
      <c r="E407" s="421">
        <v>2</v>
      </c>
      <c r="F407" s="299" t="str">
        <f>""&amp;Table12[[#This Row],[TTM Stage]]&amp;Table12[[#This Row],[Task No.]]&amp;"-"&amp;Table12[[#This Row],[Type of activity]]&amp;"-"&amp;Table12[[#This Row],[TargetGroup]]</f>
        <v>M2-M2- A-Young</v>
      </c>
      <c r="G407" s="178"/>
      <c r="H407" s="178"/>
      <c r="I407" s="179"/>
      <c r="J407" s="287"/>
      <c r="K407" s="272"/>
      <c r="L407" s="431"/>
      <c r="M407" s="427" t="s">
        <v>65</v>
      </c>
      <c r="N407" s="449" t="s">
        <v>630</v>
      </c>
      <c r="O407" s="180"/>
      <c r="P407" s="180"/>
      <c r="Q407" s="180"/>
      <c r="R407" s="180"/>
      <c r="S407" s="180"/>
      <c r="T407" s="174"/>
      <c r="U407" s="174"/>
      <c r="V407" s="174"/>
      <c r="W407" s="174"/>
      <c r="X407" s="174"/>
      <c r="Y407" s="174"/>
      <c r="Z407" s="174"/>
      <c r="AA407" s="174"/>
      <c r="AB407" s="174"/>
      <c r="AC407" s="174"/>
      <c r="AD407" s="174"/>
      <c r="AE407" s="181"/>
      <c r="AF407" s="44"/>
      <c r="AG407" s="44"/>
      <c r="AH407" s="44"/>
      <c r="AI407" s="44"/>
      <c r="AJ407" s="44"/>
      <c r="AK407" s="44"/>
      <c r="AL407" s="44"/>
      <c r="AM407" s="44"/>
      <c r="AN407" s="44"/>
      <c r="AO407" s="44"/>
      <c r="AP407" s="44"/>
      <c r="AQ407" s="44"/>
      <c r="AR407" s="44"/>
      <c r="AS407" s="44"/>
    </row>
    <row r="408" spans="1:45">
      <c r="A408" s="214"/>
      <c r="B408" s="409" t="s">
        <v>106</v>
      </c>
      <c r="C408" s="98" t="s">
        <v>616</v>
      </c>
      <c r="D408" s="424" t="s">
        <v>778</v>
      </c>
      <c r="E408" s="421">
        <v>3</v>
      </c>
      <c r="F408" s="326" t="str">
        <f>""&amp;Table12[[#This Row],[TTM Stage]]&amp;Table12[[#This Row],[Task No.]]&amp;"-"&amp;Table12[[#This Row],[Type of activity]]&amp;"-"&amp;Table12[[#This Row],[TargetGroup]]</f>
        <v>M3-M2- A-Young</v>
      </c>
      <c r="G408" s="189"/>
      <c r="H408" s="189"/>
      <c r="I408" s="190"/>
      <c r="J408" s="415"/>
      <c r="K408" s="291"/>
      <c r="L408" s="431"/>
      <c r="M408" s="427" t="s">
        <v>65</v>
      </c>
      <c r="N408" s="452" t="s">
        <v>587</v>
      </c>
      <c r="O408" s="417"/>
      <c r="P408" s="417"/>
      <c r="Q408" s="417"/>
      <c r="R408" s="191"/>
      <c r="S408" s="191"/>
      <c r="T408" s="188"/>
      <c r="U408" s="188"/>
      <c r="V408" s="188"/>
      <c r="W408" s="188"/>
      <c r="X408" s="188"/>
      <c r="Y408" s="188"/>
      <c r="Z408" s="188"/>
      <c r="AA408" s="188"/>
      <c r="AB408" s="188"/>
      <c r="AC408" s="188"/>
      <c r="AD408" s="188"/>
      <c r="AE408" s="192"/>
      <c r="AF408" s="44"/>
      <c r="AG408" s="44"/>
      <c r="AH408" s="44"/>
      <c r="AI408" s="44"/>
      <c r="AJ408" s="44"/>
      <c r="AK408" s="44"/>
      <c r="AL408" s="44"/>
      <c r="AM408" s="44"/>
      <c r="AN408" s="44"/>
      <c r="AO408" s="44"/>
      <c r="AP408" s="44"/>
      <c r="AQ408" s="44"/>
      <c r="AR408" s="44"/>
      <c r="AS408" s="44"/>
    </row>
    <row r="409" spans="1:45">
      <c r="A409" s="214"/>
      <c r="B409" s="409" t="s">
        <v>106</v>
      </c>
      <c r="C409" s="98" t="s">
        <v>616</v>
      </c>
      <c r="D409" s="425" t="s">
        <v>778</v>
      </c>
      <c r="E409" s="426">
        <v>4</v>
      </c>
      <c r="F409" s="299" t="str">
        <f>""&amp;Table12[[#This Row],[TTM Stage]]&amp;Table12[[#This Row],[Task No.]]&amp;"-"&amp;Table12[[#This Row],[Type of activity]]&amp;"-"&amp;Table12[[#This Row],[TargetGroup]]</f>
        <v>M4-M2- A-Young</v>
      </c>
      <c r="G409" s="178"/>
      <c r="H409" s="178"/>
      <c r="I409" s="179"/>
      <c r="J409" s="287"/>
      <c r="K409" s="272"/>
      <c r="L409" s="431"/>
      <c r="M409" s="427" t="s">
        <v>65</v>
      </c>
      <c r="N409" s="449" t="s">
        <v>634</v>
      </c>
      <c r="O409" s="180"/>
      <c r="P409" s="180"/>
      <c r="Q409" s="180"/>
      <c r="R409" s="180"/>
      <c r="S409" s="180"/>
      <c r="T409" s="174"/>
      <c r="U409" s="174"/>
      <c r="V409" s="174"/>
      <c r="W409" s="174"/>
      <c r="X409" s="174"/>
      <c r="Y409" s="174"/>
      <c r="Z409" s="174"/>
      <c r="AA409" s="174"/>
      <c r="AB409" s="174"/>
      <c r="AC409" s="174"/>
      <c r="AD409" s="174"/>
      <c r="AE409" s="181"/>
      <c r="AF409" s="44"/>
      <c r="AG409" s="44"/>
      <c r="AH409" s="44"/>
      <c r="AI409" s="44"/>
      <c r="AJ409" s="44"/>
      <c r="AK409" s="44"/>
      <c r="AL409" s="44"/>
      <c r="AM409" s="44"/>
      <c r="AN409" s="44"/>
      <c r="AO409" s="44"/>
      <c r="AP409" s="44"/>
      <c r="AQ409" s="44"/>
      <c r="AR409" s="44"/>
      <c r="AS409" s="44"/>
    </row>
    <row r="410" spans="1:45">
      <c r="A410" s="214"/>
      <c r="B410" s="409" t="s">
        <v>106</v>
      </c>
      <c r="C410" s="98" t="s">
        <v>631</v>
      </c>
      <c r="D410" s="420" t="s">
        <v>735</v>
      </c>
      <c r="E410" s="421">
        <v>1</v>
      </c>
      <c r="F410" s="299" t="str">
        <f>""&amp;Table12[[#This Row],[TTM Stage]]&amp;Table12[[#This Row],[Task No.]]&amp;"-"&amp;Table12[[#This Row],[Type of activity]]&amp;"-"&amp;Table12[[#This Row],[TargetGroup]]</f>
        <v>PC1-M2 - B-Young</v>
      </c>
      <c r="G410" s="178"/>
      <c r="H410" s="178"/>
      <c r="I410" s="179"/>
      <c r="J410" s="287"/>
      <c r="K410" s="272"/>
      <c r="L410" s="431"/>
      <c r="M410" s="427" t="s">
        <v>65</v>
      </c>
      <c r="N410" s="449" t="s">
        <v>635</v>
      </c>
      <c r="O410" s="180"/>
      <c r="P410" s="180"/>
      <c r="Q410" s="180"/>
      <c r="R410" s="180"/>
      <c r="S410" s="180"/>
      <c r="T410" s="174"/>
      <c r="U410" s="174"/>
      <c r="V410" s="174"/>
      <c r="W410" s="174"/>
      <c r="X410" s="174"/>
      <c r="Y410" s="174"/>
      <c r="Z410" s="174"/>
      <c r="AA410" s="174"/>
      <c r="AB410" s="174"/>
      <c r="AC410" s="174"/>
      <c r="AD410" s="174"/>
      <c r="AE410" s="181"/>
      <c r="AF410" s="44"/>
      <c r="AG410" s="44"/>
      <c r="AH410" s="44"/>
      <c r="AI410" s="44"/>
      <c r="AJ410" s="44"/>
      <c r="AK410" s="44"/>
      <c r="AL410" s="44"/>
      <c r="AM410" s="44"/>
      <c r="AN410" s="44"/>
      <c r="AO410" s="44"/>
      <c r="AP410" s="44"/>
      <c r="AQ410" s="44"/>
      <c r="AR410" s="44"/>
      <c r="AS410" s="44"/>
    </row>
    <row r="411" spans="1:45">
      <c r="A411" s="214"/>
      <c r="B411" s="409" t="s">
        <v>106</v>
      </c>
      <c r="C411" s="98" t="s">
        <v>631</v>
      </c>
      <c r="D411" s="420" t="s">
        <v>735</v>
      </c>
      <c r="E411" s="421">
        <v>2</v>
      </c>
      <c r="F411" s="299" t="str">
        <f>""&amp;Table12[[#This Row],[TTM Stage]]&amp;Table12[[#This Row],[Task No.]]&amp;"-"&amp;Table12[[#This Row],[Type of activity]]&amp;"-"&amp;Table12[[#This Row],[TargetGroup]]</f>
        <v>PC2-M2 - B-Young</v>
      </c>
      <c r="G411" s="178"/>
      <c r="H411" s="178"/>
      <c r="I411" s="179"/>
      <c r="J411" s="287"/>
      <c r="K411" s="272"/>
      <c r="L411" s="431"/>
      <c r="M411" s="427" t="s">
        <v>65</v>
      </c>
      <c r="N411" s="449" t="s">
        <v>636</v>
      </c>
      <c r="O411" s="180"/>
      <c r="P411" s="180"/>
      <c r="Q411" s="180"/>
      <c r="R411" s="180"/>
      <c r="S411" s="180"/>
      <c r="T411" s="174"/>
      <c r="U411" s="174"/>
      <c r="V411" s="174"/>
      <c r="W411" s="174"/>
      <c r="X411" s="174"/>
      <c r="Y411" s="174"/>
      <c r="Z411" s="174"/>
      <c r="AA411" s="174"/>
      <c r="AB411" s="174"/>
      <c r="AC411" s="174"/>
      <c r="AD411" s="174"/>
      <c r="AE411" s="181"/>
      <c r="AF411" s="44"/>
      <c r="AG411" s="44"/>
      <c r="AH411" s="44"/>
      <c r="AI411" s="44"/>
      <c r="AJ411" s="44"/>
      <c r="AK411" s="44"/>
      <c r="AL411" s="44"/>
      <c r="AM411" s="44"/>
      <c r="AN411" s="44"/>
      <c r="AO411" s="44"/>
      <c r="AP411" s="44"/>
      <c r="AQ411" s="44"/>
      <c r="AR411" s="44"/>
      <c r="AS411" s="44"/>
    </row>
    <row r="412" spans="1:45">
      <c r="A412" s="214"/>
      <c r="B412" s="409" t="s">
        <v>106</v>
      </c>
      <c r="C412" s="98" t="s">
        <v>631</v>
      </c>
      <c r="D412" s="421" t="s">
        <v>743</v>
      </c>
      <c r="E412" s="421">
        <v>1</v>
      </c>
      <c r="F412" s="299" t="str">
        <f>""&amp;Table12[[#This Row],[TTM Stage]]&amp;Table12[[#This Row],[Task No.]]&amp;"-"&amp;Table12[[#This Row],[Type of activity]]&amp;"-"&amp;Table12[[#This Row],[TargetGroup]]</f>
        <v>C1-M2 - B-Young</v>
      </c>
      <c r="G412" s="178"/>
      <c r="H412" s="178"/>
      <c r="I412" s="179"/>
      <c r="J412" s="287"/>
      <c r="K412" s="272"/>
      <c r="L412" s="431"/>
      <c r="M412" s="427" t="s">
        <v>65</v>
      </c>
      <c r="N412" s="449" t="s">
        <v>637</v>
      </c>
      <c r="O412" s="180"/>
      <c r="P412" s="180"/>
      <c r="Q412" s="180"/>
      <c r="R412" s="180"/>
      <c r="S412" s="180"/>
      <c r="T412" s="174"/>
      <c r="U412" s="174"/>
      <c r="V412" s="174"/>
      <c r="W412" s="174"/>
      <c r="X412" s="174"/>
      <c r="Y412" s="174"/>
      <c r="Z412" s="174"/>
      <c r="AA412" s="174"/>
      <c r="AB412" s="174"/>
      <c r="AC412" s="174"/>
      <c r="AD412" s="174"/>
      <c r="AE412" s="181"/>
      <c r="AF412" s="44"/>
      <c r="AG412" s="44"/>
      <c r="AH412" s="44"/>
      <c r="AI412" s="44"/>
      <c r="AJ412" s="44"/>
      <c r="AK412" s="44"/>
      <c r="AL412" s="44"/>
      <c r="AM412" s="44"/>
      <c r="AN412" s="44"/>
      <c r="AO412" s="44"/>
      <c r="AP412" s="44"/>
      <c r="AQ412" s="44"/>
      <c r="AR412" s="44"/>
      <c r="AS412" s="44"/>
    </row>
    <row r="413" spans="1:45">
      <c r="A413" s="214"/>
      <c r="B413" s="409" t="s">
        <v>106</v>
      </c>
      <c r="C413" s="98" t="s">
        <v>631</v>
      </c>
      <c r="D413" s="421" t="s">
        <v>743</v>
      </c>
      <c r="E413" s="421">
        <v>2</v>
      </c>
      <c r="F413" s="299" t="str">
        <f>""&amp;Table12[[#This Row],[TTM Stage]]&amp;Table12[[#This Row],[Task No.]]&amp;"-"&amp;Table12[[#This Row],[Type of activity]]&amp;"-"&amp;Table12[[#This Row],[TargetGroup]]</f>
        <v>C2-M2 - B-Young</v>
      </c>
      <c r="G413" s="178"/>
      <c r="H413" s="178"/>
      <c r="I413" s="179"/>
      <c r="J413" s="287"/>
      <c r="K413" s="272"/>
      <c r="L413" s="431"/>
      <c r="M413" s="427" t="s">
        <v>65</v>
      </c>
      <c r="N413" s="449" t="s">
        <v>638</v>
      </c>
      <c r="O413" s="180"/>
      <c r="P413" s="180"/>
      <c r="Q413" s="180"/>
      <c r="R413" s="180"/>
      <c r="S413" s="180"/>
      <c r="T413" s="174"/>
      <c r="U413" s="174"/>
      <c r="V413" s="174"/>
      <c r="W413" s="174"/>
      <c r="X413" s="174"/>
      <c r="Y413" s="174"/>
      <c r="Z413" s="174"/>
      <c r="AA413" s="174"/>
      <c r="AB413" s="174"/>
      <c r="AC413" s="174"/>
      <c r="AD413" s="174"/>
      <c r="AE413" s="181"/>
      <c r="AF413" s="44"/>
      <c r="AG413" s="44"/>
      <c r="AH413" s="44"/>
      <c r="AI413" s="44"/>
      <c r="AJ413" s="44"/>
      <c r="AK413" s="44"/>
      <c r="AL413" s="44"/>
      <c r="AM413" s="44"/>
      <c r="AN413" s="44"/>
      <c r="AO413" s="44"/>
      <c r="AP413" s="44"/>
      <c r="AQ413" s="44"/>
      <c r="AR413" s="44"/>
      <c r="AS413" s="44"/>
    </row>
    <row r="414" spans="1:45">
      <c r="A414" s="214"/>
      <c r="B414" s="409" t="s">
        <v>106</v>
      </c>
      <c r="C414" s="98" t="s">
        <v>631</v>
      </c>
      <c r="D414" s="422" t="s">
        <v>750</v>
      </c>
      <c r="E414" s="421">
        <v>1</v>
      </c>
      <c r="F414" s="299" t="str">
        <f>""&amp;Table12[[#This Row],[TTM Stage]]&amp;Table12[[#This Row],[Task No.]]&amp;"-"&amp;Table12[[#This Row],[Type of activity]]&amp;"-"&amp;Table12[[#This Row],[TargetGroup]]</f>
        <v>P1-M2 - B-Young</v>
      </c>
      <c r="G414" s="178"/>
      <c r="H414" s="178"/>
      <c r="I414" s="179"/>
      <c r="J414" s="287"/>
      <c r="K414" s="272"/>
      <c r="L414" s="431"/>
      <c r="M414" s="427" t="s">
        <v>65</v>
      </c>
      <c r="N414" s="449" t="s">
        <v>639</v>
      </c>
      <c r="O414" s="180"/>
      <c r="P414" s="180"/>
      <c r="Q414" s="180"/>
      <c r="R414" s="180"/>
      <c r="S414" s="180"/>
      <c r="T414" s="174"/>
      <c r="U414" s="174"/>
      <c r="V414" s="174"/>
      <c r="W414" s="174"/>
      <c r="X414" s="174"/>
      <c r="Y414" s="174"/>
      <c r="Z414" s="174"/>
      <c r="AA414" s="174"/>
      <c r="AB414" s="174"/>
      <c r="AC414" s="174"/>
      <c r="AD414" s="174"/>
      <c r="AE414" s="181"/>
      <c r="AF414" s="44"/>
      <c r="AG414" s="44"/>
      <c r="AH414" s="44"/>
      <c r="AI414" s="44"/>
      <c r="AJ414" s="44"/>
      <c r="AK414" s="44"/>
      <c r="AL414" s="44"/>
      <c r="AM414" s="44"/>
      <c r="AN414" s="44"/>
      <c r="AO414" s="44"/>
      <c r="AP414" s="44"/>
      <c r="AQ414" s="44"/>
      <c r="AR414" s="44"/>
      <c r="AS414" s="44"/>
    </row>
    <row r="415" spans="1:45">
      <c r="A415" s="214"/>
      <c r="B415" s="409" t="s">
        <v>106</v>
      </c>
      <c r="C415" s="98" t="s">
        <v>631</v>
      </c>
      <c r="D415" s="422" t="s">
        <v>750</v>
      </c>
      <c r="E415" s="421">
        <v>2</v>
      </c>
      <c r="F415" s="299" t="str">
        <f>""&amp;Table12[[#This Row],[TTM Stage]]&amp;Table12[[#This Row],[Task No.]]&amp;"-"&amp;Table12[[#This Row],[Type of activity]]&amp;"-"&amp;Table12[[#This Row],[TargetGroup]]</f>
        <v>P2-M2 - B-Young</v>
      </c>
      <c r="G415" s="178"/>
      <c r="H415" s="178"/>
      <c r="I415" s="179"/>
      <c r="J415" s="287"/>
      <c r="K415" s="272"/>
      <c r="L415" s="431"/>
      <c r="M415" s="427" t="s">
        <v>65</v>
      </c>
      <c r="N415" s="449" t="s">
        <v>587</v>
      </c>
      <c r="O415" s="180"/>
      <c r="P415" s="180"/>
      <c r="Q415" s="180"/>
      <c r="R415" s="180"/>
      <c r="S415" s="180"/>
      <c r="T415" s="174"/>
      <c r="U415" s="174"/>
      <c r="V415" s="174"/>
      <c r="W415" s="174"/>
      <c r="X415" s="174"/>
      <c r="Y415" s="174"/>
      <c r="Z415" s="174"/>
      <c r="AA415" s="174"/>
      <c r="AB415" s="174"/>
      <c r="AC415" s="174"/>
      <c r="AD415" s="174"/>
      <c r="AE415" s="181"/>
      <c r="AF415" s="44"/>
      <c r="AG415" s="44"/>
      <c r="AH415" s="44"/>
      <c r="AI415" s="44"/>
      <c r="AJ415" s="44"/>
      <c r="AK415" s="44"/>
      <c r="AL415" s="44"/>
      <c r="AM415" s="44"/>
      <c r="AN415" s="44"/>
      <c r="AO415" s="44"/>
      <c r="AP415" s="44"/>
      <c r="AQ415" s="44"/>
      <c r="AR415" s="44"/>
      <c r="AS415" s="44"/>
    </row>
    <row r="416" spans="1:45">
      <c r="A416" s="214"/>
      <c r="B416" s="409" t="s">
        <v>106</v>
      </c>
      <c r="C416" s="98" t="s">
        <v>631</v>
      </c>
      <c r="D416" s="423" t="s">
        <v>764</v>
      </c>
      <c r="E416" s="421">
        <v>1</v>
      </c>
      <c r="F416" s="299" t="str">
        <f>""&amp;Table12[[#This Row],[TTM Stage]]&amp;Table12[[#This Row],[Task No.]]&amp;"-"&amp;Table12[[#This Row],[Type of activity]]&amp;"-"&amp;Table12[[#This Row],[TargetGroup]]</f>
        <v>A1-M2 - B-Young</v>
      </c>
      <c r="G416" s="178"/>
      <c r="H416" s="178"/>
      <c r="I416" s="179"/>
      <c r="J416" s="287"/>
      <c r="K416" s="272"/>
      <c r="L416" s="431"/>
      <c r="M416" s="427" t="s">
        <v>65</v>
      </c>
      <c r="N416" s="449" t="s">
        <v>640</v>
      </c>
      <c r="O416" s="180"/>
      <c r="P416" s="180"/>
      <c r="Q416" s="180"/>
      <c r="R416" s="180"/>
      <c r="S416" s="180"/>
      <c r="T416" s="174"/>
      <c r="U416" s="174"/>
      <c r="V416" s="174"/>
      <c r="W416" s="174"/>
      <c r="X416" s="174"/>
      <c r="Y416" s="174"/>
      <c r="Z416" s="174"/>
      <c r="AA416" s="174"/>
      <c r="AB416" s="174"/>
      <c r="AC416" s="174"/>
      <c r="AD416" s="174"/>
      <c r="AE416" s="181"/>
      <c r="AF416" s="44"/>
      <c r="AG416" s="44"/>
      <c r="AH416" s="44"/>
      <c r="AI416" s="44"/>
      <c r="AJ416" s="44"/>
      <c r="AK416" s="44"/>
      <c r="AL416" s="44"/>
      <c r="AM416" s="44"/>
      <c r="AN416" s="44"/>
      <c r="AO416" s="44"/>
      <c r="AP416" s="44"/>
      <c r="AQ416" s="44"/>
      <c r="AR416" s="44"/>
      <c r="AS416" s="44"/>
    </row>
    <row r="417" spans="1:45">
      <c r="A417" s="214"/>
      <c r="B417" s="409" t="s">
        <v>106</v>
      </c>
      <c r="C417" s="98" t="s">
        <v>631</v>
      </c>
      <c r="D417" s="423" t="s">
        <v>764</v>
      </c>
      <c r="E417" s="421">
        <v>2</v>
      </c>
      <c r="F417" s="299" t="str">
        <f>""&amp;Table12[[#This Row],[TTM Stage]]&amp;Table12[[#This Row],[Task No.]]&amp;"-"&amp;Table12[[#This Row],[Type of activity]]&amp;"-"&amp;Table12[[#This Row],[TargetGroup]]</f>
        <v>A2-M2 - B-Young</v>
      </c>
      <c r="G417" s="178"/>
      <c r="H417" s="178"/>
      <c r="I417" s="179"/>
      <c r="J417" s="287"/>
      <c r="K417" s="272"/>
      <c r="L417" s="431"/>
      <c r="M417" s="427" t="s">
        <v>65</v>
      </c>
      <c r="N417" s="449" t="s">
        <v>587</v>
      </c>
      <c r="O417" s="180"/>
      <c r="P417" s="180"/>
      <c r="Q417" s="180"/>
      <c r="R417" s="180"/>
      <c r="S417" s="180"/>
      <c r="T417" s="174"/>
      <c r="U417" s="174"/>
      <c r="V417" s="174"/>
      <c r="W417" s="174"/>
      <c r="X417" s="174"/>
      <c r="Y417" s="174"/>
      <c r="Z417" s="174"/>
      <c r="AA417" s="174"/>
      <c r="AB417" s="174"/>
      <c r="AC417" s="174"/>
      <c r="AD417" s="174"/>
      <c r="AE417" s="181"/>
      <c r="AF417" s="44"/>
      <c r="AG417" s="44"/>
      <c r="AH417" s="44"/>
      <c r="AI417" s="44"/>
      <c r="AJ417" s="44"/>
      <c r="AK417" s="44"/>
      <c r="AL417" s="44"/>
      <c r="AM417" s="44"/>
      <c r="AN417" s="44"/>
      <c r="AO417" s="44"/>
      <c r="AP417" s="44"/>
      <c r="AQ417" s="44"/>
      <c r="AR417" s="44"/>
      <c r="AS417" s="44"/>
    </row>
    <row r="418" spans="1:45">
      <c r="A418" s="214"/>
      <c r="B418" s="409" t="s">
        <v>106</v>
      </c>
      <c r="C418" s="98" t="s">
        <v>631</v>
      </c>
      <c r="D418" s="423" t="s">
        <v>764</v>
      </c>
      <c r="E418" s="421">
        <v>3</v>
      </c>
      <c r="F418" s="299" t="str">
        <f>""&amp;Table12[[#This Row],[TTM Stage]]&amp;Table12[[#This Row],[Task No.]]&amp;"-"&amp;Table12[[#This Row],[Type of activity]]&amp;"-"&amp;Table12[[#This Row],[TargetGroup]]</f>
        <v>A3-M2 - B-Young</v>
      </c>
      <c r="G418" s="178"/>
      <c r="H418" s="178"/>
      <c r="I418" s="179"/>
      <c r="J418" s="287"/>
      <c r="K418" s="272"/>
      <c r="L418" s="431"/>
      <c r="M418" s="427" t="s">
        <v>65</v>
      </c>
      <c r="N418" s="453" t="s">
        <v>641</v>
      </c>
      <c r="O418" s="418"/>
      <c r="P418" s="418"/>
      <c r="Q418" s="418"/>
      <c r="R418" s="180"/>
      <c r="S418" s="180"/>
      <c r="T418" s="174"/>
      <c r="U418" s="174"/>
      <c r="V418" s="174"/>
      <c r="W418" s="174"/>
      <c r="X418" s="174"/>
      <c r="Y418" s="174"/>
      <c r="Z418" s="174"/>
      <c r="AA418" s="174"/>
      <c r="AB418" s="174"/>
      <c r="AC418" s="174"/>
      <c r="AD418" s="174"/>
      <c r="AE418" s="181"/>
      <c r="AF418" s="44"/>
      <c r="AG418" s="44"/>
      <c r="AH418" s="44"/>
      <c r="AI418" s="44"/>
      <c r="AJ418" s="44"/>
      <c r="AK418" s="44"/>
      <c r="AL418" s="44"/>
      <c r="AM418" s="44"/>
      <c r="AN418" s="44"/>
      <c r="AO418" s="44"/>
      <c r="AP418" s="44"/>
      <c r="AQ418" s="44"/>
      <c r="AR418" s="44"/>
      <c r="AS418" s="44"/>
    </row>
    <row r="419" spans="1:45">
      <c r="A419" s="214"/>
      <c r="B419" s="409" t="s">
        <v>106</v>
      </c>
      <c r="C419" s="98" t="s">
        <v>631</v>
      </c>
      <c r="D419" s="423" t="s">
        <v>764</v>
      </c>
      <c r="E419" s="421">
        <v>4</v>
      </c>
      <c r="F419" s="299" t="str">
        <f>""&amp;Table12[[#This Row],[TTM Stage]]&amp;Table12[[#This Row],[Task No.]]&amp;"-"&amp;Table12[[#This Row],[Type of activity]]&amp;"-"&amp;Table12[[#This Row],[TargetGroup]]</f>
        <v>A4-M2 - B-Young</v>
      </c>
      <c r="G419" s="178"/>
      <c r="H419" s="178"/>
      <c r="I419" s="179"/>
      <c r="J419" s="287"/>
      <c r="K419" s="272"/>
      <c r="L419" s="431"/>
      <c r="M419" s="427" t="s">
        <v>65</v>
      </c>
      <c r="N419" s="449" t="s">
        <v>642</v>
      </c>
      <c r="O419" s="180"/>
      <c r="P419" s="180"/>
      <c r="Q419" s="180"/>
      <c r="R419" s="180"/>
      <c r="S419" s="180"/>
      <c r="T419" s="174"/>
      <c r="U419" s="174"/>
      <c r="V419" s="174"/>
      <c r="W419" s="174"/>
      <c r="X419" s="174"/>
      <c r="Y419" s="174"/>
      <c r="Z419" s="174"/>
      <c r="AA419" s="174"/>
      <c r="AB419" s="174"/>
      <c r="AC419" s="174"/>
      <c r="AD419" s="174"/>
      <c r="AE419" s="181"/>
      <c r="AF419" s="44"/>
      <c r="AG419" s="44"/>
      <c r="AH419" s="44"/>
      <c r="AI419" s="44"/>
      <c r="AJ419" s="44"/>
      <c r="AK419" s="44"/>
      <c r="AL419" s="44"/>
      <c r="AM419" s="44"/>
      <c r="AN419" s="44"/>
      <c r="AO419" s="44"/>
      <c r="AP419" s="44"/>
      <c r="AQ419" s="44"/>
      <c r="AR419" s="44"/>
      <c r="AS419" s="44"/>
    </row>
    <row r="420" spans="1:45">
      <c r="A420" s="214"/>
      <c r="B420" s="409" t="s">
        <v>106</v>
      </c>
      <c r="C420" s="98" t="s">
        <v>631</v>
      </c>
      <c r="D420" s="424" t="s">
        <v>778</v>
      </c>
      <c r="E420" s="421">
        <v>1</v>
      </c>
      <c r="F420" s="299" t="str">
        <f>""&amp;Table12[[#This Row],[TTM Stage]]&amp;Table12[[#This Row],[Task No.]]&amp;"-"&amp;Table12[[#This Row],[Type of activity]]&amp;"-"&amp;Table12[[#This Row],[TargetGroup]]</f>
        <v>M1-M2 - B-Young</v>
      </c>
      <c r="G420" s="178"/>
      <c r="H420" s="178"/>
      <c r="I420" s="179"/>
      <c r="J420" s="287"/>
      <c r="K420" s="272"/>
      <c r="L420" s="431"/>
      <c r="M420" s="427" t="s">
        <v>65</v>
      </c>
      <c r="N420" s="449" t="s">
        <v>587</v>
      </c>
      <c r="O420" s="180"/>
      <c r="P420" s="180"/>
      <c r="Q420" s="180"/>
      <c r="R420" s="180"/>
      <c r="S420" s="180"/>
      <c r="T420" s="174"/>
      <c r="U420" s="174"/>
      <c r="V420" s="174"/>
      <c r="W420" s="174"/>
      <c r="X420" s="174"/>
      <c r="Y420" s="174"/>
      <c r="Z420" s="174"/>
      <c r="AA420" s="174"/>
      <c r="AB420" s="174"/>
      <c r="AC420" s="174"/>
      <c r="AD420" s="174"/>
      <c r="AE420" s="181"/>
      <c r="AF420" s="44"/>
      <c r="AG420" s="44"/>
      <c r="AH420" s="44"/>
      <c r="AI420" s="44"/>
      <c r="AJ420" s="44"/>
      <c r="AK420" s="44"/>
      <c r="AL420" s="44"/>
      <c r="AM420" s="44"/>
      <c r="AN420" s="44"/>
      <c r="AO420" s="44"/>
      <c r="AP420" s="44"/>
      <c r="AQ420" s="44"/>
      <c r="AR420" s="44"/>
      <c r="AS420" s="44"/>
    </row>
    <row r="421" spans="1:45">
      <c r="A421" s="214"/>
      <c r="B421" s="409" t="s">
        <v>106</v>
      </c>
      <c r="C421" s="98" t="s">
        <v>631</v>
      </c>
      <c r="D421" s="424" t="s">
        <v>778</v>
      </c>
      <c r="E421" s="421">
        <v>2</v>
      </c>
      <c r="F421" s="299" t="str">
        <f>""&amp;Table12[[#This Row],[TTM Stage]]&amp;Table12[[#This Row],[Task No.]]&amp;"-"&amp;Table12[[#This Row],[Type of activity]]&amp;"-"&amp;Table12[[#This Row],[TargetGroup]]</f>
        <v>M2-M2 - B-Young</v>
      </c>
      <c r="G421" s="178"/>
      <c r="H421" s="178"/>
      <c r="I421" s="179"/>
      <c r="J421" s="287"/>
      <c r="K421" s="272"/>
      <c r="L421" s="431"/>
      <c r="M421" s="427" t="s">
        <v>65</v>
      </c>
      <c r="N421" s="449" t="s">
        <v>643</v>
      </c>
      <c r="O421" s="180"/>
      <c r="P421" s="180"/>
      <c r="Q421" s="180"/>
      <c r="R421" s="180"/>
      <c r="S421" s="180"/>
      <c r="T421" s="174"/>
      <c r="U421" s="174"/>
      <c r="V421" s="174"/>
      <c r="W421" s="174"/>
      <c r="X421" s="174"/>
      <c r="Y421" s="174"/>
      <c r="Z421" s="174"/>
      <c r="AA421" s="174"/>
      <c r="AB421" s="174"/>
      <c r="AC421" s="174"/>
      <c r="AD421" s="174"/>
      <c r="AE421" s="181"/>
      <c r="AF421" s="44"/>
      <c r="AG421" s="44"/>
      <c r="AH421" s="44"/>
      <c r="AI421" s="44"/>
      <c r="AJ421" s="44"/>
      <c r="AK421" s="44"/>
      <c r="AL421" s="44"/>
      <c r="AM421" s="44"/>
      <c r="AN421" s="44"/>
      <c r="AO421" s="44"/>
      <c r="AP421" s="44"/>
      <c r="AQ421" s="44"/>
      <c r="AR421" s="44"/>
      <c r="AS421" s="44"/>
    </row>
    <row r="422" spans="1:45">
      <c r="A422" s="214"/>
      <c r="B422" s="409" t="s">
        <v>106</v>
      </c>
      <c r="C422" s="98" t="s">
        <v>631</v>
      </c>
      <c r="D422" s="424" t="s">
        <v>778</v>
      </c>
      <c r="E422" s="421">
        <v>3</v>
      </c>
      <c r="F422" s="326" t="str">
        <f>""&amp;Table12[[#This Row],[TTM Stage]]&amp;Table12[[#This Row],[Task No.]]&amp;"-"&amp;Table12[[#This Row],[Type of activity]]&amp;"-"&amp;Table12[[#This Row],[TargetGroup]]</f>
        <v>M3-M2 - B-Young</v>
      </c>
      <c r="G422" s="189"/>
      <c r="H422" s="189"/>
      <c r="I422" s="190"/>
      <c r="J422" s="415"/>
      <c r="K422" s="291"/>
      <c r="L422" s="431"/>
      <c r="M422" s="427" t="s">
        <v>65</v>
      </c>
      <c r="N422" s="452" t="s">
        <v>644</v>
      </c>
      <c r="O422" s="417"/>
      <c r="P422" s="417"/>
      <c r="Q422" s="417"/>
      <c r="R422" s="191"/>
      <c r="S422" s="191"/>
      <c r="T422" s="188"/>
      <c r="U422" s="188"/>
      <c r="V422" s="188"/>
      <c r="W422" s="188"/>
      <c r="X422" s="188"/>
      <c r="Y422" s="188"/>
      <c r="Z422" s="188"/>
      <c r="AA422" s="188"/>
      <c r="AB422" s="188"/>
      <c r="AC422" s="188"/>
      <c r="AD422" s="188"/>
      <c r="AE422" s="192"/>
      <c r="AF422" s="44"/>
      <c r="AG422" s="44"/>
      <c r="AH422" s="44"/>
      <c r="AI422" s="44"/>
      <c r="AJ422" s="44"/>
      <c r="AK422" s="44"/>
      <c r="AL422" s="44"/>
      <c r="AM422" s="44"/>
      <c r="AN422" s="44"/>
      <c r="AO422" s="44"/>
      <c r="AP422" s="44"/>
      <c r="AQ422" s="44"/>
      <c r="AR422" s="44"/>
      <c r="AS422" s="44"/>
    </row>
    <row r="423" spans="1:45">
      <c r="A423" s="214"/>
      <c r="B423" s="409" t="s">
        <v>106</v>
      </c>
      <c r="C423" s="98" t="s">
        <v>631</v>
      </c>
      <c r="D423" s="425" t="s">
        <v>778</v>
      </c>
      <c r="E423" s="426">
        <v>4</v>
      </c>
      <c r="F423" s="299" t="str">
        <f>""&amp;Table12[[#This Row],[TTM Stage]]&amp;Table12[[#This Row],[Task No.]]&amp;"-"&amp;Table12[[#This Row],[Type of activity]]&amp;"-"&amp;Table12[[#This Row],[TargetGroup]]</f>
        <v>M4-M2 - B-Young</v>
      </c>
      <c r="G423" s="178"/>
      <c r="H423" s="178"/>
      <c r="I423" s="179"/>
      <c r="J423" s="287"/>
      <c r="K423" s="272"/>
      <c r="L423" s="431"/>
      <c r="M423" s="427" t="s">
        <v>65</v>
      </c>
      <c r="N423" s="448" t="s">
        <v>649</v>
      </c>
      <c r="O423" s="414"/>
      <c r="P423" s="414"/>
      <c r="Q423" s="414"/>
      <c r="R423" s="180"/>
      <c r="S423" s="180"/>
      <c r="T423" s="174"/>
      <c r="U423" s="174"/>
      <c r="V423" s="174"/>
      <c r="W423" s="174"/>
      <c r="X423" s="174"/>
      <c r="Y423" s="174"/>
      <c r="Z423" s="174"/>
      <c r="AA423" s="174"/>
      <c r="AB423" s="174"/>
      <c r="AC423" s="174"/>
      <c r="AD423" s="174"/>
      <c r="AE423" s="181"/>
      <c r="AF423" s="44"/>
      <c r="AG423" s="44"/>
      <c r="AH423" s="44"/>
      <c r="AI423" s="44"/>
      <c r="AJ423" s="44"/>
      <c r="AK423" s="44"/>
      <c r="AL423" s="44"/>
      <c r="AM423" s="44"/>
      <c r="AN423" s="44"/>
      <c r="AO423" s="44"/>
      <c r="AP423" s="44"/>
      <c r="AQ423" s="44"/>
      <c r="AR423" s="44"/>
      <c r="AS423" s="44"/>
    </row>
    <row r="424" spans="1:45">
      <c r="A424" s="214"/>
      <c r="B424" s="410" t="s">
        <v>110</v>
      </c>
      <c r="C424" s="99" t="s">
        <v>646</v>
      </c>
      <c r="D424" s="420" t="s">
        <v>735</v>
      </c>
      <c r="E424" s="421">
        <v>1</v>
      </c>
      <c r="F424" s="299" t="str">
        <f>""&amp;Table12[[#This Row],[TTM Stage]]&amp;Table12[[#This Row],[Task No.]]&amp;"-"&amp;Table12[[#This Row],[Type of activity]]&amp;"-"&amp;Table12[[#This Row],[TargetGroup]]</f>
        <v>PC1-M3 - A-Young</v>
      </c>
      <c r="G424" s="178"/>
      <c r="H424" s="178"/>
      <c r="I424" s="179"/>
      <c r="J424" s="287"/>
      <c r="K424" s="272"/>
      <c r="L424" s="431"/>
      <c r="M424" s="427" t="s">
        <v>65</v>
      </c>
      <c r="N424" s="448" t="s">
        <v>650</v>
      </c>
      <c r="O424" s="414"/>
      <c r="P424" s="414"/>
      <c r="Q424" s="414"/>
      <c r="R424" s="180"/>
      <c r="S424" s="180"/>
      <c r="T424" s="174"/>
      <c r="U424" s="174"/>
      <c r="V424" s="174"/>
      <c r="W424" s="174"/>
      <c r="X424" s="174"/>
      <c r="Y424" s="174"/>
      <c r="Z424" s="174"/>
      <c r="AA424" s="174"/>
      <c r="AB424" s="174"/>
      <c r="AC424" s="174"/>
      <c r="AD424" s="174"/>
      <c r="AE424" s="181"/>
      <c r="AF424" s="44"/>
      <c r="AG424" s="44"/>
      <c r="AH424" s="44"/>
      <c r="AI424" s="44"/>
      <c r="AJ424" s="44"/>
      <c r="AK424" s="44"/>
      <c r="AL424" s="44"/>
      <c r="AM424" s="44"/>
      <c r="AN424" s="44"/>
      <c r="AO424" s="44"/>
      <c r="AP424" s="44"/>
      <c r="AQ424" s="44"/>
      <c r="AR424" s="44"/>
      <c r="AS424" s="44"/>
    </row>
    <row r="425" spans="1:45">
      <c r="A425" s="214"/>
      <c r="B425" s="410" t="s">
        <v>110</v>
      </c>
      <c r="C425" s="99" t="s">
        <v>646</v>
      </c>
      <c r="D425" s="420" t="s">
        <v>735</v>
      </c>
      <c r="E425" s="421">
        <v>2</v>
      </c>
      <c r="F425" s="299" t="str">
        <f>""&amp;Table12[[#This Row],[TTM Stage]]&amp;Table12[[#This Row],[Task No.]]&amp;"-"&amp;Table12[[#This Row],[Type of activity]]&amp;"-"&amp;Table12[[#This Row],[TargetGroup]]</f>
        <v>PC2-M3 - A-Young</v>
      </c>
      <c r="G425" s="178"/>
      <c r="H425" s="178"/>
      <c r="I425" s="179"/>
      <c r="J425" s="287"/>
      <c r="K425" s="272"/>
      <c r="L425" s="431"/>
      <c r="M425" s="427" t="s">
        <v>65</v>
      </c>
      <c r="N425" s="448" t="s">
        <v>651</v>
      </c>
      <c r="O425" s="414"/>
      <c r="P425" s="414"/>
      <c r="Q425" s="414"/>
      <c r="R425" s="180"/>
      <c r="S425" s="180"/>
      <c r="T425" s="174"/>
      <c r="U425" s="174"/>
      <c r="V425" s="174"/>
      <c r="W425" s="174"/>
      <c r="X425" s="174"/>
      <c r="Y425" s="174"/>
      <c r="Z425" s="174"/>
      <c r="AA425" s="174"/>
      <c r="AB425" s="174"/>
      <c r="AC425" s="174"/>
      <c r="AD425" s="174"/>
      <c r="AE425" s="181"/>
      <c r="AF425" s="44"/>
      <c r="AG425" s="44"/>
      <c r="AH425" s="44"/>
      <c r="AI425" s="44"/>
      <c r="AJ425" s="44"/>
      <c r="AK425" s="44"/>
      <c r="AL425" s="44"/>
      <c r="AM425" s="44"/>
      <c r="AN425" s="44"/>
      <c r="AO425" s="44"/>
      <c r="AP425" s="44"/>
      <c r="AQ425" s="44"/>
      <c r="AR425" s="44"/>
      <c r="AS425" s="44"/>
    </row>
    <row r="426" spans="1:45">
      <c r="A426" s="214"/>
      <c r="B426" s="410" t="s">
        <v>110</v>
      </c>
      <c r="C426" s="99" t="s">
        <v>646</v>
      </c>
      <c r="D426" s="421" t="s">
        <v>743</v>
      </c>
      <c r="E426" s="421">
        <v>1</v>
      </c>
      <c r="F426" s="299" t="str">
        <f>""&amp;Table12[[#This Row],[TTM Stage]]&amp;Table12[[#This Row],[Task No.]]&amp;"-"&amp;Table12[[#This Row],[Type of activity]]&amp;"-"&amp;Table12[[#This Row],[TargetGroup]]</f>
        <v>C1-M3 - A-Young</v>
      </c>
      <c r="G426" s="178"/>
      <c r="H426" s="178"/>
      <c r="I426" s="179"/>
      <c r="J426" s="287"/>
      <c r="K426" s="272"/>
      <c r="L426" s="431"/>
      <c r="M426" s="427" t="s">
        <v>65</v>
      </c>
      <c r="N426" s="454" t="s">
        <v>587</v>
      </c>
      <c r="O426" s="419"/>
      <c r="P426" s="419"/>
      <c r="Q426" s="419"/>
      <c r="R426" s="180"/>
      <c r="S426" s="180"/>
      <c r="T426" s="174"/>
      <c r="U426" s="174"/>
      <c r="V426" s="174"/>
      <c r="W426" s="174"/>
      <c r="X426" s="174"/>
      <c r="Y426" s="174"/>
      <c r="Z426" s="174"/>
      <c r="AA426" s="174"/>
      <c r="AB426" s="174"/>
      <c r="AC426" s="174"/>
      <c r="AD426" s="174"/>
      <c r="AE426" s="181"/>
      <c r="AF426" s="44"/>
      <c r="AG426" s="44"/>
      <c r="AH426" s="44"/>
      <c r="AI426" s="44"/>
      <c r="AJ426" s="44"/>
      <c r="AK426" s="44"/>
      <c r="AL426" s="44"/>
      <c r="AM426" s="44"/>
      <c r="AN426" s="44"/>
      <c r="AO426" s="44"/>
      <c r="AP426" s="44"/>
      <c r="AQ426" s="44"/>
      <c r="AR426" s="44"/>
      <c r="AS426" s="44"/>
    </row>
    <row r="427" spans="1:45">
      <c r="A427" s="214"/>
      <c r="B427" s="410" t="s">
        <v>110</v>
      </c>
      <c r="C427" s="99" t="s">
        <v>646</v>
      </c>
      <c r="D427" s="421" t="s">
        <v>743</v>
      </c>
      <c r="E427" s="421">
        <v>2</v>
      </c>
      <c r="F427" s="299" t="str">
        <f>""&amp;Table12[[#This Row],[TTM Stage]]&amp;Table12[[#This Row],[Task No.]]&amp;"-"&amp;Table12[[#This Row],[Type of activity]]&amp;"-"&amp;Table12[[#This Row],[TargetGroup]]</f>
        <v>C2-M3 - A-Young</v>
      </c>
      <c r="G427" s="178"/>
      <c r="H427" s="178"/>
      <c r="I427" s="179"/>
      <c r="J427" s="287"/>
      <c r="K427" s="272"/>
      <c r="L427" s="431"/>
      <c r="M427" s="427" t="s">
        <v>65</v>
      </c>
      <c r="N427" s="449" t="s">
        <v>652</v>
      </c>
      <c r="O427" s="180"/>
      <c r="P427" s="180"/>
      <c r="Q427" s="180"/>
      <c r="R427" s="180"/>
      <c r="S427" s="180"/>
      <c r="T427" s="174"/>
      <c r="U427" s="174"/>
      <c r="V427" s="174"/>
      <c r="W427" s="174"/>
      <c r="X427" s="174"/>
      <c r="Y427" s="174"/>
      <c r="Z427" s="174"/>
      <c r="AA427" s="174"/>
      <c r="AB427" s="174"/>
      <c r="AC427" s="174"/>
      <c r="AD427" s="174"/>
      <c r="AE427" s="181"/>
      <c r="AF427" s="44"/>
      <c r="AG427" s="44"/>
      <c r="AH427" s="44"/>
      <c r="AI427" s="44"/>
      <c r="AJ427" s="44"/>
      <c r="AK427" s="44"/>
      <c r="AL427" s="44"/>
      <c r="AM427" s="44"/>
      <c r="AN427" s="44"/>
      <c r="AO427" s="44"/>
      <c r="AP427" s="44"/>
      <c r="AQ427" s="44"/>
      <c r="AR427" s="44"/>
      <c r="AS427" s="44"/>
    </row>
    <row r="428" spans="1:45">
      <c r="A428" s="214"/>
      <c r="B428" s="410" t="s">
        <v>110</v>
      </c>
      <c r="C428" s="99" t="s">
        <v>646</v>
      </c>
      <c r="D428" s="422" t="s">
        <v>750</v>
      </c>
      <c r="E428" s="421">
        <v>1</v>
      </c>
      <c r="F428" s="299" t="str">
        <f>""&amp;Table12[[#This Row],[TTM Stage]]&amp;Table12[[#This Row],[Task No.]]&amp;"-"&amp;Table12[[#This Row],[Type of activity]]&amp;"-"&amp;Table12[[#This Row],[TargetGroup]]</f>
        <v>P1-M3 - A-Young</v>
      </c>
      <c r="G428" s="178"/>
      <c r="H428" s="178"/>
      <c r="I428" s="179"/>
      <c r="J428" s="287"/>
      <c r="K428" s="272"/>
      <c r="L428" s="431"/>
      <c r="M428" s="427" t="s">
        <v>65</v>
      </c>
      <c r="N428" s="454" t="s">
        <v>653</v>
      </c>
      <c r="O428" s="419"/>
      <c r="P428" s="419"/>
      <c r="Q428" s="419"/>
      <c r="R428" s="180"/>
      <c r="S428" s="180"/>
      <c r="T428" s="174"/>
      <c r="U428" s="174"/>
      <c r="V428" s="174"/>
      <c r="W428" s="174"/>
      <c r="X428" s="174"/>
      <c r="Y428" s="174"/>
      <c r="Z428" s="174"/>
      <c r="AA428" s="174"/>
      <c r="AB428" s="174"/>
      <c r="AC428" s="174"/>
      <c r="AD428" s="174"/>
      <c r="AE428" s="181"/>
      <c r="AF428" s="44"/>
      <c r="AG428" s="44"/>
      <c r="AH428" s="44"/>
      <c r="AI428" s="44"/>
      <c r="AJ428" s="44"/>
      <c r="AK428" s="44"/>
      <c r="AL428" s="44"/>
      <c r="AM428" s="44"/>
      <c r="AN428" s="44"/>
      <c r="AO428" s="44"/>
      <c r="AP428" s="44"/>
      <c r="AQ428" s="44"/>
      <c r="AR428" s="44"/>
      <c r="AS428" s="44"/>
    </row>
    <row r="429" spans="1:45">
      <c r="A429" s="214"/>
      <c r="B429" s="410" t="s">
        <v>110</v>
      </c>
      <c r="C429" s="99" t="s">
        <v>646</v>
      </c>
      <c r="D429" s="422" t="s">
        <v>750</v>
      </c>
      <c r="E429" s="421">
        <v>2</v>
      </c>
      <c r="F429" s="299" t="str">
        <f>""&amp;Table12[[#This Row],[TTM Stage]]&amp;Table12[[#This Row],[Task No.]]&amp;"-"&amp;Table12[[#This Row],[Type of activity]]&amp;"-"&amp;Table12[[#This Row],[TargetGroup]]</f>
        <v>P2-M3 - A-Young</v>
      </c>
      <c r="G429" s="178"/>
      <c r="H429" s="178"/>
      <c r="I429" s="179"/>
      <c r="J429" s="287"/>
      <c r="K429" s="272"/>
      <c r="L429" s="431"/>
      <c r="M429" s="427" t="s">
        <v>65</v>
      </c>
      <c r="N429" s="448" t="s">
        <v>654</v>
      </c>
      <c r="O429" s="414"/>
      <c r="P429" s="414"/>
      <c r="Q429" s="414"/>
      <c r="R429" s="180"/>
      <c r="S429" s="180"/>
      <c r="T429" s="174"/>
      <c r="U429" s="174"/>
      <c r="V429" s="174"/>
      <c r="W429" s="174"/>
      <c r="X429" s="174"/>
      <c r="Y429" s="174"/>
      <c r="Z429" s="174"/>
      <c r="AA429" s="174"/>
      <c r="AB429" s="174"/>
      <c r="AC429" s="174"/>
      <c r="AD429" s="174"/>
      <c r="AE429" s="181"/>
      <c r="AF429" s="44"/>
      <c r="AG429" s="44"/>
      <c r="AH429" s="44"/>
      <c r="AI429" s="44"/>
      <c r="AJ429" s="44"/>
      <c r="AK429" s="44"/>
      <c r="AL429" s="44"/>
      <c r="AM429" s="44"/>
      <c r="AN429" s="44"/>
      <c r="AO429" s="44"/>
      <c r="AP429" s="44"/>
      <c r="AQ429" s="44"/>
      <c r="AR429" s="44"/>
      <c r="AS429" s="44"/>
    </row>
    <row r="430" spans="1:45">
      <c r="A430" s="214"/>
      <c r="B430" s="410" t="s">
        <v>110</v>
      </c>
      <c r="C430" s="99" t="s">
        <v>646</v>
      </c>
      <c r="D430" s="423" t="s">
        <v>764</v>
      </c>
      <c r="E430" s="421">
        <v>1</v>
      </c>
      <c r="F430" s="299" t="str">
        <f>""&amp;Table12[[#This Row],[TTM Stage]]&amp;Table12[[#This Row],[Task No.]]&amp;"-"&amp;Table12[[#This Row],[Type of activity]]&amp;"-"&amp;Table12[[#This Row],[TargetGroup]]</f>
        <v>A1-M3 - A-Young</v>
      </c>
      <c r="G430" s="178"/>
      <c r="H430" s="178"/>
      <c r="I430" s="179"/>
      <c r="J430" s="287"/>
      <c r="K430" s="272"/>
      <c r="L430" s="431"/>
      <c r="M430" s="427" t="s">
        <v>65</v>
      </c>
      <c r="N430" s="448" t="s">
        <v>655</v>
      </c>
      <c r="O430" s="414"/>
      <c r="P430" s="414"/>
      <c r="Q430" s="414"/>
      <c r="R430" s="180"/>
      <c r="S430" s="180"/>
      <c r="T430" s="174"/>
      <c r="U430" s="174"/>
      <c r="V430" s="174"/>
      <c r="W430" s="174"/>
      <c r="X430" s="174"/>
      <c r="Y430" s="174"/>
      <c r="Z430" s="174"/>
      <c r="AA430" s="174"/>
      <c r="AB430" s="174"/>
      <c r="AC430" s="174"/>
      <c r="AD430" s="174"/>
      <c r="AE430" s="181"/>
      <c r="AF430" s="44"/>
      <c r="AG430" s="44"/>
      <c r="AH430" s="44"/>
      <c r="AI430" s="44"/>
      <c r="AJ430" s="44"/>
      <c r="AK430" s="44"/>
      <c r="AL430" s="44"/>
      <c r="AM430" s="44"/>
      <c r="AN430" s="44"/>
      <c r="AO430" s="44"/>
      <c r="AP430" s="44"/>
      <c r="AQ430" s="44"/>
      <c r="AR430" s="44"/>
      <c r="AS430" s="44"/>
    </row>
    <row r="431" spans="1:45">
      <c r="A431" s="214"/>
      <c r="B431" s="410" t="s">
        <v>110</v>
      </c>
      <c r="C431" s="99" t="s">
        <v>646</v>
      </c>
      <c r="D431" s="423" t="s">
        <v>764</v>
      </c>
      <c r="E431" s="421">
        <v>2</v>
      </c>
      <c r="F431" s="299" t="str">
        <f>""&amp;Table12[[#This Row],[TTM Stage]]&amp;Table12[[#This Row],[Task No.]]&amp;"-"&amp;Table12[[#This Row],[Type of activity]]&amp;"-"&amp;Table12[[#This Row],[TargetGroup]]</f>
        <v>A2-M3 - A-Young</v>
      </c>
      <c r="G431" s="178"/>
      <c r="H431" s="178"/>
      <c r="I431" s="179"/>
      <c r="J431" s="287"/>
      <c r="K431" s="272"/>
      <c r="L431" s="431"/>
      <c r="M431" s="427" t="s">
        <v>65</v>
      </c>
      <c r="N431" s="448" t="s">
        <v>656</v>
      </c>
      <c r="O431" s="414"/>
      <c r="P431" s="414"/>
      <c r="Q431" s="414"/>
      <c r="R431" s="180"/>
      <c r="S431" s="180"/>
      <c r="T431" s="174"/>
      <c r="U431" s="174"/>
      <c r="V431" s="174"/>
      <c r="W431" s="174"/>
      <c r="X431" s="174"/>
      <c r="Y431" s="174"/>
      <c r="Z431" s="174"/>
      <c r="AA431" s="174"/>
      <c r="AB431" s="174"/>
      <c r="AC431" s="174"/>
      <c r="AD431" s="174"/>
      <c r="AE431" s="181"/>
      <c r="AF431" s="44"/>
      <c r="AG431" s="44"/>
      <c r="AH431" s="44"/>
      <c r="AI431" s="44"/>
      <c r="AJ431" s="44"/>
      <c r="AK431" s="44"/>
      <c r="AL431" s="44"/>
      <c r="AM431" s="44"/>
      <c r="AN431" s="44"/>
      <c r="AO431" s="44"/>
      <c r="AP431" s="44"/>
      <c r="AQ431" s="44"/>
      <c r="AR431" s="44"/>
      <c r="AS431" s="44"/>
    </row>
    <row r="432" spans="1:45">
      <c r="A432" s="214"/>
      <c r="B432" s="410" t="s">
        <v>110</v>
      </c>
      <c r="C432" s="99" t="s">
        <v>646</v>
      </c>
      <c r="D432" s="423" t="s">
        <v>764</v>
      </c>
      <c r="E432" s="421">
        <v>3</v>
      </c>
      <c r="F432" s="299" t="str">
        <f>""&amp;Table12[[#This Row],[TTM Stage]]&amp;Table12[[#This Row],[Task No.]]&amp;"-"&amp;Table12[[#This Row],[Type of activity]]&amp;"-"&amp;Table12[[#This Row],[TargetGroup]]</f>
        <v>A3-M3 - A-Young</v>
      </c>
      <c r="G432" s="178"/>
      <c r="H432" s="178"/>
      <c r="I432" s="179"/>
      <c r="J432" s="287"/>
      <c r="K432" s="272"/>
      <c r="L432" s="431"/>
      <c r="M432" s="427" t="s">
        <v>65</v>
      </c>
      <c r="N432" s="454" t="s">
        <v>657</v>
      </c>
      <c r="O432" s="419"/>
      <c r="P432" s="419"/>
      <c r="Q432" s="419"/>
      <c r="R432" s="180"/>
      <c r="S432" s="180"/>
      <c r="T432" s="174"/>
      <c r="U432" s="174"/>
      <c r="V432" s="174"/>
      <c r="W432" s="174"/>
      <c r="X432" s="174"/>
      <c r="Y432" s="174"/>
      <c r="Z432" s="174"/>
      <c r="AA432" s="174"/>
      <c r="AB432" s="174"/>
      <c r="AC432" s="174"/>
      <c r="AD432" s="174"/>
      <c r="AE432" s="181"/>
      <c r="AF432" s="44"/>
      <c r="AG432" s="44"/>
      <c r="AH432" s="44"/>
      <c r="AI432" s="44"/>
      <c r="AJ432" s="44"/>
      <c r="AK432" s="44"/>
      <c r="AL432" s="44"/>
      <c r="AM432" s="44"/>
      <c r="AN432" s="44"/>
      <c r="AO432" s="44"/>
      <c r="AP432" s="44"/>
      <c r="AQ432" s="44"/>
      <c r="AR432" s="44"/>
      <c r="AS432" s="44"/>
    </row>
    <row r="433" spans="1:45">
      <c r="A433" s="214"/>
      <c r="B433" s="410" t="s">
        <v>110</v>
      </c>
      <c r="C433" s="99" t="s">
        <v>646</v>
      </c>
      <c r="D433" s="423" t="s">
        <v>764</v>
      </c>
      <c r="E433" s="421">
        <v>4</v>
      </c>
      <c r="F433" s="299" t="str">
        <f>""&amp;Table12[[#This Row],[TTM Stage]]&amp;Table12[[#This Row],[Task No.]]&amp;"-"&amp;Table12[[#This Row],[Type of activity]]&amp;"-"&amp;Table12[[#This Row],[TargetGroup]]</f>
        <v>A4-M3 - A-Young</v>
      </c>
      <c r="G433" s="178"/>
      <c r="H433" s="178"/>
      <c r="I433" s="179"/>
      <c r="J433" s="287"/>
      <c r="K433" s="272"/>
      <c r="L433" s="431"/>
      <c r="M433" s="427" t="s">
        <v>65</v>
      </c>
      <c r="N433" s="448" t="s">
        <v>658</v>
      </c>
      <c r="O433" s="414"/>
      <c r="P433" s="414"/>
      <c r="Q433" s="414"/>
      <c r="R433" s="180"/>
      <c r="S433" s="180"/>
      <c r="T433" s="174"/>
      <c r="U433" s="174"/>
      <c r="V433" s="174"/>
      <c r="W433" s="174"/>
      <c r="X433" s="174"/>
      <c r="Y433" s="174"/>
      <c r="Z433" s="174"/>
      <c r="AA433" s="174"/>
      <c r="AB433" s="174"/>
      <c r="AC433" s="174"/>
      <c r="AD433" s="174"/>
      <c r="AE433" s="181"/>
      <c r="AF433" s="44"/>
      <c r="AG433" s="44"/>
      <c r="AH433" s="44"/>
      <c r="AI433" s="44"/>
      <c r="AJ433" s="44"/>
      <c r="AK433" s="44"/>
      <c r="AL433" s="44"/>
      <c r="AM433" s="44"/>
      <c r="AN433" s="44"/>
      <c r="AO433" s="44"/>
      <c r="AP433" s="44"/>
      <c r="AQ433" s="44"/>
      <c r="AR433" s="44"/>
      <c r="AS433" s="44"/>
    </row>
    <row r="434" spans="1:45">
      <c r="A434" s="214"/>
      <c r="B434" s="410" t="s">
        <v>110</v>
      </c>
      <c r="C434" s="99" t="s">
        <v>646</v>
      </c>
      <c r="D434" s="424" t="s">
        <v>778</v>
      </c>
      <c r="E434" s="421">
        <v>1</v>
      </c>
      <c r="F434" s="299" t="str">
        <f>""&amp;Table12[[#This Row],[TTM Stage]]&amp;Table12[[#This Row],[Task No.]]&amp;"-"&amp;Table12[[#This Row],[Type of activity]]&amp;"-"&amp;Table12[[#This Row],[TargetGroup]]</f>
        <v>M1-M3 - A-Young</v>
      </c>
      <c r="G434" s="178"/>
      <c r="H434" s="178"/>
      <c r="I434" s="179"/>
      <c r="J434" s="287"/>
      <c r="K434" s="272"/>
      <c r="L434" s="431"/>
      <c r="M434" s="427" t="s">
        <v>65</v>
      </c>
      <c r="N434" s="448" t="s">
        <v>587</v>
      </c>
      <c r="O434" s="414"/>
      <c r="P434" s="414"/>
      <c r="Q434" s="414"/>
      <c r="R434" s="180"/>
      <c r="S434" s="180"/>
      <c r="T434" s="174"/>
      <c r="U434" s="174"/>
      <c r="V434" s="174"/>
      <c r="W434" s="174"/>
      <c r="X434" s="174"/>
      <c r="Y434" s="174"/>
      <c r="Z434" s="174"/>
      <c r="AA434" s="174"/>
      <c r="AB434" s="174"/>
      <c r="AC434" s="174"/>
      <c r="AD434" s="174"/>
      <c r="AE434" s="181"/>
      <c r="AF434" s="44"/>
      <c r="AG434" s="44"/>
      <c r="AH434" s="44"/>
      <c r="AI434" s="44"/>
      <c r="AJ434" s="44"/>
      <c r="AK434" s="44"/>
      <c r="AL434" s="44"/>
      <c r="AM434" s="44"/>
      <c r="AN434" s="44"/>
      <c r="AO434" s="44"/>
      <c r="AP434" s="44"/>
      <c r="AQ434" s="44"/>
      <c r="AR434" s="44"/>
      <c r="AS434" s="44"/>
    </row>
    <row r="435" spans="1:45">
      <c r="A435" s="214"/>
      <c r="B435" s="410" t="s">
        <v>110</v>
      </c>
      <c r="C435" s="99" t="s">
        <v>646</v>
      </c>
      <c r="D435" s="424" t="s">
        <v>778</v>
      </c>
      <c r="E435" s="421">
        <v>2</v>
      </c>
      <c r="F435" s="299" t="str">
        <f>""&amp;Table12[[#This Row],[TTM Stage]]&amp;Table12[[#This Row],[Task No.]]&amp;"-"&amp;Table12[[#This Row],[Type of activity]]&amp;"-"&amp;Table12[[#This Row],[TargetGroup]]</f>
        <v>M2-M3 - A-Young</v>
      </c>
      <c r="G435" s="178"/>
      <c r="H435" s="178"/>
      <c r="I435" s="179"/>
      <c r="J435" s="287"/>
      <c r="K435" s="272"/>
      <c r="L435" s="431"/>
      <c r="M435" s="427" t="s">
        <v>65</v>
      </c>
      <c r="N435" s="448" t="s">
        <v>659</v>
      </c>
      <c r="O435" s="414"/>
      <c r="P435" s="414"/>
      <c r="Q435" s="414"/>
      <c r="R435" s="180"/>
      <c r="S435" s="180"/>
      <c r="T435" s="174"/>
      <c r="U435" s="174"/>
      <c r="V435" s="174"/>
      <c r="W435" s="174"/>
      <c r="X435" s="174"/>
      <c r="Y435" s="174"/>
      <c r="Z435" s="174"/>
      <c r="AA435" s="174"/>
      <c r="AB435" s="174"/>
      <c r="AC435" s="174"/>
      <c r="AD435" s="174"/>
      <c r="AE435" s="181"/>
      <c r="AF435" s="44"/>
      <c r="AG435" s="44"/>
      <c r="AH435" s="44"/>
      <c r="AI435" s="44"/>
      <c r="AJ435" s="44"/>
      <c r="AK435" s="44"/>
      <c r="AL435" s="44"/>
      <c r="AM435" s="44"/>
      <c r="AN435" s="44"/>
      <c r="AO435" s="44"/>
      <c r="AP435" s="44"/>
      <c r="AQ435" s="44"/>
      <c r="AR435" s="44"/>
      <c r="AS435" s="44"/>
    </row>
    <row r="436" spans="1:45">
      <c r="A436" s="214"/>
      <c r="B436" s="410" t="s">
        <v>110</v>
      </c>
      <c r="C436" s="99" t="s">
        <v>646</v>
      </c>
      <c r="D436" s="424" t="s">
        <v>778</v>
      </c>
      <c r="E436" s="421">
        <v>3</v>
      </c>
      <c r="F436" s="326" t="str">
        <f>""&amp;Table12[[#This Row],[TTM Stage]]&amp;Table12[[#This Row],[Task No.]]&amp;"-"&amp;Table12[[#This Row],[Type of activity]]&amp;"-"&amp;Table12[[#This Row],[TargetGroup]]</f>
        <v>M3-M3 - A-Young</v>
      </c>
      <c r="G436" s="189"/>
      <c r="H436" s="189"/>
      <c r="I436" s="190"/>
      <c r="J436" s="415"/>
      <c r="K436" s="291"/>
      <c r="L436" s="431"/>
      <c r="M436" s="427" t="s">
        <v>65</v>
      </c>
      <c r="N436" s="450" t="s">
        <v>587</v>
      </c>
      <c r="O436" s="416"/>
      <c r="P436" s="416"/>
      <c r="Q436" s="416"/>
      <c r="R436" s="191"/>
      <c r="S436" s="191"/>
      <c r="T436" s="188"/>
      <c r="U436" s="188"/>
      <c r="V436" s="188"/>
      <c r="W436" s="188"/>
      <c r="X436" s="188"/>
      <c r="Y436" s="188"/>
      <c r="Z436" s="188"/>
      <c r="AA436" s="188"/>
      <c r="AB436" s="188"/>
      <c r="AC436" s="188"/>
      <c r="AD436" s="188"/>
      <c r="AE436" s="192"/>
      <c r="AF436" s="44"/>
      <c r="AG436" s="44"/>
      <c r="AH436" s="44"/>
      <c r="AI436" s="44"/>
      <c r="AJ436" s="44"/>
      <c r="AK436" s="44"/>
      <c r="AL436" s="44"/>
      <c r="AM436" s="44"/>
      <c r="AN436" s="44"/>
      <c r="AO436" s="44"/>
      <c r="AP436" s="44"/>
      <c r="AQ436" s="44"/>
      <c r="AR436" s="44"/>
      <c r="AS436" s="44"/>
    </row>
    <row r="437" spans="1:45">
      <c r="A437" s="214"/>
      <c r="B437" s="410" t="s">
        <v>110</v>
      </c>
      <c r="C437" s="99" t="s">
        <v>646</v>
      </c>
      <c r="D437" s="425" t="s">
        <v>778</v>
      </c>
      <c r="E437" s="426">
        <v>4</v>
      </c>
      <c r="F437" s="299" t="str">
        <f>""&amp;Table12[[#This Row],[TTM Stage]]&amp;Table12[[#This Row],[Task No.]]&amp;"-"&amp;Table12[[#This Row],[Type of activity]]&amp;"-"&amp;Table12[[#This Row],[TargetGroup]]</f>
        <v>M4-M3 - A-Young</v>
      </c>
      <c r="G437" s="178"/>
      <c r="H437" s="178"/>
      <c r="I437" s="179"/>
      <c r="J437" s="287"/>
      <c r="K437" s="272"/>
      <c r="L437" s="431"/>
      <c r="M437" s="427" t="s">
        <v>65</v>
      </c>
      <c r="N437" s="449" t="s">
        <v>663</v>
      </c>
      <c r="O437" s="180"/>
      <c r="P437" s="180"/>
      <c r="Q437" s="180"/>
      <c r="R437" s="180"/>
      <c r="S437" s="180"/>
      <c r="T437" s="174"/>
      <c r="U437" s="174"/>
      <c r="V437" s="174"/>
      <c r="W437" s="174"/>
      <c r="X437" s="174"/>
      <c r="Y437" s="174"/>
      <c r="Z437" s="174"/>
      <c r="AA437" s="174"/>
      <c r="AB437" s="174"/>
      <c r="AC437" s="174"/>
      <c r="AD437" s="174"/>
      <c r="AE437" s="181"/>
      <c r="AF437" s="44"/>
      <c r="AG437" s="44"/>
      <c r="AH437" s="44"/>
      <c r="AI437" s="44"/>
      <c r="AJ437" s="44"/>
      <c r="AK437" s="44"/>
      <c r="AL437" s="44"/>
      <c r="AM437" s="44"/>
      <c r="AN437" s="44"/>
      <c r="AO437" s="44"/>
      <c r="AP437" s="44"/>
      <c r="AQ437" s="44"/>
      <c r="AR437" s="44"/>
      <c r="AS437" s="44"/>
    </row>
    <row r="438" spans="1:45">
      <c r="A438" s="214"/>
      <c r="B438" s="410" t="s">
        <v>110</v>
      </c>
      <c r="C438" s="352" t="s">
        <v>660</v>
      </c>
      <c r="D438" s="420" t="s">
        <v>735</v>
      </c>
      <c r="E438" s="421">
        <v>1</v>
      </c>
      <c r="F438" s="299" t="str">
        <f>""&amp;Table12[[#This Row],[TTM Stage]]&amp;Table12[[#This Row],[Task No.]]&amp;"-"&amp;Table12[[#This Row],[Type of activity]]&amp;"-"&amp;Table12[[#This Row],[TargetGroup]]</f>
        <v>PC1-M3 -B-Young</v>
      </c>
      <c r="G438" s="178"/>
      <c r="H438" s="178"/>
      <c r="I438" s="179"/>
      <c r="J438" s="287"/>
      <c r="K438" s="272"/>
      <c r="L438" s="431"/>
      <c r="M438" s="427" t="s">
        <v>65</v>
      </c>
      <c r="N438" s="449" t="s">
        <v>664</v>
      </c>
      <c r="O438" s="180"/>
      <c r="P438" s="180"/>
      <c r="Q438" s="180"/>
      <c r="R438" s="180"/>
      <c r="S438" s="180"/>
      <c r="T438" s="174"/>
      <c r="U438" s="174"/>
      <c r="V438" s="174"/>
      <c r="W438" s="174"/>
      <c r="X438" s="174"/>
      <c r="Y438" s="174"/>
      <c r="Z438" s="174"/>
      <c r="AA438" s="174"/>
      <c r="AB438" s="174"/>
      <c r="AC438" s="174"/>
      <c r="AD438" s="174"/>
      <c r="AE438" s="181"/>
      <c r="AF438" s="44"/>
      <c r="AG438" s="44"/>
      <c r="AH438" s="44"/>
      <c r="AI438" s="44"/>
      <c r="AJ438" s="44"/>
      <c r="AK438" s="44"/>
      <c r="AL438" s="44"/>
      <c r="AM438" s="44"/>
      <c r="AN438" s="44"/>
      <c r="AO438" s="44"/>
      <c r="AP438" s="44"/>
      <c r="AQ438" s="44"/>
      <c r="AR438" s="44"/>
      <c r="AS438" s="44"/>
    </row>
    <row r="439" spans="1:45">
      <c r="A439" s="214"/>
      <c r="B439" s="410" t="s">
        <v>110</v>
      </c>
      <c r="C439" s="352" t="s">
        <v>660</v>
      </c>
      <c r="D439" s="420" t="s">
        <v>735</v>
      </c>
      <c r="E439" s="421">
        <v>2</v>
      </c>
      <c r="F439" s="299" t="str">
        <f>""&amp;Table12[[#This Row],[TTM Stage]]&amp;Table12[[#This Row],[Task No.]]&amp;"-"&amp;Table12[[#This Row],[Type of activity]]&amp;"-"&amp;Table12[[#This Row],[TargetGroup]]</f>
        <v>PC2-M3 -B-Young</v>
      </c>
      <c r="G439" s="178"/>
      <c r="H439" s="178"/>
      <c r="I439" s="179"/>
      <c r="J439" s="287"/>
      <c r="K439" s="272"/>
      <c r="L439" s="431"/>
      <c r="M439" s="427" t="s">
        <v>65</v>
      </c>
      <c r="N439" s="449" t="s">
        <v>665</v>
      </c>
      <c r="O439" s="180"/>
      <c r="P439" s="180"/>
      <c r="Q439" s="180"/>
      <c r="R439" s="180"/>
      <c r="S439" s="180"/>
      <c r="T439" s="174"/>
      <c r="U439" s="174"/>
      <c r="V439" s="174"/>
      <c r="W439" s="174"/>
      <c r="X439" s="174"/>
      <c r="Y439" s="174"/>
      <c r="Z439" s="174"/>
      <c r="AA439" s="174"/>
      <c r="AB439" s="174"/>
      <c r="AC439" s="174"/>
      <c r="AD439" s="174"/>
      <c r="AE439" s="181"/>
      <c r="AF439" s="44"/>
      <c r="AG439" s="44"/>
      <c r="AH439" s="44"/>
      <c r="AI439" s="44"/>
      <c r="AJ439" s="44"/>
      <c r="AK439" s="44"/>
      <c r="AL439" s="44"/>
      <c r="AM439" s="44"/>
      <c r="AN439" s="44"/>
      <c r="AO439" s="44"/>
      <c r="AP439" s="44"/>
      <c r="AQ439" s="44"/>
      <c r="AR439" s="44"/>
      <c r="AS439" s="44"/>
    </row>
    <row r="440" spans="1:45">
      <c r="A440" s="214"/>
      <c r="B440" s="410" t="s">
        <v>110</v>
      </c>
      <c r="C440" s="352" t="s">
        <v>660</v>
      </c>
      <c r="D440" s="421" t="s">
        <v>743</v>
      </c>
      <c r="E440" s="421">
        <v>1</v>
      </c>
      <c r="F440" s="299" t="str">
        <f>""&amp;Table12[[#This Row],[TTM Stage]]&amp;Table12[[#This Row],[Task No.]]&amp;"-"&amp;Table12[[#This Row],[Type of activity]]&amp;"-"&amp;Table12[[#This Row],[TargetGroup]]</f>
        <v>C1-M3 -B-Young</v>
      </c>
      <c r="G440" s="178"/>
      <c r="H440" s="178"/>
      <c r="I440" s="179"/>
      <c r="J440" s="287"/>
      <c r="K440" s="272"/>
      <c r="L440" s="431"/>
      <c r="M440" s="427" t="s">
        <v>65</v>
      </c>
      <c r="N440" s="449" t="s">
        <v>666</v>
      </c>
      <c r="O440" s="180"/>
      <c r="P440" s="180"/>
      <c r="Q440" s="180"/>
      <c r="R440" s="180"/>
      <c r="S440" s="180"/>
      <c r="T440" s="174"/>
      <c r="U440" s="174"/>
      <c r="V440" s="174"/>
      <c r="W440" s="174"/>
      <c r="X440" s="174"/>
      <c r="Y440" s="174"/>
      <c r="Z440" s="174"/>
      <c r="AA440" s="174"/>
      <c r="AB440" s="174"/>
      <c r="AC440" s="174"/>
      <c r="AD440" s="174"/>
      <c r="AE440" s="181"/>
      <c r="AF440" s="44"/>
      <c r="AG440" s="44"/>
      <c r="AH440" s="44"/>
      <c r="AI440" s="44"/>
      <c r="AJ440" s="44"/>
      <c r="AK440" s="44"/>
      <c r="AL440" s="44"/>
      <c r="AM440" s="44"/>
      <c r="AN440" s="44"/>
      <c r="AO440" s="44"/>
      <c r="AP440" s="44"/>
      <c r="AQ440" s="44"/>
      <c r="AR440" s="44"/>
      <c r="AS440" s="44"/>
    </row>
    <row r="441" spans="1:45">
      <c r="A441" s="214"/>
      <c r="B441" s="410" t="s">
        <v>110</v>
      </c>
      <c r="C441" s="352" t="s">
        <v>660</v>
      </c>
      <c r="D441" s="421" t="s">
        <v>743</v>
      </c>
      <c r="E441" s="421">
        <v>2</v>
      </c>
      <c r="F441" s="299" t="str">
        <f>""&amp;Table12[[#This Row],[TTM Stage]]&amp;Table12[[#This Row],[Task No.]]&amp;"-"&amp;Table12[[#This Row],[Type of activity]]&amp;"-"&amp;Table12[[#This Row],[TargetGroup]]</f>
        <v>C2-M3 -B-Young</v>
      </c>
      <c r="G441" s="178"/>
      <c r="H441" s="178"/>
      <c r="I441" s="179"/>
      <c r="J441" s="287"/>
      <c r="K441" s="272"/>
      <c r="L441" s="431"/>
      <c r="M441" s="427" t="s">
        <v>65</v>
      </c>
      <c r="N441" s="449" t="s">
        <v>667</v>
      </c>
      <c r="O441" s="180"/>
      <c r="P441" s="180"/>
      <c r="Q441" s="180"/>
      <c r="R441" s="180"/>
      <c r="S441" s="180"/>
      <c r="T441" s="174"/>
      <c r="U441" s="174"/>
      <c r="V441" s="174"/>
      <c r="W441" s="174"/>
      <c r="X441" s="174"/>
      <c r="Y441" s="174"/>
      <c r="Z441" s="174"/>
      <c r="AA441" s="174"/>
      <c r="AB441" s="174"/>
      <c r="AC441" s="174"/>
      <c r="AD441" s="174"/>
      <c r="AE441" s="181"/>
    </row>
    <row r="442" spans="1:45">
      <c r="A442" s="214"/>
      <c r="B442" s="410" t="s">
        <v>110</v>
      </c>
      <c r="C442" s="352" t="s">
        <v>660</v>
      </c>
      <c r="D442" s="422" t="s">
        <v>750</v>
      </c>
      <c r="E442" s="421">
        <v>1</v>
      </c>
      <c r="F442" s="299" t="str">
        <f>""&amp;Table12[[#This Row],[TTM Stage]]&amp;Table12[[#This Row],[Task No.]]&amp;"-"&amp;Table12[[#This Row],[Type of activity]]&amp;"-"&amp;Table12[[#This Row],[TargetGroup]]</f>
        <v>P1-M3 -B-Young</v>
      </c>
      <c r="G442" s="178"/>
      <c r="H442" s="178"/>
      <c r="I442" s="179"/>
      <c r="J442" s="287"/>
      <c r="K442" s="272"/>
      <c r="L442" s="431"/>
      <c r="M442" s="427" t="s">
        <v>65</v>
      </c>
      <c r="N442" s="449" t="s">
        <v>587</v>
      </c>
      <c r="O442" s="180"/>
      <c r="P442" s="180"/>
      <c r="Q442" s="180"/>
      <c r="R442" s="180"/>
      <c r="S442" s="180"/>
      <c r="T442" s="174"/>
      <c r="U442" s="174"/>
      <c r="V442" s="174"/>
      <c r="W442" s="174"/>
      <c r="X442" s="174"/>
      <c r="Y442" s="174"/>
      <c r="Z442" s="174"/>
      <c r="AA442" s="174"/>
      <c r="AB442" s="174"/>
      <c r="AC442" s="174"/>
      <c r="AD442" s="174"/>
      <c r="AE442" s="181"/>
    </row>
    <row r="443" spans="1:45">
      <c r="A443" s="214"/>
      <c r="B443" s="410" t="s">
        <v>110</v>
      </c>
      <c r="C443" s="352" t="s">
        <v>660</v>
      </c>
      <c r="D443" s="422" t="s">
        <v>750</v>
      </c>
      <c r="E443" s="421">
        <v>2</v>
      </c>
      <c r="F443" s="299" t="str">
        <f>""&amp;Table12[[#This Row],[TTM Stage]]&amp;Table12[[#This Row],[Task No.]]&amp;"-"&amp;Table12[[#This Row],[Type of activity]]&amp;"-"&amp;Table12[[#This Row],[TargetGroup]]</f>
        <v>P2-M3 -B-Young</v>
      </c>
      <c r="G443" s="178"/>
      <c r="H443" s="178"/>
      <c r="I443" s="179"/>
      <c r="J443" s="287"/>
      <c r="K443" s="272"/>
      <c r="L443" s="431"/>
      <c r="M443" s="427" t="s">
        <v>65</v>
      </c>
      <c r="N443" s="449" t="s">
        <v>668</v>
      </c>
      <c r="O443" s="180"/>
      <c r="P443" s="180"/>
      <c r="Q443" s="180"/>
      <c r="R443" s="180"/>
      <c r="S443" s="180"/>
      <c r="T443" s="174"/>
      <c r="U443" s="174"/>
      <c r="V443" s="174"/>
      <c r="W443" s="174"/>
      <c r="X443" s="174"/>
      <c r="Y443" s="174"/>
      <c r="Z443" s="174"/>
      <c r="AA443" s="174"/>
      <c r="AB443" s="174"/>
      <c r="AC443" s="174"/>
      <c r="AD443" s="174"/>
      <c r="AE443" s="181"/>
    </row>
    <row r="444" spans="1:45">
      <c r="A444" s="214"/>
      <c r="B444" s="410" t="s">
        <v>110</v>
      </c>
      <c r="C444" s="352" t="s">
        <v>660</v>
      </c>
      <c r="D444" s="423" t="s">
        <v>764</v>
      </c>
      <c r="E444" s="421">
        <v>1</v>
      </c>
      <c r="F444" s="299" t="str">
        <f>""&amp;Table12[[#This Row],[TTM Stage]]&amp;Table12[[#This Row],[Task No.]]&amp;"-"&amp;Table12[[#This Row],[Type of activity]]&amp;"-"&amp;Table12[[#This Row],[TargetGroup]]</f>
        <v>A1-M3 -B-Young</v>
      </c>
      <c r="G444" s="178"/>
      <c r="H444" s="178"/>
      <c r="I444" s="179"/>
      <c r="J444" s="287"/>
      <c r="K444" s="272"/>
      <c r="L444" s="431"/>
      <c r="M444" s="427" t="s">
        <v>65</v>
      </c>
      <c r="N444" s="449" t="s">
        <v>669</v>
      </c>
      <c r="O444" s="180"/>
      <c r="P444" s="180"/>
      <c r="Q444" s="180"/>
      <c r="R444" s="180"/>
      <c r="S444" s="180"/>
      <c r="T444" s="174"/>
      <c r="U444" s="174"/>
      <c r="V444" s="174"/>
      <c r="W444" s="174"/>
      <c r="X444" s="174"/>
      <c r="Y444" s="174"/>
      <c r="Z444" s="174"/>
      <c r="AA444" s="174"/>
      <c r="AB444" s="174"/>
      <c r="AC444" s="174"/>
      <c r="AD444" s="174"/>
      <c r="AE444" s="181"/>
    </row>
    <row r="445" spans="1:45">
      <c r="A445" s="214"/>
      <c r="B445" s="410" t="s">
        <v>110</v>
      </c>
      <c r="C445" s="352" t="s">
        <v>660</v>
      </c>
      <c r="D445" s="423" t="s">
        <v>764</v>
      </c>
      <c r="E445" s="421">
        <v>2</v>
      </c>
      <c r="F445" s="299" t="str">
        <f>""&amp;Table12[[#This Row],[TTM Stage]]&amp;Table12[[#This Row],[Task No.]]&amp;"-"&amp;Table12[[#This Row],[Type of activity]]&amp;"-"&amp;Table12[[#This Row],[TargetGroup]]</f>
        <v>A2-M3 -B-Young</v>
      </c>
      <c r="G445" s="178"/>
      <c r="H445" s="178"/>
      <c r="I445" s="179"/>
      <c r="J445" s="287"/>
      <c r="K445" s="272"/>
      <c r="L445" s="431"/>
      <c r="M445" s="427" t="s">
        <v>65</v>
      </c>
      <c r="N445" s="449" t="s">
        <v>670</v>
      </c>
      <c r="O445" s="180"/>
      <c r="P445" s="180"/>
      <c r="Q445" s="180"/>
      <c r="R445" s="180"/>
      <c r="S445" s="180"/>
      <c r="T445" s="174"/>
      <c r="U445" s="174"/>
      <c r="V445" s="174"/>
      <c r="W445" s="174"/>
      <c r="X445" s="174"/>
      <c r="Y445" s="174"/>
      <c r="Z445" s="174"/>
      <c r="AA445" s="174"/>
      <c r="AB445" s="174"/>
      <c r="AC445" s="174"/>
      <c r="AD445" s="174"/>
      <c r="AE445" s="181"/>
    </row>
    <row r="446" spans="1:45">
      <c r="A446" s="214"/>
      <c r="B446" s="410" t="s">
        <v>110</v>
      </c>
      <c r="C446" s="352" t="s">
        <v>660</v>
      </c>
      <c r="D446" s="423" t="s">
        <v>764</v>
      </c>
      <c r="E446" s="421">
        <v>3</v>
      </c>
      <c r="F446" s="299" t="str">
        <f>""&amp;Table12[[#This Row],[TTM Stage]]&amp;Table12[[#This Row],[Task No.]]&amp;"-"&amp;Table12[[#This Row],[Type of activity]]&amp;"-"&amp;Table12[[#This Row],[TargetGroup]]</f>
        <v>A3-M3 -B-Young</v>
      </c>
      <c r="G446" s="178"/>
      <c r="H446" s="178"/>
      <c r="I446" s="179"/>
      <c r="J446" s="287"/>
      <c r="K446" s="272"/>
      <c r="L446" s="431"/>
      <c r="M446" s="427" t="s">
        <v>65</v>
      </c>
      <c r="N446" s="449" t="s">
        <v>671</v>
      </c>
      <c r="O446" s="180"/>
      <c r="P446" s="180"/>
      <c r="Q446" s="180"/>
      <c r="R446" s="180"/>
      <c r="S446" s="180"/>
      <c r="T446" s="174"/>
      <c r="U446" s="174"/>
      <c r="V446" s="174"/>
      <c r="W446" s="174"/>
      <c r="X446" s="174"/>
      <c r="Y446" s="174"/>
      <c r="Z446" s="174"/>
      <c r="AA446" s="174"/>
      <c r="AB446" s="174"/>
      <c r="AC446" s="174"/>
      <c r="AD446" s="174"/>
      <c r="AE446" s="181"/>
    </row>
    <row r="447" spans="1:45">
      <c r="A447" s="214"/>
      <c r="B447" s="410" t="s">
        <v>110</v>
      </c>
      <c r="C447" s="352" t="s">
        <v>660</v>
      </c>
      <c r="D447" s="423" t="s">
        <v>764</v>
      </c>
      <c r="E447" s="421">
        <v>4</v>
      </c>
      <c r="F447" s="299" t="str">
        <f>""&amp;Table12[[#This Row],[TTM Stage]]&amp;Table12[[#This Row],[Task No.]]&amp;"-"&amp;Table12[[#This Row],[Type of activity]]&amp;"-"&amp;Table12[[#This Row],[TargetGroup]]</f>
        <v>A4-M3 -B-Young</v>
      </c>
      <c r="G447" s="178"/>
      <c r="H447" s="178"/>
      <c r="I447" s="179"/>
      <c r="J447" s="287"/>
      <c r="K447" s="272"/>
      <c r="L447" s="431"/>
      <c r="M447" s="427" t="s">
        <v>65</v>
      </c>
      <c r="N447" s="449" t="s">
        <v>672</v>
      </c>
      <c r="O447" s="180"/>
      <c r="P447" s="180"/>
      <c r="Q447" s="180"/>
      <c r="R447" s="180"/>
      <c r="S447" s="180"/>
      <c r="T447" s="174"/>
      <c r="U447" s="174"/>
      <c r="V447" s="174"/>
      <c r="W447" s="174"/>
      <c r="X447" s="174"/>
      <c r="Y447" s="174"/>
      <c r="Z447" s="174"/>
      <c r="AA447" s="174"/>
      <c r="AB447" s="174"/>
      <c r="AC447" s="174"/>
      <c r="AD447" s="174"/>
      <c r="AE447" s="181"/>
    </row>
    <row r="448" spans="1:45">
      <c r="A448" s="214"/>
      <c r="B448" s="410" t="s">
        <v>110</v>
      </c>
      <c r="C448" s="352" t="s">
        <v>660</v>
      </c>
      <c r="D448" s="424" t="s">
        <v>778</v>
      </c>
      <c r="E448" s="421">
        <v>1</v>
      </c>
      <c r="F448" s="299" t="str">
        <f>""&amp;Table12[[#This Row],[TTM Stage]]&amp;Table12[[#This Row],[Task No.]]&amp;"-"&amp;Table12[[#This Row],[Type of activity]]&amp;"-"&amp;Table12[[#This Row],[TargetGroup]]</f>
        <v>M1-M3 -B-Young</v>
      </c>
      <c r="G448" s="178"/>
      <c r="H448" s="178"/>
      <c r="I448" s="179"/>
      <c r="J448" s="287"/>
      <c r="K448" s="272"/>
      <c r="L448" s="431"/>
      <c r="M448" s="427" t="s">
        <v>65</v>
      </c>
      <c r="N448" s="449" t="s">
        <v>587</v>
      </c>
      <c r="O448" s="180"/>
      <c r="P448" s="180"/>
      <c r="Q448" s="180"/>
      <c r="R448" s="180"/>
      <c r="S448" s="180"/>
      <c r="T448" s="174"/>
      <c r="U448" s="174"/>
      <c r="V448" s="174"/>
      <c r="W448" s="174"/>
      <c r="X448" s="174"/>
      <c r="Y448" s="174"/>
      <c r="Z448" s="174"/>
      <c r="AA448" s="174"/>
      <c r="AB448" s="174"/>
      <c r="AC448" s="174"/>
      <c r="AD448" s="174"/>
      <c r="AE448" s="181"/>
    </row>
    <row r="449" spans="1:31">
      <c r="A449" s="214"/>
      <c r="B449" s="410" t="s">
        <v>110</v>
      </c>
      <c r="C449" s="352" t="s">
        <v>660</v>
      </c>
      <c r="D449" s="424" t="s">
        <v>778</v>
      </c>
      <c r="E449" s="421">
        <v>2</v>
      </c>
      <c r="F449" s="299" t="str">
        <f>""&amp;Table12[[#This Row],[TTM Stage]]&amp;Table12[[#This Row],[Task No.]]&amp;"-"&amp;Table12[[#This Row],[Type of activity]]&amp;"-"&amp;Table12[[#This Row],[TargetGroup]]</f>
        <v>M2-M3 -B-Young</v>
      </c>
      <c r="G449" s="178"/>
      <c r="H449" s="178"/>
      <c r="I449" s="179"/>
      <c r="J449" s="287"/>
      <c r="K449" s="272"/>
      <c r="L449" s="431"/>
      <c r="M449" s="427" t="s">
        <v>65</v>
      </c>
      <c r="N449" s="449" t="s">
        <v>673</v>
      </c>
      <c r="O449" s="180"/>
      <c r="P449" s="180"/>
      <c r="Q449" s="180"/>
      <c r="R449" s="180"/>
      <c r="S449" s="180"/>
      <c r="T449" s="174"/>
      <c r="U449" s="174"/>
      <c r="V449" s="174"/>
      <c r="W449" s="174"/>
      <c r="X449" s="174"/>
      <c r="Y449" s="174"/>
      <c r="Z449" s="174"/>
      <c r="AA449" s="174"/>
      <c r="AB449" s="174"/>
      <c r="AC449" s="174"/>
      <c r="AD449" s="174"/>
      <c r="AE449" s="181"/>
    </row>
    <row r="450" spans="1:31" ht="15.75">
      <c r="A450" s="214"/>
      <c r="B450" s="410" t="s">
        <v>110</v>
      </c>
      <c r="C450" s="352" t="s">
        <v>660</v>
      </c>
      <c r="D450" s="424" t="s">
        <v>778</v>
      </c>
      <c r="E450" s="421">
        <v>3</v>
      </c>
      <c r="F450" s="326" t="str">
        <f>""&amp;Table12[[#This Row],[TTM Stage]]&amp;Table12[[#This Row],[Task No.]]&amp;"-"&amp;Table12[[#This Row],[Type of activity]]&amp;"-"&amp;Table12[[#This Row],[TargetGroup]]</f>
        <v>M3-M3 -B-Young</v>
      </c>
      <c r="G450" s="189"/>
      <c r="H450" s="189"/>
      <c r="I450" s="190"/>
      <c r="J450" s="415"/>
      <c r="K450" s="291"/>
      <c r="L450" s="431"/>
      <c r="M450" s="427" t="s">
        <v>65</v>
      </c>
      <c r="N450" s="451"/>
      <c r="O450" s="191"/>
      <c r="P450" s="191"/>
      <c r="Q450" s="191"/>
      <c r="R450" s="191"/>
      <c r="S450" s="191"/>
      <c r="T450" s="188"/>
      <c r="U450" s="188"/>
      <c r="V450" s="188"/>
      <c r="W450" s="188"/>
      <c r="X450" s="188"/>
      <c r="Y450" s="188"/>
      <c r="Z450" s="188"/>
      <c r="AA450" s="188"/>
      <c r="AB450" s="188"/>
      <c r="AC450" s="188"/>
      <c r="AD450" s="188"/>
      <c r="AE450" s="192"/>
    </row>
    <row r="451" spans="1:31">
      <c r="A451" s="214"/>
      <c r="B451" s="410" t="s">
        <v>110</v>
      </c>
      <c r="C451" s="352" t="s">
        <v>660</v>
      </c>
      <c r="D451" s="425" t="s">
        <v>778</v>
      </c>
      <c r="E451" s="426">
        <v>4</v>
      </c>
      <c r="F451" s="299" t="str">
        <f>""&amp;Table12[[#This Row],[TTM Stage]]&amp;Table12[[#This Row],[Task No.]]&amp;"-"&amp;Table12[[#This Row],[Type of activity]]&amp;"-"&amp;Table12[[#This Row],[TargetGroup]]</f>
        <v>M4-M3 -B-Young</v>
      </c>
      <c r="G451" s="178"/>
      <c r="H451" s="178"/>
      <c r="I451" s="179"/>
      <c r="J451" s="287"/>
      <c r="K451" s="272"/>
      <c r="L451" s="431"/>
      <c r="M451" s="427" t="s">
        <v>65</v>
      </c>
      <c r="N451" s="449" t="s">
        <v>679</v>
      </c>
      <c r="O451" s="180"/>
      <c r="P451" s="180"/>
      <c r="Q451" s="180"/>
      <c r="R451" s="180"/>
      <c r="S451" s="180"/>
      <c r="T451" s="174"/>
      <c r="U451" s="174"/>
      <c r="V451" s="174"/>
      <c r="W451" s="174"/>
      <c r="X451" s="174"/>
      <c r="Y451" s="174"/>
      <c r="Z451" s="174"/>
      <c r="AA451" s="174"/>
      <c r="AB451" s="174"/>
      <c r="AC451" s="174"/>
      <c r="AD451" s="174"/>
      <c r="AE451" s="181"/>
    </row>
    <row r="452" spans="1:31">
      <c r="A452" s="214"/>
      <c r="B452" s="407" t="s">
        <v>114</v>
      </c>
      <c r="C452" s="100" t="s">
        <v>675</v>
      </c>
      <c r="D452" s="420" t="s">
        <v>735</v>
      </c>
      <c r="E452" s="421">
        <v>1</v>
      </c>
      <c r="F452" s="299" t="str">
        <f>""&amp;Table12[[#This Row],[TTM Stage]]&amp;Table12[[#This Row],[Task No.]]&amp;"-"&amp;Table12[[#This Row],[Type of activity]]&amp;"-"&amp;Table12[[#This Row],[TargetGroup]]</f>
        <v>PC1-M4 - A-Young</v>
      </c>
      <c r="G452" s="178"/>
      <c r="H452" s="178"/>
      <c r="I452" s="179"/>
      <c r="J452" s="287"/>
      <c r="K452" s="272"/>
      <c r="L452" s="431"/>
      <c r="M452" s="427" t="s">
        <v>65</v>
      </c>
      <c r="N452" s="449" t="s">
        <v>680</v>
      </c>
      <c r="O452" s="180"/>
      <c r="P452" s="180"/>
      <c r="Q452" s="180"/>
      <c r="R452" s="180"/>
      <c r="S452" s="180"/>
      <c r="T452" s="174"/>
      <c r="U452" s="174"/>
      <c r="V452" s="174"/>
      <c r="W452" s="174"/>
      <c r="X452" s="174"/>
      <c r="Y452" s="174"/>
      <c r="Z452" s="174"/>
      <c r="AA452" s="174"/>
      <c r="AB452" s="174"/>
      <c r="AC452" s="174"/>
      <c r="AD452" s="174"/>
      <c r="AE452" s="181"/>
    </row>
    <row r="453" spans="1:31">
      <c r="A453" s="214"/>
      <c r="B453" s="407" t="s">
        <v>114</v>
      </c>
      <c r="C453" s="100" t="s">
        <v>675</v>
      </c>
      <c r="D453" s="420" t="s">
        <v>735</v>
      </c>
      <c r="E453" s="421">
        <v>2</v>
      </c>
      <c r="F453" s="299" t="str">
        <f>""&amp;Table12[[#This Row],[TTM Stage]]&amp;Table12[[#This Row],[Task No.]]&amp;"-"&amp;Table12[[#This Row],[Type of activity]]&amp;"-"&amp;Table12[[#This Row],[TargetGroup]]</f>
        <v>PC2-M4 - A-Young</v>
      </c>
      <c r="G453" s="178"/>
      <c r="H453" s="178"/>
      <c r="I453" s="179"/>
      <c r="J453" s="287"/>
      <c r="K453" s="272"/>
      <c r="L453" s="431"/>
      <c r="M453" s="427" t="s">
        <v>65</v>
      </c>
      <c r="N453" s="449" t="s">
        <v>681</v>
      </c>
      <c r="O453" s="180"/>
      <c r="P453" s="180"/>
      <c r="Q453" s="180"/>
      <c r="R453" s="180"/>
      <c r="S453" s="180"/>
      <c r="T453" s="174"/>
      <c r="U453" s="174"/>
      <c r="V453" s="174"/>
      <c r="W453" s="174"/>
      <c r="X453" s="174"/>
      <c r="Y453" s="174"/>
      <c r="Z453" s="174"/>
      <c r="AA453" s="174"/>
      <c r="AB453" s="174"/>
      <c r="AC453" s="174"/>
      <c r="AD453" s="174"/>
      <c r="AE453" s="181"/>
    </row>
    <row r="454" spans="1:31">
      <c r="A454" s="214"/>
      <c r="B454" s="407" t="s">
        <v>114</v>
      </c>
      <c r="C454" s="100" t="s">
        <v>675</v>
      </c>
      <c r="D454" s="421" t="s">
        <v>743</v>
      </c>
      <c r="E454" s="421">
        <v>1</v>
      </c>
      <c r="F454" s="299" t="str">
        <f>""&amp;Table12[[#This Row],[TTM Stage]]&amp;Table12[[#This Row],[Task No.]]&amp;"-"&amp;Table12[[#This Row],[Type of activity]]&amp;"-"&amp;Table12[[#This Row],[TargetGroup]]</f>
        <v>C1-M4 - A-Young</v>
      </c>
      <c r="G454" s="178"/>
      <c r="H454" s="178"/>
      <c r="I454" s="179"/>
      <c r="J454" s="287"/>
      <c r="K454" s="272"/>
      <c r="L454" s="431"/>
      <c r="M454" s="427" t="s">
        <v>65</v>
      </c>
      <c r="N454" s="449" t="s">
        <v>587</v>
      </c>
      <c r="O454" s="180"/>
      <c r="P454" s="180"/>
      <c r="Q454" s="180"/>
      <c r="R454" s="180"/>
      <c r="S454" s="180"/>
      <c r="T454" s="174"/>
      <c r="U454" s="174"/>
      <c r="V454" s="174"/>
      <c r="W454" s="174"/>
      <c r="X454" s="174"/>
      <c r="Y454" s="174"/>
      <c r="Z454" s="174"/>
      <c r="AA454" s="174"/>
      <c r="AB454" s="174"/>
      <c r="AC454" s="174"/>
      <c r="AD454" s="174"/>
      <c r="AE454" s="181"/>
    </row>
    <row r="455" spans="1:31">
      <c r="A455" s="214"/>
      <c r="B455" s="407" t="s">
        <v>114</v>
      </c>
      <c r="C455" s="100" t="s">
        <v>675</v>
      </c>
      <c r="D455" s="421" t="s">
        <v>743</v>
      </c>
      <c r="E455" s="421">
        <v>2</v>
      </c>
      <c r="F455" s="299" t="str">
        <f>""&amp;Table12[[#This Row],[TTM Stage]]&amp;Table12[[#This Row],[Task No.]]&amp;"-"&amp;Table12[[#This Row],[Type of activity]]&amp;"-"&amp;Table12[[#This Row],[TargetGroup]]</f>
        <v>C2-M4 - A-Young</v>
      </c>
      <c r="G455" s="178"/>
      <c r="H455" s="178"/>
      <c r="I455" s="179"/>
      <c r="J455" s="287"/>
      <c r="K455" s="272"/>
      <c r="L455" s="431"/>
      <c r="M455" s="427" t="s">
        <v>65</v>
      </c>
      <c r="N455" s="449" t="s">
        <v>682</v>
      </c>
      <c r="O455" s="180"/>
      <c r="P455" s="180"/>
      <c r="Q455" s="180"/>
      <c r="R455" s="180"/>
      <c r="S455" s="180"/>
      <c r="T455" s="174"/>
      <c r="U455" s="174"/>
      <c r="V455" s="174"/>
      <c r="W455" s="174"/>
      <c r="X455" s="174"/>
      <c r="Y455" s="174"/>
      <c r="Z455" s="174"/>
      <c r="AA455" s="174"/>
      <c r="AB455" s="174"/>
      <c r="AC455" s="174"/>
      <c r="AD455" s="174"/>
      <c r="AE455" s="181"/>
    </row>
    <row r="456" spans="1:31">
      <c r="A456" s="214"/>
      <c r="B456" s="407" t="s">
        <v>114</v>
      </c>
      <c r="C456" s="100" t="s">
        <v>675</v>
      </c>
      <c r="D456" s="422" t="s">
        <v>750</v>
      </c>
      <c r="E456" s="421">
        <v>1</v>
      </c>
      <c r="F456" s="299" t="str">
        <f>""&amp;Table12[[#This Row],[TTM Stage]]&amp;Table12[[#This Row],[Task No.]]&amp;"-"&amp;Table12[[#This Row],[Type of activity]]&amp;"-"&amp;Table12[[#This Row],[TargetGroup]]</f>
        <v>P1-M4 - A-Young</v>
      </c>
      <c r="G456" s="178"/>
      <c r="H456" s="178"/>
      <c r="I456" s="179"/>
      <c r="J456" s="287"/>
      <c r="K456" s="272"/>
      <c r="L456" s="431"/>
      <c r="M456" s="427" t="s">
        <v>65</v>
      </c>
      <c r="N456" s="449" t="s">
        <v>587</v>
      </c>
      <c r="O456" s="180"/>
      <c r="P456" s="180"/>
      <c r="Q456" s="180"/>
      <c r="R456" s="180"/>
      <c r="S456" s="180"/>
      <c r="T456" s="174"/>
      <c r="U456" s="174"/>
      <c r="V456" s="174"/>
      <c r="W456" s="174"/>
      <c r="X456" s="174"/>
      <c r="Y456" s="174"/>
      <c r="Z456" s="174"/>
      <c r="AA456" s="174"/>
      <c r="AB456" s="174"/>
      <c r="AC456" s="174"/>
      <c r="AD456" s="174"/>
      <c r="AE456" s="181"/>
    </row>
    <row r="457" spans="1:31">
      <c r="A457" s="214"/>
      <c r="B457" s="407" t="s">
        <v>114</v>
      </c>
      <c r="C457" s="100" t="s">
        <v>675</v>
      </c>
      <c r="D457" s="422" t="s">
        <v>750</v>
      </c>
      <c r="E457" s="421">
        <v>2</v>
      </c>
      <c r="F457" s="299" t="str">
        <f>""&amp;Table12[[#This Row],[TTM Stage]]&amp;Table12[[#This Row],[Task No.]]&amp;"-"&amp;Table12[[#This Row],[Type of activity]]&amp;"-"&amp;Table12[[#This Row],[TargetGroup]]</f>
        <v>P2-M4 - A-Young</v>
      </c>
      <c r="G457" s="178"/>
      <c r="H457" s="178"/>
      <c r="I457" s="179"/>
      <c r="J457" s="287"/>
      <c r="K457" s="272"/>
      <c r="L457" s="431"/>
      <c r="M457" s="427" t="s">
        <v>65</v>
      </c>
      <c r="N457" s="449" t="s">
        <v>683</v>
      </c>
      <c r="O457" s="180"/>
      <c r="P457" s="180"/>
      <c r="Q457" s="180"/>
      <c r="R457" s="180"/>
      <c r="S457" s="180"/>
      <c r="T457" s="174"/>
      <c r="U457" s="174"/>
      <c r="V457" s="174"/>
      <c r="W457" s="174"/>
      <c r="X457" s="174"/>
      <c r="Y457" s="174"/>
      <c r="Z457" s="174"/>
      <c r="AA457" s="174"/>
      <c r="AB457" s="174"/>
      <c r="AC457" s="174"/>
      <c r="AD457" s="174"/>
      <c r="AE457" s="181"/>
    </row>
    <row r="458" spans="1:31">
      <c r="A458" s="214"/>
      <c r="B458" s="407" t="s">
        <v>114</v>
      </c>
      <c r="C458" s="100" t="s">
        <v>675</v>
      </c>
      <c r="D458" s="423" t="s">
        <v>764</v>
      </c>
      <c r="E458" s="421">
        <v>1</v>
      </c>
      <c r="F458" s="299" t="str">
        <f>""&amp;Table12[[#This Row],[TTM Stage]]&amp;Table12[[#This Row],[Task No.]]&amp;"-"&amp;Table12[[#This Row],[Type of activity]]&amp;"-"&amp;Table12[[#This Row],[TargetGroup]]</f>
        <v>A1-M4 - A-Young</v>
      </c>
      <c r="G458" s="178"/>
      <c r="H458" s="178"/>
      <c r="I458" s="179"/>
      <c r="J458" s="287"/>
      <c r="K458" s="272"/>
      <c r="L458" s="431"/>
      <c r="M458" s="427" t="s">
        <v>65</v>
      </c>
      <c r="N458" s="449" t="s">
        <v>684</v>
      </c>
      <c r="O458" s="180"/>
      <c r="P458" s="180"/>
      <c r="Q458" s="180"/>
      <c r="R458" s="180"/>
      <c r="S458" s="180"/>
      <c r="T458" s="174"/>
      <c r="U458" s="174"/>
      <c r="V458" s="174"/>
      <c r="W458" s="174"/>
      <c r="X458" s="174"/>
      <c r="Y458" s="174"/>
      <c r="Z458" s="174"/>
      <c r="AA458" s="174"/>
      <c r="AB458" s="174"/>
      <c r="AC458" s="174"/>
      <c r="AD458" s="174"/>
      <c r="AE458" s="181"/>
    </row>
    <row r="459" spans="1:31">
      <c r="A459" s="214"/>
      <c r="B459" s="407" t="s">
        <v>114</v>
      </c>
      <c r="C459" s="100" t="s">
        <v>675</v>
      </c>
      <c r="D459" s="423" t="s">
        <v>764</v>
      </c>
      <c r="E459" s="421">
        <v>2</v>
      </c>
      <c r="F459" s="299" t="str">
        <f>""&amp;Table12[[#This Row],[TTM Stage]]&amp;Table12[[#This Row],[Task No.]]&amp;"-"&amp;Table12[[#This Row],[Type of activity]]&amp;"-"&amp;Table12[[#This Row],[TargetGroup]]</f>
        <v>A2-M4 - A-Young</v>
      </c>
      <c r="G459" s="178"/>
      <c r="H459" s="178"/>
      <c r="I459" s="179"/>
      <c r="J459" s="287"/>
      <c r="K459" s="272"/>
      <c r="L459" s="431"/>
      <c r="M459" s="427" t="s">
        <v>65</v>
      </c>
      <c r="N459" s="449" t="s">
        <v>685</v>
      </c>
      <c r="O459" s="180"/>
      <c r="P459" s="180"/>
      <c r="Q459" s="180"/>
      <c r="R459" s="180"/>
      <c r="S459" s="180"/>
      <c r="T459" s="174"/>
      <c r="U459" s="174"/>
      <c r="V459" s="174"/>
      <c r="W459" s="174"/>
      <c r="X459" s="174"/>
      <c r="Y459" s="174"/>
      <c r="Z459" s="174"/>
      <c r="AA459" s="174"/>
      <c r="AB459" s="174"/>
      <c r="AC459" s="174"/>
      <c r="AD459" s="174"/>
      <c r="AE459" s="181"/>
    </row>
    <row r="460" spans="1:31">
      <c r="A460" s="214"/>
      <c r="B460" s="407" t="s">
        <v>114</v>
      </c>
      <c r="C460" s="100" t="s">
        <v>675</v>
      </c>
      <c r="D460" s="423" t="s">
        <v>764</v>
      </c>
      <c r="E460" s="421">
        <v>3</v>
      </c>
      <c r="F460" s="299" t="str">
        <f>""&amp;Table12[[#This Row],[TTM Stage]]&amp;Table12[[#This Row],[Task No.]]&amp;"-"&amp;Table12[[#This Row],[Type of activity]]&amp;"-"&amp;Table12[[#This Row],[TargetGroup]]</f>
        <v>A3-M4 - A-Young</v>
      </c>
      <c r="G460" s="178"/>
      <c r="H460" s="178"/>
      <c r="I460" s="179"/>
      <c r="J460" s="287"/>
      <c r="K460" s="272"/>
      <c r="L460" s="431"/>
      <c r="M460" s="427" t="s">
        <v>65</v>
      </c>
      <c r="N460" s="453" t="s">
        <v>686</v>
      </c>
      <c r="O460" s="418"/>
      <c r="P460" s="418"/>
      <c r="Q460" s="418"/>
      <c r="R460" s="180"/>
      <c r="S460" s="180"/>
      <c r="T460" s="174"/>
      <c r="U460" s="174"/>
      <c r="V460" s="174"/>
      <c r="W460" s="174"/>
      <c r="X460" s="174"/>
      <c r="Y460" s="174"/>
      <c r="Z460" s="174"/>
      <c r="AA460" s="174"/>
      <c r="AB460" s="174"/>
      <c r="AC460" s="174"/>
      <c r="AD460" s="174"/>
      <c r="AE460" s="181"/>
    </row>
    <row r="461" spans="1:31">
      <c r="A461" s="214"/>
      <c r="B461" s="407" t="s">
        <v>114</v>
      </c>
      <c r="C461" s="100" t="s">
        <v>675</v>
      </c>
      <c r="D461" s="423" t="s">
        <v>764</v>
      </c>
      <c r="E461" s="421">
        <v>4</v>
      </c>
      <c r="F461" s="299" t="str">
        <f>""&amp;Table12[[#This Row],[TTM Stage]]&amp;Table12[[#This Row],[Task No.]]&amp;"-"&amp;Table12[[#This Row],[Type of activity]]&amp;"-"&amp;Table12[[#This Row],[TargetGroup]]</f>
        <v>A4-M4 - A-Young</v>
      </c>
      <c r="G461" s="178"/>
      <c r="H461" s="178"/>
      <c r="I461" s="179"/>
      <c r="J461" s="287"/>
      <c r="K461" s="272"/>
      <c r="L461" s="431"/>
      <c r="M461" s="427" t="s">
        <v>65</v>
      </c>
      <c r="N461" s="449" t="s">
        <v>687</v>
      </c>
      <c r="O461" s="180"/>
      <c r="P461" s="180"/>
      <c r="Q461" s="180"/>
      <c r="R461" s="180"/>
      <c r="S461" s="180"/>
      <c r="T461" s="174"/>
      <c r="U461" s="174"/>
      <c r="V461" s="174"/>
      <c r="W461" s="174"/>
      <c r="X461" s="174"/>
      <c r="Y461" s="174"/>
      <c r="Z461" s="174"/>
      <c r="AA461" s="174"/>
      <c r="AB461" s="174"/>
      <c r="AC461" s="174"/>
      <c r="AD461" s="174"/>
      <c r="AE461" s="181"/>
    </row>
    <row r="462" spans="1:31">
      <c r="A462" s="214"/>
      <c r="B462" s="407" t="s">
        <v>114</v>
      </c>
      <c r="C462" s="100" t="s">
        <v>675</v>
      </c>
      <c r="D462" s="424" t="s">
        <v>778</v>
      </c>
      <c r="E462" s="421">
        <v>1</v>
      </c>
      <c r="F462" s="299" t="str">
        <f>""&amp;Table12[[#This Row],[TTM Stage]]&amp;Table12[[#This Row],[Task No.]]&amp;"-"&amp;Table12[[#This Row],[Type of activity]]&amp;"-"&amp;Table12[[#This Row],[TargetGroup]]</f>
        <v>M1-M4 - A-Young</v>
      </c>
      <c r="G462" s="178"/>
      <c r="H462" s="178"/>
      <c r="I462" s="179"/>
      <c r="J462" s="287"/>
      <c r="K462" s="272"/>
      <c r="L462" s="431"/>
      <c r="M462" s="427" t="s">
        <v>65</v>
      </c>
      <c r="N462" s="449" t="s">
        <v>587</v>
      </c>
      <c r="O462" s="180"/>
      <c r="P462" s="180"/>
      <c r="Q462" s="180"/>
      <c r="R462" s="180"/>
      <c r="S462" s="180"/>
      <c r="T462" s="174"/>
      <c r="U462" s="174"/>
      <c r="V462" s="174"/>
      <c r="W462" s="174"/>
      <c r="X462" s="174"/>
      <c r="Y462" s="174"/>
      <c r="Z462" s="174"/>
      <c r="AA462" s="174"/>
      <c r="AB462" s="174"/>
      <c r="AC462" s="174"/>
      <c r="AD462" s="174"/>
      <c r="AE462" s="181"/>
    </row>
    <row r="463" spans="1:31">
      <c r="A463" s="214"/>
      <c r="B463" s="407" t="s">
        <v>114</v>
      </c>
      <c r="C463" s="100" t="s">
        <v>675</v>
      </c>
      <c r="D463" s="424" t="s">
        <v>778</v>
      </c>
      <c r="E463" s="421">
        <v>2</v>
      </c>
      <c r="F463" s="299" t="str">
        <f>""&amp;Table12[[#This Row],[TTM Stage]]&amp;Table12[[#This Row],[Task No.]]&amp;"-"&amp;Table12[[#This Row],[Type of activity]]&amp;"-"&amp;Table12[[#This Row],[TargetGroup]]</f>
        <v>M2-M4 - A-Young</v>
      </c>
      <c r="G463" s="178"/>
      <c r="H463" s="178"/>
      <c r="I463" s="179"/>
      <c r="J463" s="287"/>
      <c r="K463" s="272"/>
      <c r="L463" s="431"/>
      <c r="M463" s="427" t="s">
        <v>65</v>
      </c>
      <c r="N463" s="449" t="s">
        <v>688</v>
      </c>
      <c r="O463" s="180"/>
      <c r="P463" s="180"/>
      <c r="Q463" s="180"/>
      <c r="R463" s="180"/>
      <c r="S463" s="180"/>
      <c r="T463" s="174"/>
      <c r="U463" s="174"/>
      <c r="V463" s="174"/>
      <c r="W463" s="174"/>
      <c r="X463" s="174"/>
      <c r="Y463" s="174"/>
      <c r="Z463" s="174"/>
      <c r="AA463" s="174"/>
      <c r="AB463" s="174"/>
      <c r="AC463" s="174"/>
      <c r="AD463" s="174"/>
      <c r="AE463" s="181"/>
    </row>
    <row r="464" spans="1:31">
      <c r="A464" s="214"/>
      <c r="B464" s="407" t="s">
        <v>114</v>
      </c>
      <c r="C464" s="100" t="s">
        <v>675</v>
      </c>
      <c r="D464" s="424" t="s">
        <v>778</v>
      </c>
      <c r="E464" s="421">
        <v>3</v>
      </c>
      <c r="F464" s="326" t="str">
        <f>""&amp;Table12[[#This Row],[TTM Stage]]&amp;Table12[[#This Row],[Task No.]]&amp;"-"&amp;Table12[[#This Row],[Type of activity]]&amp;"-"&amp;Table12[[#This Row],[TargetGroup]]</f>
        <v>M3-M4 - A-Young</v>
      </c>
      <c r="G464" s="189"/>
      <c r="H464" s="189"/>
      <c r="I464" s="190"/>
      <c r="J464" s="415"/>
      <c r="K464" s="291"/>
      <c r="L464" s="431"/>
      <c r="M464" s="427" t="s">
        <v>65</v>
      </c>
      <c r="N464" s="452" t="s">
        <v>85</v>
      </c>
      <c r="O464" s="417"/>
      <c r="P464" s="417"/>
      <c r="Q464" s="417"/>
      <c r="R464" s="191"/>
      <c r="S464" s="191"/>
      <c r="T464" s="188"/>
      <c r="U464" s="188"/>
      <c r="V464" s="188"/>
      <c r="W464" s="188"/>
      <c r="X464" s="188"/>
      <c r="Y464" s="188"/>
      <c r="Z464" s="188"/>
      <c r="AA464" s="188"/>
      <c r="AB464" s="188"/>
      <c r="AC464" s="188"/>
      <c r="AD464" s="188"/>
      <c r="AE464" s="192"/>
    </row>
    <row r="465" spans="1:31">
      <c r="A465" s="214"/>
      <c r="B465" s="407" t="s">
        <v>114</v>
      </c>
      <c r="C465" s="100" t="s">
        <v>675</v>
      </c>
      <c r="D465" s="425" t="s">
        <v>778</v>
      </c>
      <c r="E465" s="426">
        <v>4</v>
      </c>
      <c r="F465" s="299" t="str">
        <f>""&amp;Table12[[#This Row],[TTM Stage]]&amp;Table12[[#This Row],[Task No.]]&amp;"-"&amp;Table12[[#This Row],[Type of activity]]&amp;"-"&amp;Table12[[#This Row],[TargetGroup]]</f>
        <v>M4-M4 - A-Young</v>
      </c>
      <c r="G465" s="178"/>
      <c r="H465" s="178"/>
      <c r="I465" s="179"/>
      <c r="J465" s="287"/>
      <c r="K465" s="272"/>
      <c r="L465" s="431"/>
      <c r="M465" s="427" t="s">
        <v>65</v>
      </c>
      <c r="N465" s="449" t="s">
        <v>692</v>
      </c>
      <c r="O465" s="180"/>
      <c r="P465" s="180"/>
      <c r="Q465" s="180"/>
      <c r="R465" s="180"/>
      <c r="S465" s="180"/>
      <c r="T465" s="174"/>
      <c r="U465" s="174"/>
      <c r="V465" s="174"/>
      <c r="W465" s="174"/>
      <c r="X465" s="174"/>
      <c r="Y465" s="174"/>
      <c r="Z465" s="174"/>
      <c r="AA465" s="174"/>
      <c r="AB465" s="174"/>
      <c r="AC465" s="174"/>
      <c r="AD465" s="174"/>
      <c r="AE465" s="181"/>
    </row>
    <row r="466" spans="1:31">
      <c r="A466" s="214"/>
      <c r="B466" s="407" t="s">
        <v>114</v>
      </c>
      <c r="C466" s="100" t="s">
        <v>689</v>
      </c>
      <c r="D466" s="420" t="s">
        <v>735</v>
      </c>
      <c r="E466" s="421">
        <v>1</v>
      </c>
      <c r="F466" s="299" t="str">
        <f>""&amp;Table12[[#This Row],[TTM Stage]]&amp;Table12[[#This Row],[Task No.]]&amp;"-"&amp;Table12[[#This Row],[Type of activity]]&amp;"-"&amp;Table12[[#This Row],[TargetGroup]]</f>
        <v>PC1-M4 - B-Young</v>
      </c>
      <c r="G466" s="178"/>
      <c r="H466" s="178"/>
      <c r="I466" s="179"/>
      <c r="J466" s="287"/>
      <c r="K466" s="272"/>
      <c r="L466" s="431"/>
      <c r="M466" s="427" t="s">
        <v>65</v>
      </c>
      <c r="N466" s="449" t="s">
        <v>587</v>
      </c>
      <c r="O466" s="180"/>
      <c r="P466" s="180"/>
      <c r="Q466" s="180"/>
      <c r="R466" s="180"/>
      <c r="S466" s="180"/>
      <c r="T466" s="174"/>
      <c r="U466" s="174"/>
      <c r="V466" s="174"/>
      <c r="W466" s="174"/>
      <c r="X466" s="174"/>
      <c r="Y466" s="174"/>
      <c r="Z466" s="174"/>
      <c r="AA466" s="174"/>
      <c r="AB466" s="174"/>
      <c r="AC466" s="174"/>
      <c r="AD466" s="174"/>
      <c r="AE466" s="181"/>
    </row>
    <row r="467" spans="1:31">
      <c r="A467" s="214"/>
      <c r="B467" s="407" t="s">
        <v>114</v>
      </c>
      <c r="C467" s="100" t="s">
        <v>689</v>
      </c>
      <c r="D467" s="420" t="s">
        <v>735</v>
      </c>
      <c r="E467" s="421">
        <v>2</v>
      </c>
      <c r="F467" s="299" t="str">
        <f>""&amp;Table12[[#This Row],[TTM Stage]]&amp;Table12[[#This Row],[Task No.]]&amp;"-"&amp;Table12[[#This Row],[Type of activity]]&amp;"-"&amp;Table12[[#This Row],[TargetGroup]]</f>
        <v>PC2-M4 - B-Young</v>
      </c>
      <c r="G467" s="178"/>
      <c r="H467" s="178"/>
      <c r="I467" s="179"/>
      <c r="J467" s="287"/>
      <c r="K467" s="272"/>
      <c r="L467" s="431"/>
      <c r="M467" s="427" t="s">
        <v>65</v>
      </c>
      <c r="N467" s="449" t="s">
        <v>693</v>
      </c>
      <c r="O467" s="180"/>
      <c r="P467" s="180"/>
      <c r="Q467" s="180"/>
      <c r="R467" s="180"/>
      <c r="S467" s="180"/>
      <c r="T467" s="174"/>
      <c r="U467" s="174"/>
      <c r="V467" s="174"/>
      <c r="W467" s="174"/>
      <c r="X467" s="174"/>
      <c r="Y467" s="174"/>
      <c r="Z467" s="174"/>
      <c r="AA467" s="174"/>
      <c r="AB467" s="174"/>
      <c r="AC467" s="174"/>
      <c r="AD467" s="174"/>
      <c r="AE467" s="181"/>
    </row>
    <row r="468" spans="1:31">
      <c r="A468" s="214"/>
      <c r="B468" s="407" t="s">
        <v>114</v>
      </c>
      <c r="C468" s="100" t="s">
        <v>689</v>
      </c>
      <c r="D468" s="421" t="s">
        <v>743</v>
      </c>
      <c r="E468" s="421">
        <v>1</v>
      </c>
      <c r="F468" s="299" t="str">
        <f>""&amp;Table12[[#This Row],[TTM Stage]]&amp;Table12[[#This Row],[Task No.]]&amp;"-"&amp;Table12[[#This Row],[Type of activity]]&amp;"-"&amp;Table12[[#This Row],[TargetGroup]]</f>
        <v>C1-M4 - B-Young</v>
      </c>
      <c r="G468" s="178"/>
      <c r="H468" s="178"/>
      <c r="I468" s="179"/>
      <c r="J468" s="287"/>
      <c r="K468" s="272"/>
      <c r="L468" s="431"/>
      <c r="M468" s="427" t="s">
        <v>65</v>
      </c>
      <c r="N468" s="449" t="s">
        <v>694</v>
      </c>
      <c r="O468" s="180"/>
      <c r="P468" s="180"/>
      <c r="Q468" s="180"/>
      <c r="R468" s="180"/>
      <c r="S468" s="180"/>
      <c r="T468" s="174"/>
      <c r="U468" s="174"/>
      <c r="V468" s="174"/>
      <c r="W468" s="174"/>
      <c r="X468" s="174"/>
      <c r="Y468" s="174"/>
      <c r="Z468" s="174"/>
      <c r="AA468" s="174"/>
      <c r="AB468" s="174"/>
      <c r="AC468" s="174"/>
      <c r="AD468" s="174"/>
      <c r="AE468" s="181"/>
    </row>
    <row r="469" spans="1:31">
      <c r="A469" s="214"/>
      <c r="B469" s="407" t="s">
        <v>114</v>
      </c>
      <c r="C469" s="100" t="s">
        <v>689</v>
      </c>
      <c r="D469" s="421" t="s">
        <v>743</v>
      </c>
      <c r="E469" s="421">
        <v>2</v>
      </c>
      <c r="F469" s="299" t="str">
        <f>""&amp;Table12[[#This Row],[TTM Stage]]&amp;Table12[[#This Row],[Task No.]]&amp;"-"&amp;Table12[[#This Row],[Type of activity]]&amp;"-"&amp;Table12[[#This Row],[TargetGroup]]</f>
        <v>C2-M4 - B-Young</v>
      </c>
      <c r="G469" s="178"/>
      <c r="H469" s="178"/>
      <c r="I469" s="179"/>
      <c r="J469" s="287"/>
      <c r="K469" s="272"/>
      <c r="L469" s="431"/>
      <c r="M469" s="427" t="s">
        <v>65</v>
      </c>
      <c r="N469" s="449" t="s">
        <v>695</v>
      </c>
      <c r="O469" s="180"/>
      <c r="P469" s="180"/>
      <c r="Q469" s="180"/>
      <c r="R469" s="180"/>
      <c r="S469" s="180"/>
      <c r="T469" s="174"/>
      <c r="U469" s="174"/>
      <c r="V469" s="174"/>
      <c r="W469" s="174"/>
      <c r="X469" s="174"/>
      <c r="Y469" s="174"/>
      <c r="Z469" s="174"/>
      <c r="AA469" s="174"/>
      <c r="AB469" s="174"/>
      <c r="AC469" s="174"/>
      <c r="AD469" s="174"/>
      <c r="AE469" s="181"/>
    </row>
    <row r="470" spans="1:31">
      <c r="A470" s="214"/>
      <c r="B470" s="407" t="s">
        <v>114</v>
      </c>
      <c r="C470" s="100" t="s">
        <v>689</v>
      </c>
      <c r="D470" s="422" t="s">
        <v>750</v>
      </c>
      <c r="E470" s="421">
        <v>1</v>
      </c>
      <c r="F470" s="299" t="str">
        <f>""&amp;Table12[[#This Row],[TTM Stage]]&amp;Table12[[#This Row],[Task No.]]&amp;"-"&amp;Table12[[#This Row],[Type of activity]]&amp;"-"&amp;Table12[[#This Row],[TargetGroup]]</f>
        <v>P1-M4 - B-Young</v>
      </c>
      <c r="G470" s="178"/>
      <c r="H470" s="178"/>
      <c r="I470" s="179"/>
      <c r="J470" s="287"/>
      <c r="K470" s="272"/>
      <c r="L470" s="431"/>
      <c r="M470" s="427" t="s">
        <v>65</v>
      </c>
      <c r="N470" s="449" t="s">
        <v>696</v>
      </c>
      <c r="O470" s="180"/>
      <c r="P470" s="180"/>
      <c r="Q470" s="180"/>
      <c r="R470" s="180"/>
      <c r="S470" s="180"/>
      <c r="T470" s="174"/>
      <c r="U470" s="174"/>
      <c r="V470" s="174"/>
      <c r="W470" s="174"/>
      <c r="X470" s="174"/>
      <c r="Y470" s="174"/>
      <c r="Z470" s="174"/>
      <c r="AA470" s="174"/>
      <c r="AB470" s="174"/>
      <c r="AC470" s="174"/>
      <c r="AD470" s="174"/>
      <c r="AE470" s="181"/>
    </row>
    <row r="471" spans="1:31" ht="15.75">
      <c r="A471" s="214"/>
      <c r="B471" s="407" t="s">
        <v>114</v>
      </c>
      <c r="C471" s="100" t="s">
        <v>689</v>
      </c>
      <c r="D471" s="422" t="s">
        <v>750</v>
      </c>
      <c r="E471" s="421">
        <v>2</v>
      </c>
      <c r="F471" s="299" t="str">
        <f>""&amp;Table12[[#This Row],[TTM Stage]]&amp;Table12[[#This Row],[Task No.]]&amp;"-"&amp;Table12[[#This Row],[Type of activity]]&amp;"-"&amp;Table12[[#This Row],[TargetGroup]]</f>
        <v>P2-M4 - B-Young</v>
      </c>
      <c r="G471" s="178"/>
      <c r="H471" s="178"/>
      <c r="I471" s="179"/>
      <c r="J471" s="287"/>
      <c r="K471" s="272"/>
      <c r="L471" s="431"/>
      <c r="M471" s="427" t="s">
        <v>65</v>
      </c>
      <c r="N471" s="449"/>
      <c r="O471" s="180"/>
      <c r="P471" s="180"/>
      <c r="Q471" s="180"/>
      <c r="R471" s="180"/>
      <c r="S471" s="180"/>
      <c r="T471" s="174"/>
      <c r="U471" s="174"/>
      <c r="V471" s="174"/>
      <c r="W471" s="174"/>
      <c r="X471" s="174"/>
      <c r="Y471" s="174"/>
      <c r="Z471" s="174"/>
      <c r="AA471" s="174"/>
      <c r="AB471" s="174"/>
      <c r="AC471" s="174"/>
      <c r="AD471" s="174"/>
      <c r="AE471" s="181"/>
    </row>
    <row r="472" spans="1:31">
      <c r="A472" s="214"/>
      <c r="B472" s="407" t="s">
        <v>114</v>
      </c>
      <c r="C472" s="100" t="s">
        <v>689</v>
      </c>
      <c r="D472" s="423" t="s">
        <v>764</v>
      </c>
      <c r="E472" s="421">
        <v>1</v>
      </c>
      <c r="F472" s="299" t="str">
        <f>""&amp;Table12[[#This Row],[TTM Stage]]&amp;Table12[[#This Row],[Task No.]]&amp;"-"&amp;Table12[[#This Row],[Type of activity]]&amp;"-"&amp;Table12[[#This Row],[TargetGroup]]</f>
        <v>A1-M4 - B-Young</v>
      </c>
      <c r="G472" s="178"/>
      <c r="H472" s="178"/>
      <c r="I472" s="179"/>
      <c r="J472" s="287"/>
      <c r="K472" s="272"/>
      <c r="L472" s="431"/>
      <c r="M472" s="427" t="s">
        <v>65</v>
      </c>
      <c r="N472" s="449" t="s">
        <v>697</v>
      </c>
      <c r="O472" s="180"/>
      <c r="P472" s="180"/>
      <c r="Q472" s="180"/>
      <c r="R472" s="180"/>
      <c r="S472" s="180"/>
      <c r="T472" s="174"/>
      <c r="U472" s="174"/>
      <c r="V472" s="174"/>
      <c r="W472" s="174"/>
      <c r="X472" s="174"/>
      <c r="Y472" s="174"/>
      <c r="Z472" s="174"/>
      <c r="AA472" s="174"/>
      <c r="AB472" s="174"/>
      <c r="AC472" s="174"/>
      <c r="AD472" s="174"/>
      <c r="AE472" s="181"/>
    </row>
    <row r="473" spans="1:31">
      <c r="A473" s="214"/>
      <c r="B473" s="407" t="s">
        <v>114</v>
      </c>
      <c r="C473" s="100" t="s">
        <v>689</v>
      </c>
      <c r="D473" s="423" t="s">
        <v>764</v>
      </c>
      <c r="E473" s="421">
        <v>2</v>
      </c>
      <c r="F473" s="299" t="str">
        <f>""&amp;Table12[[#This Row],[TTM Stage]]&amp;Table12[[#This Row],[Task No.]]&amp;"-"&amp;Table12[[#This Row],[Type of activity]]&amp;"-"&amp;Table12[[#This Row],[TargetGroup]]</f>
        <v>A2-M4 - B-Young</v>
      </c>
      <c r="G473" s="178"/>
      <c r="H473" s="178"/>
      <c r="I473" s="179"/>
      <c r="J473" s="287"/>
      <c r="K473" s="272"/>
      <c r="L473" s="431"/>
      <c r="M473" s="427" t="s">
        <v>65</v>
      </c>
      <c r="N473" s="449" t="s">
        <v>698</v>
      </c>
      <c r="O473" s="180"/>
      <c r="P473" s="180"/>
      <c r="Q473" s="180"/>
      <c r="R473" s="180"/>
      <c r="S473" s="180"/>
      <c r="T473" s="174"/>
      <c r="U473" s="174"/>
      <c r="V473" s="174"/>
      <c r="W473" s="174"/>
      <c r="X473" s="174"/>
      <c r="Y473" s="174"/>
      <c r="Z473" s="174"/>
      <c r="AA473" s="174"/>
      <c r="AB473" s="174"/>
      <c r="AC473" s="174"/>
      <c r="AD473" s="174"/>
      <c r="AE473" s="181"/>
    </row>
    <row r="474" spans="1:31">
      <c r="A474" s="214"/>
      <c r="B474" s="407" t="s">
        <v>114</v>
      </c>
      <c r="C474" s="100" t="s">
        <v>689</v>
      </c>
      <c r="D474" s="423" t="s">
        <v>764</v>
      </c>
      <c r="E474" s="421">
        <v>3</v>
      </c>
      <c r="F474" s="299" t="str">
        <f>""&amp;Table12[[#This Row],[TTM Stage]]&amp;Table12[[#This Row],[Task No.]]&amp;"-"&amp;Table12[[#This Row],[Type of activity]]&amp;"-"&amp;Table12[[#This Row],[TargetGroup]]</f>
        <v>A3-M4 - B-Young</v>
      </c>
      <c r="G474" s="178"/>
      <c r="H474" s="178"/>
      <c r="I474" s="179"/>
      <c r="J474" s="287"/>
      <c r="K474" s="272"/>
      <c r="L474" s="431"/>
      <c r="M474" s="427" t="s">
        <v>65</v>
      </c>
      <c r="N474" s="453" t="s">
        <v>699</v>
      </c>
      <c r="O474" s="418"/>
      <c r="P474" s="418"/>
      <c r="Q474" s="418"/>
      <c r="R474" s="180"/>
      <c r="S474" s="180"/>
      <c r="T474" s="174"/>
      <c r="U474" s="174"/>
      <c r="V474" s="174"/>
      <c r="W474" s="174"/>
      <c r="X474" s="174"/>
      <c r="Y474" s="174"/>
      <c r="Z474" s="174"/>
      <c r="AA474" s="174"/>
      <c r="AB474" s="174"/>
      <c r="AC474" s="174"/>
      <c r="AD474" s="174"/>
      <c r="AE474" s="181"/>
    </row>
    <row r="475" spans="1:31">
      <c r="A475" s="214"/>
      <c r="B475" s="407" t="s">
        <v>114</v>
      </c>
      <c r="C475" s="100" t="s">
        <v>689</v>
      </c>
      <c r="D475" s="423" t="s">
        <v>764</v>
      </c>
      <c r="E475" s="421">
        <v>4</v>
      </c>
      <c r="F475" s="299" t="str">
        <f>""&amp;Table12[[#This Row],[TTM Stage]]&amp;Table12[[#This Row],[Task No.]]&amp;"-"&amp;Table12[[#This Row],[Type of activity]]&amp;"-"&amp;Table12[[#This Row],[TargetGroup]]</f>
        <v>A4-M4 - B-Young</v>
      </c>
      <c r="G475" s="178"/>
      <c r="H475" s="178"/>
      <c r="I475" s="179"/>
      <c r="J475" s="287"/>
      <c r="K475" s="272"/>
      <c r="L475" s="431"/>
      <c r="M475" s="427" t="s">
        <v>65</v>
      </c>
      <c r="N475" s="449" t="s">
        <v>700</v>
      </c>
      <c r="O475" s="180"/>
      <c r="P475" s="180"/>
      <c r="Q475" s="180"/>
      <c r="R475" s="180"/>
      <c r="S475" s="180"/>
      <c r="T475" s="174"/>
      <c r="U475" s="174"/>
      <c r="V475" s="174"/>
      <c r="W475" s="174"/>
      <c r="X475" s="174"/>
      <c r="Y475" s="174"/>
      <c r="Z475" s="174"/>
      <c r="AA475" s="174"/>
      <c r="AB475" s="174"/>
      <c r="AC475" s="174"/>
      <c r="AD475" s="174"/>
      <c r="AE475" s="181"/>
    </row>
    <row r="476" spans="1:31">
      <c r="A476" s="214"/>
      <c r="B476" s="407" t="s">
        <v>114</v>
      </c>
      <c r="C476" s="100" t="s">
        <v>689</v>
      </c>
      <c r="D476" s="424" t="s">
        <v>778</v>
      </c>
      <c r="E476" s="421">
        <v>1</v>
      </c>
      <c r="F476" s="299" t="str">
        <f>""&amp;Table12[[#This Row],[TTM Stage]]&amp;Table12[[#This Row],[Task No.]]&amp;"-"&amp;Table12[[#This Row],[Type of activity]]&amp;"-"&amp;Table12[[#This Row],[TargetGroup]]</f>
        <v>M1-M4 - B-Young</v>
      </c>
      <c r="G476" s="178"/>
      <c r="H476" s="178"/>
      <c r="I476" s="179"/>
      <c r="J476" s="287"/>
      <c r="K476" s="272"/>
      <c r="L476" s="431"/>
      <c r="M476" s="427" t="s">
        <v>65</v>
      </c>
      <c r="N476" s="449" t="s">
        <v>587</v>
      </c>
      <c r="O476" s="180"/>
      <c r="P476" s="180"/>
      <c r="Q476" s="180"/>
      <c r="R476" s="180"/>
      <c r="S476" s="180"/>
      <c r="T476" s="174"/>
      <c r="U476" s="174"/>
      <c r="V476" s="174"/>
      <c r="W476" s="174"/>
      <c r="X476" s="174"/>
      <c r="Y476" s="174"/>
      <c r="Z476" s="174"/>
      <c r="AA476" s="174"/>
      <c r="AB476" s="174"/>
      <c r="AC476" s="174"/>
      <c r="AD476" s="174"/>
      <c r="AE476" s="181"/>
    </row>
    <row r="477" spans="1:31">
      <c r="A477" s="214"/>
      <c r="B477" s="407" t="s">
        <v>114</v>
      </c>
      <c r="C477" s="100" t="s">
        <v>689</v>
      </c>
      <c r="D477" s="424" t="s">
        <v>778</v>
      </c>
      <c r="E477" s="421">
        <v>2</v>
      </c>
      <c r="F477" s="299" t="str">
        <f>""&amp;Table12[[#This Row],[TTM Stage]]&amp;Table12[[#This Row],[Task No.]]&amp;"-"&amp;Table12[[#This Row],[Type of activity]]&amp;"-"&amp;Table12[[#This Row],[TargetGroup]]</f>
        <v>M2-M4 - B-Young</v>
      </c>
      <c r="G477" s="178"/>
      <c r="H477" s="178"/>
      <c r="I477" s="179"/>
      <c r="J477" s="287"/>
      <c r="K477" s="272"/>
      <c r="L477" s="431"/>
      <c r="M477" s="427" t="s">
        <v>65</v>
      </c>
      <c r="N477" s="449" t="s">
        <v>701</v>
      </c>
      <c r="O477" s="180"/>
      <c r="P477" s="180"/>
      <c r="Q477" s="180"/>
      <c r="R477" s="180"/>
      <c r="S477" s="180"/>
      <c r="T477" s="174"/>
      <c r="U477" s="174"/>
      <c r="V477" s="174"/>
      <c r="W477" s="174"/>
      <c r="X477" s="174"/>
      <c r="Y477" s="174"/>
      <c r="Z477" s="174"/>
      <c r="AA477" s="174"/>
      <c r="AB477" s="174"/>
      <c r="AC477" s="174"/>
      <c r="AD477" s="174"/>
      <c r="AE477" s="181"/>
    </row>
    <row r="478" spans="1:31">
      <c r="A478" s="214"/>
      <c r="B478" s="407" t="s">
        <v>114</v>
      </c>
      <c r="C478" s="100" t="s">
        <v>689</v>
      </c>
      <c r="D478" s="424" t="s">
        <v>778</v>
      </c>
      <c r="E478" s="421">
        <v>3</v>
      </c>
      <c r="F478" s="326" t="str">
        <f>""&amp;Table12[[#This Row],[TTM Stage]]&amp;Table12[[#This Row],[Task No.]]&amp;"-"&amp;Table12[[#This Row],[Type of activity]]&amp;"-"&amp;Table12[[#This Row],[TargetGroup]]</f>
        <v>M3-M4 - B-Young</v>
      </c>
      <c r="G478" s="189"/>
      <c r="H478" s="189"/>
      <c r="I478" s="190"/>
      <c r="J478" s="415"/>
      <c r="K478" s="291"/>
      <c r="L478" s="431"/>
      <c r="M478" s="427" t="s">
        <v>65</v>
      </c>
      <c r="N478" s="452" t="s">
        <v>85</v>
      </c>
      <c r="O478" s="417"/>
      <c r="P478" s="417"/>
      <c r="Q478" s="417"/>
      <c r="R478" s="191"/>
      <c r="S478" s="191"/>
      <c r="T478" s="188"/>
      <c r="U478" s="188"/>
      <c r="V478" s="188"/>
      <c r="W478" s="188"/>
      <c r="X478" s="188"/>
      <c r="Y478" s="188"/>
      <c r="Z478" s="188"/>
      <c r="AA478" s="188"/>
      <c r="AB478" s="188"/>
      <c r="AC478" s="188"/>
      <c r="AD478" s="188"/>
      <c r="AE478" s="192"/>
    </row>
    <row r="479" spans="1:31" ht="15" customHeight="1">
      <c r="A479" s="214"/>
      <c r="B479" s="407" t="s">
        <v>114</v>
      </c>
      <c r="C479" s="100" t="s">
        <v>689</v>
      </c>
      <c r="D479" s="425" t="s">
        <v>778</v>
      </c>
      <c r="E479" s="426">
        <v>4</v>
      </c>
      <c r="F479" s="299" t="str">
        <f>""&amp;Table12[[#This Row],[TTM Stage]]&amp;Table12[[#This Row],[Task No.]]&amp;"-"&amp;Table12[[#This Row],[Type of activity]]&amp;"-"&amp;Table12[[#This Row],[TargetGroup]]</f>
        <v>M4-M4 - B-Young</v>
      </c>
      <c r="G479" s="178"/>
      <c r="H479" s="178"/>
      <c r="I479" s="179"/>
      <c r="J479" s="287"/>
      <c r="K479" s="272"/>
      <c r="L479" s="431"/>
      <c r="M479" s="427" t="s">
        <v>65</v>
      </c>
      <c r="N479" s="449"/>
      <c r="O479" s="180"/>
      <c r="P479" s="180"/>
      <c r="Q479" s="180"/>
      <c r="R479" s="180"/>
      <c r="S479" s="180"/>
      <c r="T479" s="174"/>
      <c r="U479" s="174"/>
      <c r="V479" s="174"/>
      <c r="W479" s="174"/>
      <c r="X479" s="174"/>
      <c r="Y479" s="174"/>
      <c r="Z479" s="174"/>
      <c r="AA479" s="174"/>
      <c r="AB479" s="174"/>
      <c r="AC479" s="174"/>
      <c r="AD479" s="174"/>
      <c r="AE479" s="181"/>
    </row>
  </sheetData>
  <sheetProtection insertRows="0" deleteRows="0" selectLockedCells="1" sort="0" autoFilter="0"/>
  <mergeCells count="2">
    <mergeCell ref="V1:X1"/>
    <mergeCell ref="Z1:AB1"/>
  </mergeCells>
  <phoneticPr fontId="51" type="noConversion"/>
  <conditionalFormatting sqref="B76">
    <cfRule type="expression" dxfId="167" priority="188">
      <formula>FIND($B173,"PA")</formula>
    </cfRule>
  </conditionalFormatting>
  <conditionalFormatting sqref="B3:C3">
    <cfRule type="expression" dxfId="166" priority="174">
      <formula>FIND(#REF!,"PA")</formula>
    </cfRule>
  </conditionalFormatting>
  <conditionalFormatting sqref="B87:C88">
    <cfRule type="expression" dxfId="165" priority="113">
      <formula>FIND($B173,"PA")</formula>
    </cfRule>
  </conditionalFormatting>
  <conditionalFormatting sqref="B85:C86">
    <cfRule type="expression" dxfId="164" priority="104">
      <formula>FIND($B172,"PA")</formula>
    </cfRule>
  </conditionalFormatting>
  <conditionalFormatting sqref="B111:C112 B77:C82">
    <cfRule type="expression" dxfId="163" priority="117">
      <formula>FIND($B168,"PA")</formula>
    </cfRule>
  </conditionalFormatting>
  <conditionalFormatting sqref="B7:C7">
    <cfRule type="expression" dxfId="162" priority="121">
      <formula>FIND($B107,"PA")</formula>
    </cfRule>
  </conditionalFormatting>
  <conditionalFormatting sqref="B8:C8">
    <cfRule type="expression" dxfId="161" priority="125">
      <formula>FIND($B109,"PA")</formula>
    </cfRule>
  </conditionalFormatting>
  <conditionalFormatting sqref="B9:C9">
    <cfRule type="expression" dxfId="160" priority="129">
      <formula>FIND($B111,"PA")</formula>
    </cfRule>
  </conditionalFormatting>
  <conditionalFormatting sqref="B10:C10">
    <cfRule type="expression" dxfId="159" priority="133">
      <formula>FIND($B114,"PA")</formula>
    </cfRule>
  </conditionalFormatting>
  <conditionalFormatting sqref="B11:C11">
    <cfRule type="expression" dxfId="158" priority="137">
      <formula>FIND($B116,"PA")</formula>
    </cfRule>
  </conditionalFormatting>
  <conditionalFormatting sqref="B63:C75">
    <cfRule type="expression" dxfId="157" priority="141">
      <formula>FIND($B167,"PA")</formula>
    </cfRule>
  </conditionalFormatting>
  <conditionalFormatting sqref="B13:C13 B59:C59 B61 C60:C62">
    <cfRule type="expression" dxfId="156" priority="145">
      <formula>FIND($B120,"PA")</formula>
    </cfRule>
  </conditionalFormatting>
  <conditionalFormatting sqref="B14:C14">
    <cfRule type="expression" dxfId="155" priority="149">
      <formula>FIND($B122,"PA")</formula>
    </cfRule>
  </conditionalFormatting>
  <conditionalFormatting sqref="B15:C15">
    <cfRule type="expression" dxfId="154" priority="153">
      <formula>FIND($B124,"PA")</formula>
    </cfRule>
  </conditionalFormatting>
  <conditionalFormatting sqref="B16:C16">
    <cfRule type="expression" dxfId="153" priority="156">
      <formula>FIND($B126,"PA")</formula>
    </cfRule>
  </conditionalFormatting>
  <conditionalFormatting sqref="B23:C34 B37:C54 B55:B58 C54:C58 B60 B62">
    <cfRule type="expression" dxfId="152" priority="189">
      <formula>FIND($B135,"PA")</formula>
    </cfRule>
  </conditionalFormatting>
  <conditionalFormatting sqref="B91:C92">
    <cfRule type="expression" dxfId="151" priority="107">
      <formula>FIND($B174,"PA")</formula>
    </cfRule>
  </conditionalFormatting>
  <conditionalFormatting sqref="C76">
    <cfRule type="expression" dxfId="150" priority="181">
      <formula>FIND($B168,"PA")</formula>
    </cfRule>
    <cfRule type="expression" dxfId="149" priority="186">
      <formula>FIND($B171,"PA")</formula>
    </cfRule>
  </conditionalFormatting>
  <conditionalFormatting sqref="C91:E92 C3:E88">
    <cfRule type="cellIs" dxfId="148" priority="100" operator="equal">
      <formula>"''"</formula>
    </cfRule>
    <cfRule type="cellIs" dxfId="147" priority="102" operator="equal">
      <formula>""""""</formula>
    </cfRule>
  </conditionalFormatting>
  <conditionalFormatting sqref="F91:F92 F45:F88">
    <cfRule type="duplicateValues" dxfId="146" priority="179"/>
  </conditionalFormatting>
  <conditionalFormatting sqref="B83:C84">
    <cfRule type="expression" dxfId="145" priority="191">
      <formula>FIND($B172,"PA")</formula>
    </cfRule>
  </conditionalFormatting>
  <conditionalFormatting sqref="C89:E90">
    <cfRule type="cellIs" dxfId="144" priority="96" operator="equal">
      <formula>"''"</formula>
    </cfRule>
    <cfRule type="cellIs" dxfId="143" priority="97" operator="equal">
      <formula>""""""</formula>
    </cfRule>
  </conditionalFormatting>
  <conditionalFormatting sqref="B89:C90">
    <cfRule type="expression" dxfId="142" priority="98">
      <formula>FIND($B185,"PA")</formula>
    </cfRule>
  </conditionalFormatting>
  <conditionalFormatting sqref="F89:F90">
    <cfRule type="duplicateValues" dxfId="141" priority="99"/>
  </conditionalFormatting>
  <conditionalFormatting sqref="C93:E108">
    <cfRule type="cellIs" dxfId="140" priority="91" operator="equal">
      <formula>"''"</formula>
    </cfRule>
    <cfRule type="cellIs" dxfId="139" priority="92" operator="equal">
      <formula>""""""</formula>
    </cfRule>
  </conditionalFormatting>
  <conditionalFormatting sqref="B93:C100">
    <cfRule type="expression" dxfId="138" priority="93">
      <formula>FIND($B184,"PA")</formula>
    </cfRule>
  </conditionalFormatting>
  <conditionalFormatting sqref="F93:F100">
    <cfRule type="duplicateValues" dxfId="137" priority="94"/>
  </conditionalFormatting>
  <conditionalFormatting sqref="C103:E103">
    <cfRule type="cellIs" dxfId="136" priority="89" operator="equal">
      <formula>"''"</formula>
    </cfRule>
    <cfRule type="cellIs" dxfId="135" priority="90" operator="equal">
      <formula>""""""</formula>
    </cfRule>
  </conditionalFormatting>
  <conditionalFormatting sqref="C104:E104">
    <cfRule type="cellIs" dxfId="134" priority="87" operator="equal">
      <formula>"''"</formula>
    </cfRule>
    <cfRule type="cellIs" dxfId="133" priority="88" operator="equal">
      <formula>""""""</formula>
    </cfRule>
  </conditionalFormatting>
  <conditionalFormatting sqref="C104:E104">
    <cfRule type="cellIs" dxfId="132" priority="85" operator="equal">
      <formula>"''"</formula>
    </cfRule>
    <cfRule type="cellIs" dxfId="131" priority="86" operator="equal">
      <formula>""""""</formula>
    </cfRule>
  </conditionalFormatting>
  <conditionalFormatting sqref="C105:E105">
    <cfRule type="cellIs" dxfId="130" priority="83" operator="equal">
      <formula>"''"</formula>
    </cfRule>
    <cfRule type="cellIs" dxfId="129" priority="84" operator="equal">
      <formula>""""""</formula>
    </cfRule>
  </conditionalFormatting>
  <conditionalFormatting sqref="C105:E105">
    <cfRule type="cellIs" dxfId="128" priority="81" operator="equal">
      <formula>"''"</formula>
    </cfRule>
    <cfRule type="cellIs" dxfId="127" priority="82" operator="equal">
      <formula>""""""</formula>
    </cfRule>
  </conditionalFormatting>
  <conditionalFormatting sqref="C105:E105">
    <cfRule type="cellIs" dxfId="126" priority="79" operator="equal">
      <formula>"''"</formula>
    </cfRule>
    <cfRule type="cellIs" dxfId="125" priority="80" operator="equal">
      <formula>""""""</formula>
    </cfRule>
  </conditionalFormatting>
  <conditionalFormatting sqref="C106:E106">
    <cfRule type="cellIs" dxfId="124" priority="77" operator="equal">
      <formula>"''"</formula>
    </cfRule>
    <cfRule type="cellIs" dxfId="123" priority="78" operator="equal">
      <formula>""""""</formula>
    </cfRule>
  </conditionalFormatting>
  <conditionalFormatting sqref="C106:E106">
    <cfRule type="cellIs" dxfId="122" priority="75" operator="equal">
      <formula>"''"</formula>
    </cfRule>
    <cfRule type="cellIs" dxfId="121" priority="76" operator="equal">
      <formula>""""""</formula>
    </cfRule>
  </conditionalFormatting>
  <conditionalFormatting sqref="C106:E106">
    <cfRule type="cellIs" dxfId="120" priority="73" operator="equal">
      <formula>"''"</formula>
    </cfRule>
    <cfRule type="cellIs" dxfId="119" priority="74" operator="equal">
      <formula>""""""</formula>
    </cfRule>
  </conditionalFormatting>
  <conditionalFormatting sqref="C106:E106">
    <cfRule type="cellIs" dxfId="118" priority="71" operator="equal">
      <formula>"''"</formula>
    </cfRule>
    <cfRule type="cellIs" dxfId="117" priority="72" operator="equal">
      <formula>""""""</formula>
    </cfRule>
  </conditionalFormatting>
  <conditionalFormatting sqref="C107:E107">
    <cfRule type="cellIs" dxfId="116" priority="69" operator="equal">
      <formula>"''"</formula>
    </cfRule>
    <cfRule type="cellIs" dxfId="115" priority="70" operator="equal">
      <formula>""""""</formula>
    </cfRule>
  </conditionalFormatting>
  <conditionalFormatting sqref="C107:E107">
    <cfRule type="cellIs" dxfId="114" priority="67" operator="equal">
      <formula>"''"</formula>
    </cfRule>
    <cfRule type="cellIs" dxfId="113" priority="68" operator="equal">
      <formula>""""""</formula>
    </cfRule>
  </conditionalFormatting>
  <conditionalFormatting sqref="C107:E107">
    <cfRule type="cellIs" dxfId="112" priority="65" operator="equal">
      <formula>"''"</formula>
    </cfRule>
    <cfRule type="cellIs" dxfId="111" priority="66" operator="equal">
      <formula>""""""</formula>
    </cfRule>
  </conditionalFormatting>
  <conditionalFormatting sqref="C107:E107">
    <cfRule type="cellIs" dxfId="110" priority="63" operator="equal">
      <formula>"''"</formula>
    </cfRule>
    <cfRule type="cellIs" dxfId="109" priority="64" operator="equal">
      <formula>""""""</formula>
    </cfRule>
  </conditionalFormatting>
  <conditionalFormatting sqref="C107:E107">
    <cfRule type="cellIs" dxfId="108" priority="61" operator="equal">
      <formula>"''"</formula>
    </cfRule>
    <cfRule type="cellIs" dxfId="107" priority="62" operator="equal">
      <formula>""""""</formula>
    </cfRule>
  </conditionalFormatting>
  <conditionalFormatting sqref="C108:E108">
    <cfRule type="cellIs" dxfId="106" priority="59" operator="equal">
      <formula>"''"</formula>
    </cfRule>
    <cfRule type="cellIs" dxfId="105" priority="60" operator="equal">
      <formula>""""""</formula>
    </cfRule>
  </conditionalFormatting>
  <conditionalFormatting sqref="C108:E108">
    <cfRule type="cellIs" dxfId="104" priority="57" operator="equal">
      <formula>"''"</formula>
    </cfRule>
    <cfRule type="cellIs" dxfId="103" priority="58" operator="equal">
      <formula>""""""</formula>
    </cfRule>
  </conditionalFormatting>
  <conditionalFormatting sqref="C108:E108">
    <cfRule type="cellIs" dxfId="102" priority="55" operator="equal">
      <formula>"''"</formula>
    </cfRule>
    <cfRule type="cellIs" dxfId="101" priority="56" operator="equal">
      <formula>""""""</formula>
    </cfRule>
  </conditionalFormatting>
  <conditionalFormatting sqref="C108:E108">
    <cfRule type="cellIs" dxfId="100" priority="53" operator="equal">
      <formula>"''"</formula>
    </cfRule>
    <cfRule type="cellIs" dxfId="99" priority="54" operator="equal">
      <formula>""""""</formula>
    </cfRule>
  </conditionalFormatting>
  <conditionalFormatting sqref="C108:E108">
    <cfRule type="cellIs" dxfId="98" priority="51" operator="equal">
      <formula>"''"</formula>
    </cfRule>
    <cfRule type="cellIs" dxfId="97" priority="52" operator="equal">
      <formula>""""""</formula>
    </cfRule>
  </conditionalFormatting>
  <conditionalFormatting sqref="C108:E108">
    <cfRule type="cellIs" dxfId="96" priority="49" operator="equal">
      <formula>"''"</formula>
    </cfRule>
    <cfRule type="cellIs" dxfId="95" priority="50" operator="equal">
      <formula>""""""</formula>
    </cfRule>
  </conditionalFormatting>
  <conditionalFormatting sqref="C109:E134">
    <cfRule type="cellIs" dxfId="94" priority="43" operator="equal">
      <formula>"''"</formula>
    </cfRule>
    <cfRule type="cellIs" dxfId="93" priority="44" operator="equal">
      <formula>""""""</formula>
    </cfRule>
  </conditionalFormatting>
  <conditionalFormatting sqref="B115:C116">
    <cfRule type="expression" dxfId="92" priority="45">
      <formula>FIND($B204,"PA")</formula>
    </cfRule>
  </conditionalFormatting>
  <conditionalFormatting sqref="B109:C110">
    <cfRule type="expression" dxfId="91" priority="46">
      <formula>FIND($B202,"PA")</formula>
    </cfRule>
  </conditionalFormatting>
  <conditionalFormatting sqref="B119:C126">
    <cfRule type="expression" dxfId="90" priority="47">
      <formula>FIND($B205,"PA")</formula>
    </cfRule>
  </conditionalFormatting>
  <conditionalFormatting sqref="F109:F126">
    <cfRule type="duplicateValues" dxfId="89" priority="48"/>
  </conditionalFormatting>
  <conditionalFormatting sqref="C129:E129">
    <cfRule type="cellIs" dxfId="88" priority="41" operator="equal">
      <formula>"''"</formula>
    </cfRule>
    <cfRule type="cellIs" dxfId="87" priority="42" operator="equal">
      <formula>""""""</formula>
    </cfRule>
  </conditionalFormatting>
  <conditionalFormatting sqref="C130:E130">
    <cfRule type="cellIs" dxfId="86" priority="39" operator="equal">
      <formula>"''"</formula>
    </cfRule>
    <cfRule type="cellIs" dxfId="85" priority="40" operator="equal">
      <formula>""""""</formula>
    </cfRule>
  </conditionalFormatting>
  <conditionalFormatting sqref="C130:E130">
    <cfRule type="cellIs" dxfId="84" priority="37" operator="equal">
      <formula>"''"</formula>
    </cfRule>
    <cfRule type="cellIs" dxfId="83" priority="38" operator="equal">
      <formula>""""""</formula>
    </cfRule>
  </conditionalFormatting>
  <conditionalFormatting sqref="C131:E131">
    <cfRule type="cellIs" dxfId="82" priority="35" operator="equal">
      <formula>"''"</formula>
    </cfRule>
    <cfRule type="cellIs" dxfId="81" priority="36" operator="equal">
      <formula>""""""</formula>
    </cfRule>
  </conditionalFormatting>
  <conditionalFormatting sqref="C131:E131">
    <cfRule type="cellIs" dxfId="80" priority="33" operator="equal">
      <formula>"''"</formula>
    </cfRule>
    <cfRule type="cellIs" dxfId="79" priority="34" operator="equal">
      <formula>""""""</formula>
    </cfRule>
  </conditionalFormatting>
  <conditionalFormatting sqref="C131:E131">
    <cfRule type="cellIs" dxfId="78" priority="31" operator="equal">
      <formula>"''"</formula>
    </cfRule>
    <cfRule type="cellIs" dxfId="77" priority="32" operator="equal">
      <formula>""""""</formula>
    </cfRule>
  </conditionalFormatting>
  <conditionalFormatting sqref="C132:E132">
    <cfRule type="cellIs" dxfId="76" priority="29" operator="equal">
      <formula>"''"</formula>
    </cfRule>
    <cfRule type="cellIs" dxfId="75" priority="30" operator="equal">
      <formula>""""""</formula>
    </cfRule>
  </conditionalFormatting>
  <conditionalFormatting sqref="C132:E132">
    <cfRule type="cellIs" dxfId="74" priority="27" operator="equal">
      <formula>"''"</formula>
    </cfRule>
    <cfRule type="cellIs" dxfId="73" priority="28" operator="equal">
      <formula>""""""</formula>
    </cfRule>
  </conditionalFormatting>
  <conditionalFormatting sqref="C132:E132">
    <cfRule type="cellIs" dxfId="72" priority="25" operator="equal">
      <formula>"''"</formula>
    </cfRule>
    <cfRule type="cellIs" dxfId="71" priority="26" operator="equal">
      <formula>""""""</formula>
    </cfRule>
  </conditionalFormatting>
  <conditionalFormatting sqref="C132:E132">
    <cfRule type="cellIs" dxfId="70" priority="23" operator="equal">
      <formula>"''"</formula>
    </cfRule>
    <cfRule type="cellIs" dxfId="69" priority="24" operator="equal">
      <formula>""""""</formula>
    </cfRule>
  </conditionalFormatting>
  <conditionalFormatting sqref="C133:E133">
    <cfRule type="cellIs" dxfId="68" priority="21" operator="equal">
      <formula>"''"</formula>
    </cfRule>
    <cfRule type="cellIs" dxfId="67" priority="22" operator="equal">
      <formula>""""""</formula>
    </cfRule>
  </conditionalFormatting>
  <conditionalFormatting sqref="C133:E133">
    <cfRule type="cellIs" dxfId="66" priority="19" operator="equal">
      <formula>"''"</formula>
    </cfRule>
    <cfRule type="cellIs" dxfId="65" priority="20" operator="equal">
      <formula>""""""</formula>
    </cfRule>
  </conditionalFormatting>
  <conditionalFormatting sqref="C133:E133">
    <cfRule type="cellIs" dxfId="64" priority="17" operator="equal">
      <formula>"''"</formula>
    </cfRule>
    <cfRule type="cellIs" dxfId="63" priority="18" operator="equal">
      <formula>""""""</formula>
    </cfRule>
  </conditionalFormatting>
  <conditionalFormatting sqref="C133:E133">
    <cfRule type="cellIs" dxfId="62" priority="15" operator="equal">
      <formula>"''"</formula>
    </cfRule>
    <cfRule type="cellIs" dxfId="61" priority="16" operator="equal">
      <formula>""""""</formula>
    </cfRule>
  </conditionalFormatting>
  <conditionalFormatting sqref="C133:E133">
    <cfRule type="cellIs" dxfId="60" priority="13" operator="equal">
      <formula>"''"</formula>
    </cfRule>
    <cfRule type="cellIs" dxfId="59" priority="14" operator="equal">
      <formula>""""""</formula>
    </cfRule>
  </conditionalFormatting>
  <conditionalFormatting sqref="C134:E134">
    <cfRule type="cellIs" dxfId="58" priority="11" operator="equal">
      <formula>"''"</formula>
    </cfRule>
    <cfRule type="cellIs" dxfId="57" priority="12" operator="equal">
      <formula>""""""</formula>
    </cfRule>
  </conditionalFormatting>
  <conditionalFormatting sqref="C134:E134">
    <cfRule type="cellIs" dxfId="56" priority="9" operator="equal">
      <formula>"''"</formula>
    </cfRule>
    <cfRule type="cellIs" dxfId="55" priority="10" operator="equal">
      <formula>""""""</formula>
    </cfRule>
  </conditionalFormatting>
  <conditionalFormatting sqref="C134:E134">
    <cfRule type="cellIs" dxfId="54" priority="7" operator="equal">
      <formula>"''"</formula>
    </cfRule>
    <cfRule type="cellIs" dxfId="53" priority="8" operator="equal">
      <formula>""""""</formula>
    </cfRule>
  </conditionalFormatting>
  <conditionalFormatting sqref="C134:E134">
    <cfRule type="cellIs" dxfId="52" priority="5" operator="equal">
      <formula>"''"</formula>
    </cfRule>
    <cfRule type="cellIs" dxfId="51" priority="6" operator="equal">
      <formula>""""""</formula>
    </cfRule>
  </conditionalFormatting>
  <conditionalFormatting sqref="C134:E134">
    <cfRule type="cellIs" dxfId="50" priority="3" operator="equal">
      <formula>"''"</formula>
    </cfRule>
    <cfRule type="cellIs" dxfId="49" priority="4" operator="equal">
      <formula>""""""</formula>
    </cfRule>
  </conditionalFormatting>
  <conditionalFormatting sqref="C134:E134">
    <cfRule type="cellIs" dxfId="48" priority="1" operator="equal">
      <formula>"''"</formula>
    </cfRule>
    <cfRule type="cellIs" dxfId="47" priority="2" operator="equal">
      <formula>""""""</formula>
    </cfRule>
  </conditionalFormatting>
  <conditionalFormatting sqref="B117:C118">
    <cfRule type="expression" dxfId="46" priority="95">
      <formula>FIND($B204,"PA")</formula>
    </cfRule>
  </conditionalFormatting>
  <conditionalFormatting sqref="B113:C114">
    <cfRule type="expression" dxfId="45" priority="193">
      <formula>FIND($B203,"PA")</formula>
    </cfRule>
  </conditionalFormatting>
  <conditionalFormatting sqref="B35:C35">
    <cfRule type="expression" dxfId="44" priority="198">
      <formula>FIND(#REF!,"PA")</formula>
    </cfRule>
  </conditionalFormatting>
  <conditionalFormatting sqref="B5:C5">
    <cfRule type="expression" dxfId="43" priority="200">
      <formula>FIND($B100,"PA")</formula>
    </cfRule>
  </conditionalFormatting>
  <conditionalFormatting sqref="B6:C6">
    <cfRule type="expression" dxfId="42" priority="201">
      <formula>FIND($B105,"PA")</formula>
    </cfRule>
  </conditionalFormatting>
  <conditionalFormatting sqref="B4:C4">
    <cfRule type="expression" dxfId="41" priority="202">
      <formula>FIND($B98,"PA")</formula>
    </cfRule>
  </conditionalFormatting>
  <conditionalFormatting sqref="B36:C36 B17:C22 C55:C58">
    <cfRule type="expression" dxfId="40" priority="203">
      <formula>FIND($B128,"PA")</formula>
    </cfRule>
  </conditionalFormatting>
  <conditionalFormatting sqref="B12:C12">
    <cfRule type="expression" dxfId="39" priority="204">
      <formula>FIND($B118,"PA")</formula>
    </cfRule>
  </conditionalFormatting>
  <dataValidations count="4">
    <dataValidation type="list" allowBlank="1" showInputMessage="1" showErrorMessage="1" sqref="M355:M479 M3:M350" xr:uid="{B1D3FD51-5D50-674F-AE55-03A54DD78CB2}">
      <formula1>INDIRECT("TargetGroups[TargetGroups]")</formula1>
    </dataValidation>
    <dataValidation type="list" allowBlank="1" showInputMessage="1" showErrorMessage="1" sqref="G3:G479" xr:uid="{4A8D6F81-96C8-C647-A3D9-DFA01E0C7FCF}">
      <formula1>INDIRECT("TaskTypes[TaskType]")</formula1>
    </dataValidation>
    <dataValidation type="list" allowBlank="1" showInputMessage="1" showErrorMessage="1" sqref="A3:A479" xr:uid="{670F29E0-9A45-0042-8075-420E400A7EDA}">
      <formula1>INDIRECT("Waives[Waives]")</formula1>
    </dataValidation>
    <dataValidation type="list" allowBlank="1" showInputMessage="1" showErrorMessage="1" sqref="D3:D479" xr:uid="{99665E93-F129-294A-9F77-B007160EEDD5}">
      <formula1>INDIRECT("TTMStage[TTMStage]")</formula1>
    </dataValidation>
  </dataValidations>
  <pageMargins left="0.7" right="0.7" top="0.75" bottom="0.75" header="0.3" footer="0.3"/>
  <ignoredErrors>
    <ignoredError sqref="F3" unlockedFormula="1"/>
  </ignoredErrors>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EC64-6DF5-4075-B73C-D0BECEDC786A}">
  <dimension ref="A1:V18"/>
  <sheetViews>
    <sheetView topLeftCell="A7" workbookViewId="0">
      <selection activeCell="G8" sqref="G8:H8"/>
    </sheetView>
  </sheetViews>
  <sheetFormatPr defaultColWidth="8.85546875" defaultRowHeight="14.45"/>
  <cols>
    <col min="2" max="2" width="16.42578125" customWidth="1"/>
    <col min="3" max="4" width="22.7109375" customWidth="1"/>
    <col min="5" max="6" width="25.28515625" customWidth="1"/>
    <col min="7" max="9" width="27.28515625" customWidth="1"/>
    <col min="10" max="11" width="25.42578125" customWidth="1"/>
  </cols>
  <sheetData>
    <row r="1" spans="1:22" ht="18.600000000000001">
      <c r="A1" s="146"/>
      <c r="B1" s="146"/>
      <c r="C1" s="235" t="s">
        <v>2403</v>
      </c>
      <c r="D1" s="2"/>
      <c r="E1" s="2"/>
      <c r="F1" s="2"/>
      <c r="G1" s="2"/>
      <c r="H1" s="2"/>
      <c r="I1" s="2"/>
      <c r="J1" s="146"/>
      <c r="K1" s="32" t="s">
        <v>2404</v>
      </c>
      <c r="P1" s="2"/>
      <c r="Q1" s="2"/>
      <c r="R1" s="2"/>
    </row>
    <row r="2" spans="1:22">
      <c r="A2" s="146"/>
      <c r="B2" s="146"/>
      <c r="C2" s="541" t="s">
        <v>121</v>
      </c>
      <c r="D2" s="536"/>
      <c r="E2" s="535" t="s">
        <v>122</v>
      </c>
      <c r="F2" s="536"/>
      <c r="G2" s="535" t="s">
        <v>123</v>
      </c>
      <c r="H2" s="536"/>
      <c r="I2" s="27" t="s">
        <v>2405</v>
      </c>
      <c r="J2" s="28" t="s">
        <v>2406</v>
      </c>
      <c r="K2" s="30" t="s">
        <v>2407</v>
      </c>
    </row>
    <row r="3" spans="1:22" ht="57.75" customHeight="1">
      <c r="A3" s="146"/>
      <c r="B3" s="146"/>
      <c r="C3" s="542" t="s">
        <v>2408</v>
      </c>
      <c r="D3" s="543"/>
      <c r="E3" s="537" t="s">
        <v>2409</v>
      </c>
      <c r="F3" s="538"/>
      <c r="G3" s="537" t="s">
        <v>2410</v>
      </c>
      <c r="H3" s="538"/>
      <c r="I3" s="237" t="s">
        <v>2411</v>
      </c>
      <c r="J3" s="237" t="s">
        <v>2412</v>
      </c>
      <c r="K3" s="236" t="s">
        <v>2413</v>
      </c>
    </row>
    <row r="4" spans="1:22" ht="57.75" customHeight="1">
      <c r="A4" s="146"/>
      <c r="B4" s="146"/>
      <c r="C4" s="155" t="s">
        <v>2414</v>
      </c>
      <c r="D4" s="156" t="s">
        <v>2415</v>
      </c>
      <c r="E4" s="155" t="s">
        <v>2416</v>
      </c>
      <c r="F4" s="155" t="s">
        <v>2417</v>
      </c>
      <c r="G4" s="155" t="s">
        <v>2418</v>
      </c>
      <c r="H4" s="155" t="s">
        <v>2419</v>
      </c>
      <c r="I4" s="155" t="s">
        <v>2420</v>
      </c>
      <c r="J4" s="155" t="s">
        <v>2421</v>
      </c>
      <c r="K4" s="153"/>
    </row>
    <row r="5" spans="1:22" ht="31.5" customHeight="1">
      <c r="A5" s="539" t="s">
        <v>2422</v>
      </c>
      <c r="B5" s="252" t="s">
        <v>2423</v>
      </c>
      <c r="C5" s="544" t="s">
        <v>2424</v>
      </c>
      <c r="D5" s="545"/>
      <c r="E5" s="531" t="s">
        <v>2425</v>
      </c>
      <c r="F5" s="532"/>
      <c r="G5" s="531" t="s">
        <v>2426</v>
      </c>
      <c r="H5" s="532"/>
      <c r="I5" s="154" t="s">
        <v>2427</v>
      </c>
      <c r="J5" s="154" t="s">
        <v>2428</v>
      </c>
      <c r="K5" s="31"/>
    </row>
    <row r="6" spans="1:22" ht="57" customHeight="1">
      <c r="A6" s="539"/>
      <c r="B6" s="252" t="s">
        <v>2429</v>
      </c>
      <c r="C6" s="33" t="s">
        <v>2430</v>
      </c>
      <c r="D6" s="33" t="s">
        <v>2431</v>
      </c>
      <c r="E6" s="34" t="s">
        <v>2432</v>
      </c>
      <c r="F6" s="33" t="s">
        <v>2431</v>
      </c>
      <c r="G6" s="34" t="s">
        <v>2433</v>
      </c>
      <c r="H6" s="34" t="s">
        <v>2434</v>
      </c>
      <c r="I6" s="36" t="s">
        <v>2435</v>
      </c>
      <c r="J6" s="37" t="s">
        <v>2436</v>
      </c>
      <c r="K6" s="31"/>
    </row>
    <row r="7" spans="1:22" s="2" customFormat="1" ht="104.25" customHeight="1">
      <c r="A7" s="539"/>
      <c r="B7" s="253" t="s">
        <v>2437</v>
      </c>
      <c r="C7" s="38" t="s">
        <v>2438</v>
      </c>
      <c r="D7" s="38" t="s">
        <v>2439</v>
      </c>
      <c r="E7" s="108" t="s">
        <v>2440</v>
      </c>
      <c r="F7" s="108" t="s">
        <v>2441</v>
      </c>
      <c r="G7" s="108" t="s">
        <v>2442</v>
      </c>
      <c r="H7" s="108" t="s">
        <v>2443</v>
      </c>
      <c r="I7" s="108" t="s">
        <v>2444</v>
      </c>
      <c r="J7" s="108" t="s">
        <v>2445</v>
      </c>
      <c r="K7" s="40"/>
      <c r="M7"/>
      <c r="P7"/>
      <c r="Q7"/>
      <c r="R7"/>
      <c r="S7"/>
      <c r="T7"/>
      <c r="U7"/>
      <c r="V7"/>
    </row>
    <row r="8" spans="1:22" ht="57" customHeight="1">
      <c r="A8" s="539" t="s">
        <v>73</v>
      </c>
      <c r="B8" s="252" t="s">
        <v>2423</v>
      </c>
      <c r="C8" s="546" t="s">
        <v>2446</v>
      </c>
      <c r="D8" s="530"/>
      <c r="E8" s="529" t="s">
        <v>2447</v>
      </c>
      <c r="F8" s="530"/>
      <c r="G8" s="531" t="s">
        <v>2448</v>
      </c>
      <c r="H8" s="532"/>
      <c r="I8" s="41" t="s">
        <v>2449</v>
      </c>
      <c r="J8" s="41" t="s">
        <v>2450</v>
      </c>
      <c r="K8" s="43"/>
    </row>
    <row r="9" spans="1:22" ht="57.95">
      <c r="A9" s="539"/>
      <c r="B9" s="252" t="s">
        <v>2429</v>
      </c>
      <c r="C9" s="33" t="s">
        <v>2430</v>
      </c>
      <c r="D9" s="238" t="s">
        <v>2451</v>
      </c>
      <c r="E9" s="34" t="s">
        <v>2432</v>
      </c>
      <c r="F9" s="33" t="s">
        <v>2431</v>
      </c>
      <c r="G9" s="35" t="s">
        <v>2452</v>
      </c>
      <c r="H9" s="34" t="s">
        <v>2434</v>
      </c>
      <c r="I9" s="145" t="s">
        <v>2435</v>
      </c>
      <c r="J9" s="234" t="s">
        <v>2436</v>
      </c>
      <c r="K9" s="244"/>
    </row>
    <row r="10" spans="1:22" ht="87">
      <c r="A10" s="539"/>
      <c r="B10" s="253" t="s">
        <v>2437</v>
      </c>
      <c r="C10" s="254" t="s">
        <v>2453</v>
      </c>
      <c r="D10" s="255" t="s">
        <v>2454</v>
      </c>
      <c r="E10" s="255" t="s">
        <v>2455</v>
      </c>
      <c r="F10" s="108" t="s">
        <v>2441</v>
      </c>
      <c r="G10" s="255" t="s">
        <v>2456</v>
      </c>
      <c r="H10" s="256" t="s">
        <v>2457</v>
      </c>
      <c r="I10" s="255" t="s">
        <v>2458</v>
      </c>
      <c r="J10" s="108" t="s">
        <v>2459</v>
      </c>
      <c r="K10" s="245"/>
    </row>
    <row r="11" spans="1:22" ht="43.5">
      <c r="A11" s="539" t="s">
        <v>2460</v>
      </c>
      <c r="B11" s="252" t="s">
        <v>2423</v>
      </c>
      <c r="C11" s="533" t="s">
        <v>2461</v>
      </c>
      <c r="D11" s="534"/>
      <c r="E11" s="534" t="s">
        <v>2462</v>
      </c>
      <c r="F11" s="534"/>
      <c r="G11" s="534" t="s">
        <v>2463</v>
      </c>
      <c r="H11" s="534"/>
      <c r="I11" s="246" t="s">
        <v>2464</v>
      </c>
      <c r="J11" s="246" t="s">
        <v>2465</v>
      </c>
      <c r="K11" s="245"/>
    </row>
    <row r="12" spans="1:22" ht="57.95">
      <c r="A12" s="539"/>
      <c r="B12" s="252" t="s">
        <v>2429</v>
      </c>
      <c r="C12" s="251" t="s">
        <v>2430</v>
      </c>
      <c r="D12" s="238" t="s">
        <v>2451</v>
      </c>
      <c r="E12" s="247" t="s">
        <v>2432</v>
      </c>
      <c r="F12" s="238" t="s">
        <v>2451</v>
      </c>
      <c r="G12" s="248" t="s">
        <v>2466</v>
      </c>
      <c r="H12" s="34" t="s">
        <v>2467</v>
      </c>
      <c r="I12" s="249" t="s">
        <v>2435</v>
      </c>
      <c r="J12" s="250" t="s">
        <v>2436</v>
      </c>
      <c r="K12" s="245"/>
    </row>
    <row r="13" spans="1:22" ht="87">
      <c r="A13" s="540"/>
      <c r="B13" s="29" t="s">
        <v>2437</v>
      </c>
      <c r="C13" s="255" t="s">
        <v>2468</v>
      </c>
      <c r="D13" s="255" t="s">
        <v>2469</v>
      </c>
      <c r="E13" s="255" t="s">
        <v>2470</v>
      </c>
      <c r="F13" s="255" t="s">
        <v>2471</v>
      </c>
      <c r="G13" s="255" t="s">
        <v>2472</v>
      </c>
      <c r="H13" s="255" t="s">
        <v>2473</v>
      </c>
      <c r="I13" s="256" t="s">
        <v>2474</v>
      </c>
      <c r="J13" s="108" t="s">
        <v>2445</v>
      </c>
      <c r="K13" s="245"/>
    </row>
    <row r="18" spans="1:1">
      <c r="A18" s="2"/>
    </row>
  </sheetData>
  <mergeCells count="18">
    <mergeCell ref="A5:A7"/>
    <mergeCell ref="A8:A10"/>
    <mergeCell ref="A11:A13"/>
    <mergeCell ref="C2:D2"/>
    <mergeCell ref="C3:D3"/>
    <mergeCell ref="C5:D5"/>
    <mergeCell ref="C8:D8"/>
    <mergeCell ref="G2:H2"/>
    <mergeCell ref="G3:H3"/>
    <mergeCell ref="E3:F3"/>
    <mergeCell ref="E2:F2"/>
    <mergeCell ref="G5:H5"/>
    <mergeCell ref="E5:F5"/>
    <mergeCell ref="E8:F8"/>
    <mergeCell ref="G8:H8"/>
    <mergeCell ref="C11:D11"/>
    <mergeCell ref="E11:F11"/>
    <mergeCell ref="G11:H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34DF-C497-4A35-921F-F0BAC79BE0CC}">
  <dimension ref="A1:E29"/>
  <sheetViews>
    <sheetView workbookViewId="0">
      <selection activeCell="D6" sqref="D6"/>
    </sheetView>
  </sheetViews>
  <sheetFormatPr defaultColWidth="8.85546875" defaultRowHeight="14.45"/>
  <cols>
    <col min="1" max="1" width="23.140625" customWidth="1"/>
    <col min="2" max="2" width="45" customWidth="1"/>
    <col min="3" max="3" width="20.140625" customWidth="1"/>
    <col min="4" max="4" width="23.7109375" customWidth="1"/>
    <col min="5" max="5" width="92.140625" customWidth="1"/>
  </cols>
  <sheetData>
    <row r="1" spans="1:5">
      <c r="A1" s="12" t="s">
        <v>2475</v>
      </c>
      <c r="B1" s="13" t="s">
        <v>2476</v>
      </c>
      <c r="C1" s="13" t="s">
        <v>2477</v>
      </c>
      <c r="D1" s="13" t="s">
        <v>2478</v>
      </c>
      <c r="E1" s="14" t="s">
        <v>2479</v>
      </c>
    </row>
    <row r="2" spans="1:5" ht="26.1">
      <c r="A2" s="552" t="s">
        <v>2480</v>
      </c>
      <c r="B2" s="549" t="s">
        <v>2481</v>
      </c>
      <c r="C2" s="15" t="s">
        <v>2482</v>
      </c>
      <c r="D2" s="549" t="s">
        <v>2483</v>
      </c>
      <c r="E2" s="18" t="s">
        <v>2484</v>
      </c>
    </row>
    <row r="3" spans="1:5" ht="26.1">
      <c r="A3" s="553"/>
      <c r="B3" s="547"/>
      <c r="C3" s="19" t="s">
        <v>1</v>
      </c>
      <c r="D3" s="547"/>
      <c r="E3" s="21" t="s">
        <v>2485</v>
      </c>
    </row>
    <row r="4" spans="1:5" ht="27" customHeight="1">
      <c r="A4" s="553"/>
      <c r="B4" s="547"/>
      <c r="C4" s="19"/>
      <c r="D4" s="144" t="s">
        <v>2486</v>
      </c>
      <c r="E4" s="52" t="s">
        <v>2487</v>
      </c>
    </row>
    <row r="5" spans="1:5" ht="27" customHeight="1">
      <c r="A5" s="553"/>
      <c r="B5" s="547"/>
      <c r="C5" s="19"/>
      <c r="D5" s="144" t="s">
        <v>2488</v>
      </c>
      <c r="E5" s="52" t="s">
        <v>2489</v>
      </c>
    </row>
    <row r="6" spans="1:5" ht="13.5" customHeight="1">
      <c r="A6" s="553"/>
      <c r="B6" s="20" t="s">
        <v>1</v>
      </c>
      <c r="C6" s="19" t="s">
        <v>2490</v>
      </c>
      <c r="D6" s="19" t="s">
        <v>1</v>
      </c>
      <c r="E6" s="21" t="s">
        <v>2491</v>
      </c>
    </row>
    <row r="7" spans="1:5" ht="15.75" customHeight="1">
      <c r="A7" s="553"/>
      <c r="B7" s="19" t="s">
        <v>932</v>
      </c>
      <c r="C7" s="20" t="s">
        <v>1</v>
      </c>
      <c r="D7" s="19" t="s">
        <v>1</v>
      </c>
      <c r="E7" s="21" t="s">
        <v>2492</v>
      </c>
    </row>
    <row r="8" spans="1:5" ht="25.5" customHeight="1">
      <c r="A8" s="553"/>
      <c r="B8" s="19" t="s">
        <v>2493</v>
      </c>
      <c r="C8" s="20" t="s">
        <v>1</v>
      </c>
      <c r="D8" s="19" t="s">
        <v>1</v>
      </c>
      <c r="E8" s="21" t="s">
        <v>2494</v>
      </c>
    </row>
    <row r="9" spans="1:5" ht="14.25" customHeight="1">
      <c r="A9" s="553"/>
      <c r="B9" s="19" t="s">
        <v>2495</v>
      </c>
      <c r="C9" s="22" t="s">
        <v>1</v>
      </c>
      <c r="D9" s="25" t="s">
        <v>1</v>
      </c>
      <c r="E9" s="23" t="s">
        <v>2496</v>
      </c>
    </row>
    <row r="10" spans="1:5" ht="18" customHeight="1">
      <c r="A10" s="552" t="s">
        <v>2497</v>
      </c>
      <c r="B10" s="17" t="s">
        <v>2498</v>
      </c>
      <c r="C10" s="19" t="s">
        <v>1</v>
      </c>
      <c r="D10" s="46" t="s">
        <v>731</v>
      </c>
      <c r="E10" s="21" t="s">
        <v>2499</v>
      </c>
    </row>
    <row r="11" spans="1:5" ht="15.75" customHeight="1">
      <c r="A11" s="553"/>
      <c r="B11" s="16" t="s">
        <v>2500</v>
      </c>
      <c r="C11" s="19" t="s">
        <v>1</v>
      </c>
      <c r="D11" s="547" t="s">
        <v>2501</v>
      </c>
      <c r="E11" s="21" t="s">
        <v>2502</v>
      </c>
    </row>
    <row r="12" spans="1:5" ht="15" customHeight="1">
      <c r="A12" s="553"/>
      <c r="B12" s="16" t="s">
        <v>1</v>
      </c>
      <c r="C12" s="19" t="s">
        <v>1</v>
      </c>
      <c r="D12" s="547"/>
      <c r="E12" s="21" t="s">
        <v>2503</v>
      </c>
    </row>
    <row r="13" spans="1:5" ht="15" customHeight="1">
      <c r="A13" s="553"/>
      <c r="B13" s="16"/>
      <c r="C13" s="19"/>
      <c r="D13" s="547"/>
      <c r="E13" s="21" t="s">
        <v>2504</v>
      </c>
    </row>
    <row r="14" spans="1:5" ht="26.25" customHeight="1">
      <c r="A14" s="553"/>
      <c r="B14" s="16" t="s">
        <v>1</v>
      </c>
      <c r="C14" s="19" t="s">
        <v>1</v>
      </c>
      <c r="D14" s="47" t="s">
        <v>2505</v>
      </c>
      <c r="E14" s="21" t="s">
        <v>2506</v>
      </c>
    </row>
    <row r="15" spans="1:5" ht="24.75" customHeight="1">
      <c r="A15" s="553"/>
      <c r="B15" s="548" t="s">
        <v>2507</v>
      </c>
      <c r="C15" s="19" t="s">
        <v>1</v>
      </c>
      <c r="D15" s="547" t="s">
        <v>2508</v>
      </c>
      <c r="E15" s="21" t="s">
        <v>2509</v>
      </c>
    </row>
    <row r="16" spans="1:5" ht="27" customHeight="1">
      <c r="A16" s="553"/>
      <c r="B16" s="548"/>
      <c r="C16" s="19" t="s">
        <v>1</v>
      </c>
      <c r="D16" s="547"/>
      <c r="E16" s="21" t="s">
        <v>2510</v>
      </c>
    </row>
    <row r="17" spans="1:5" ht="27" customHeight="1">
      <c r="A17" s="553"/>
      <c r="B17" s="52"/>
      <c r="C17" s="19" t="s">
        <v>2511</v>
      </c>
      <c r="D17" s="51" t="s">
        <v>2512</v>
      </c>
      <c r="E17" s="21" t="s">
        <v>2513</v>
      </c>
    </row>
    <row r="18" spans="1:5" ht="24" customHeight="1">
      <c r="A18" s="553"/>
      <c r="B18" s="24" t="s">
        <v>1</v>
      </c>
      <c r="C18" s="547" t="s">
        <v>2490</v>
      </c>
      <c r="D18" s="47" t="s">
        <v>1</v>
      </c>
      <c r="E18" s="21" t="s">
        <v>2514</v>
      </c>
    </row>
    <row r="19" spans="1:5" ht="24.75" customHeight="1">
      <c r="A19" s="553"/>
      <c r="B19" s="16" t="s">
        <v>1</v>
      </c>
      <c r="C19" s="547"/>
      <c r="D19" s="47" t="s">
        <v>1</v>
      </c>
      <c r="E19" s="21" t="s">
        <v>2515</v>
      </c>
    </row>
    <row r="20" spans="1:5">
      <c r="A20" s="553"/>
      <c r="B20" s="16" t="s">
        <v>2516</v>
      </c>
      <c r="C20" s="547"/>
      <c r="D20" s="47" t="s">
        <v>2517</v>
      </c>
      <c r="E20" s="21" t="s">
        <v>2518</v>
      </c>
    </row>
    <row r="21" spans="1:5" ht="38.450000000000003">
      <c r="A21" s="553"/>
      <c r="B21" s="16" t="s">
        <v>2481</v>
      </c>
      <c r="C21" s="85"/>
      <c r="D21" s="152" t="s">
        <v>2486</v>
      </c>
      <c r="E21" s="52" t="s">
        <v>2519</v>
      </c>
    </row>
    <row r="22" spans="1:5">
      <c r="A22" s="554"/>
      <c r="B22" s="25" t="s">
        <v>1</v>
      </c>
      <c r="C22" s="20" t="s">
        <v>1</v>
      </c>
      <c r="D22" s="16" t="s">
        <v>1</v>
      </c>
      <c r="E22" s="21" t="s">
        <v>1</v>
      </c>
    </row>
    <row r="23" spans="1:5">
      <c r="A23" s="553" t="s">
        <v>2520</v>
      </c>
      <c r="B23" s="24" t="s">
        <v>1</v>
      </c>
      <c r="C23" s="26" t="s">
        <v>1</v>
      </c>
      <c r="D23" s="17" t="s">
        <v>2521</v>
      </c>
      <c r="E23" s="18" t="s">
        <v>1</v>
      </c>
    </row>
    <row r="24" spans="1:5" ht="15.75" customHeight="1">
      <c r="A24" s="553"/>
      <c r="B24" s="550" t="s">
        <v>2522</v>
      </c>
      <c r="C24" s="547" t="s">
        <v>2511</v>
      </c>
      <c r="D24" s="19" t="s">
        <v>2523</v>
      </c>
      <c r="E24" s="21" t="s">
        <v>2524</v>
      </c>
    </row>
    <row r="25" spans="1:5" ht="18" customHeight="1">
      <c r="A25" s="553"/>
      <c r="B25" s="550"/>
      <c r="C25" s="547"/>
      <c r="D25" s="19" t="s">
        <v>2525</v>
      </c>
      <c r="E25" s="21" t="s">
        <v>2526</v>
      </c>
    </row>
    <row r="26" spans="1:5" ht="18" customHeight="1">
      <c r="A26" s="553"/>
      <c r="B26" s="550"/>
      <c r="C26" s="547"/>
      <c r="D26" s="19" t="s">
        <v>2512</v>
      </c>
      <c r="E26" s="21" t="s">
        <v>2527</v>
      </c>
    </row>
    <row r="27" spans="1:5" ht="26.25" customHeight="1">
      <c r="A27" s="553"/>
      <c r="B27" s="16" t="s">
        <v>2528</v>
      </c>
      <c r="C27" s="19" t="s">
        <v>1</v>
      </c>
      <c r="D27" s="19" t="s">
        <v>1</v>
      </c>
      <c r="E27" s="21" t="s">
        <v>2529</v>
      </c>
    </row>
    <row r="28" spans="1:5">
      <c r="A28" s="553"/>
      <c r="B28" s="16" t="s">
        <v>1</v>
      </c>
      <c r="C28" s="19" t="s">
        <v>1</v>
      </c>
      <c r="D28" s="19" t="s">
        <v>1</v>
      </c>
      <c r="E28" s="21" t="s">
        <v>1</v>
      </c>
    </row>
    <row r="29" spans="1:5">
      <c r="A29" s="554"/>
      <c r="B29" s="25" t="s">
        <v>1</v>
      </c>
      <c r="C29" s="25" t="s">
        <v>1</v>
      </c>
      <c r="D29" s="25" t="s">
        <v>1</v>
      </c>
      <c r="E29" s="23" t="s">
        <v>1</v>
      </c>
    </row>
  </sheetData>
  <mergeCells count="11">
    <mergeCell ref="D11:D13"/>
    <mergeCell ref="B15:B16"/>
    <mergeCell ref="A23:A29"/>
    <mergeCell ref="A2:A9"/>
    <mergeCell ref="A10:A22"/>
    <mergeCell ref="C18:C20"/>
    <mergeCell ref="D15:D16"/>
    <mergeCell ref="D2:D3"/>
    <mergeCell ref="C24:C26"/>
    <mergeCell ref="B24:B26"/>
    <mergeCell ref="B2:B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A7B23-94BD-425A-AB6E-711D6B7BAEE0}">
  <dimension ref="A1:Q63"/>
  <sheetViews>
    <sheetView workbookViewId="0">
      <selection activeCell="R29" sqref="R29"/>
    </sheetView>
  </sheetViews>
  <sheetFormatPr defaultColWidth="8.85546875" defaultRowHeight="14.45"/>
  <cols>
    <col min="17" max="17" width="19.42578125" customWidth="1"/>
  </cols>
  <sheetData>
    <row r="1" spans="1:17" ht="24.95" customHeight="1" thickBot="1">
      <c r="J1" s="551" t="s">
        <v>2530</v>
      </c>
      <c r="K1" s="551"/>
      <c r="L1" s="551"/>
      <c r="M1" s="551"/>
      <c r="N1" s="2"/>
    </row>
    <row r="2" spans="1:17" ht="24.95" customHeight="1" thickTop="1" thickBot="1">
      <c r="A2" s="89" t="s">
        <v>2531</v>
      </c>
      <c r="B2" s="90" t="s">
        <v>2532</v>
      </c>
      <c r="C2" s="90" t="s">
        <v>2533</v>
      </c>
      <c r="D2" s="90" t="s">
        <v>2534</v>
      </c>
      <c r="E2" s="90" t="s">
        <v>2535</v>
      </c>
      <c r="F2" s="90" t="s">
        <v>2536</v>
      </c>
      <c r="G2" s="90" t="s">
        <v>2537</v>
      </c>
      <c r="H2" s="90" t="s">
        <v>2538</v>
      </c>
      <c r="J2" s="219" t="s">
        <v>2539</v>
      </c>
      <c r="K2" s="219" t="s">
        <v>2540</v>
      </c>
      <c r="L2" s="219" t="s">
        <v>2541</v>
      </c>
      <c r="M2" s="219" t="s">
        <v>2542</v>
      </c>
      <c r="N2" s="2"/>
      <c r="O2" s="219"/>
      <c r="P2" s="219"/>
      <c r="Q2" s="219"/>
    </row>
    <row r="3" spans="1:17" ht="15" thickBot="1">
      <c r="A3" s="91">
        <v>1</v>
      </c>
      <c r="B3" s="92" t="s">
        <v>2543</v>
      </c>
      <c r="C3" s="92" t="s">
        <v>2544</v>
      </c>
      <c r="D3" s="92" t="s">
        <v>2545</v>
      </c>
      <c r="E3" s="93">
        <v>45658</v>
      </c>
      <c r="F3" s="93">
        <v>45659</v>
      </c>
      <c r="G3" s="93">
        <v>45660</v>
      </c>
      <c r="H3" s="93">
        <v>45661</v>
      </c>
    </row>
    <row r="4" spans="1:17" ht="15" thickBot="1">
      <c r="A4" s="94">
        <v>2</v>
      </c>
      <c r="B4" s="96">
        <v>45662</v>
      </c>
      <c r="C4" s="96">
        <v>45663</v>
      </c>
      <c r="D4" s="96">
        <v>45664</v>
      </c>
      <c r="E4" s="96">
        <v>45665</v>
      </c>
      <c r="F4" s="96">
        <v>45666</v>
      </c>
      <c r="G4" s="96">
        <v>45667</v>
      </c>
      <c r="H4" s="96">
        <v>45668</v>
      </c>
    </row>
    <row r="5" spans="1:17" ht="15" thickBot="1">
      <c r="A5" s="94">
        <v>3</v>
      </c>
      <c r="B5" s="96">
        <v>45669</v>
      </c>
      <c r="C5" s="96">
        <v>45670</v>
      </c>
      <c r="D5" s="96">
        <v>45671</v>
      </c>
      <c r="E5" s="96">
        <v>45672</v>
      </c>
      <c r="F5" s="96">
        <v>45673</v>
      </c>
      <c r="G5" s="96">
        <v>45674</v>
      </c>
      <c r="H5" s="96">
        <v>45675</v>
      </c>
    </row>
    <row r="6" spans="1:17" ht="15" thickBot="1">
      <c r="A6" s="94">
        <v>4</v>
      </c>
      <c r="B6" s="96">
        <v>45676</v>
      </c>
      <c r="C6" s="96">
        <v>45677</v>
      </c>
      <c r="D6" s="96">
        <v>45678</v>
      </c>
      <c r="E6" s="96">
        <v>45679</v>
      </c>
      <c r="F6" s="96">
        <v>45680</v>
      </c>
      <c r="G6" s="96">
        <v>45681</v>
      </c>
      <c r="H6" s="96">
        <v>45682</v>
      </c>
    </row>
    <row r="7" spans="1:17" ht="15" thickBot="1">
      <c r="A7" s="94">
        <v>5</v>
      </c>
      <c r="B7" s="96">
        <v>45683</v>
      </c>
      <c r="C7" s="96">
        <v>45684</v>
      </c>
      <c r="D7" s="96">
        <v>45685</v>
      </c>
      <c r="E7" s="96">
        <v>45686</v>
      </c>
      <c r="F7" s="96">
        <v>45687</v>
      </c>
      <c r="G7" s="96">
        <v>45688</v>
      </c>
      <c r="H7" s="96">
        <v>45689</v>
      </c>
    </row>
    <row r="8" spans="1:17" ht="15" thickBot="1">
      <c r="A8" s="94">
        <v>6</v>
      </c>
      <c r="B8" s="96">
        <v>45690</v>
      </c>
      <c r="C8" s="96">
        <v>45691</v>
      </c>
      <c r="D8" s="96">
        <v>45692</v>
      </c>
      <c r="E8" s="96">
        <v>45693</v>
      </c>
      <c r="F8" s="96">
        <v>45694</v>
      </c>
      <c r="G8" s="96">
        <v>45695</v>
      </c>
      <c r="H8" s="96">
        <v>45696</v>
      </c>
    </row>
    <row r="9" spans="1:17" ht="15" thickBot="1">
      <c r="A9" s="94">
        <v>7</v>
      </c>
      <c r="B9" s="96">
        <v>45697</v>
      </c>
      <c r="C9" s="96">
        <v>45698</v>
      </c>
      <c r="D9" s="96">
        <v>45699</v>
      </c>
      <c r="E9" s="96">
        <v>45700</v>
      </c>
      <c r="F9" s="96">
        <v>45701</v>
      </c>
      <c r="G9" s="96">
        <v>45702</v>
      </c>
      <c r="H9" s="96">
        <v>45703</v>
      </c>
      <c r="P9" s="1"/>
    </row>
    <row r="10" spans="1:17" ht="15" thickBot="1">
      <c r="A10" s="94">
        <v>8</v>
      </c>
      <c r="B10" s="96">
        <v>45704</v>
      </c>
      <c r="C10" s="96">
        <v>45705</v>
      </c>
      <c r="D10" s="96">
        <v>45706</v>
      </c>
      <c r="E10" s="96">
        <v>45707</v>
      </c>
      <c r="F10" s="96">
        <v>45708</v>
      </c>
      <c r="G10" s="96">
        <v>45709</v>
      </c>
      <c r="H10" s="96">
        <v>45710</v>
      </c>
      <c r="P10" s="1"/>
    </row>
    <row r="11" spans="1:17" ht="15" thickBot="1">
      <c r="A11" s="94">
        <v>9</v>
      </c>
      <c r="B11" s="96">
        <v>45711</v>
      </c>
      <c r="C11" s="96">
        <v>45712</v>
      </c>
      <c r="D11" s="96">
        <v>45713</v>
      </c>
      <c r="E11" s="96">
        <v>45714</v>
      </c>
      <c r="F11" s="96">
        <v>45715</v>
      </c>
      <c r="G11" s="96">
        <v>45716</v>
      </c>
      <c r="H11" s="95" t="s">
        <v>2546</v>
      </c>
      <c r="P11" s="1"/>
    </row>
    <row r="12" spans="1:17" ht="15" thickBot="1">
      <c r="A12" s="94">
        <v>10</v>
      </c>
      <c r="B12" s="95" t="s">
        <v>2547</v>
      </c>
      <c r="C12" s="95" t="s">
        <v>2548</v>
      </c>
      <c r="D12" s="95" t="s">
        <v>2549</v>
      </c>
      <c r="E12" s="95" t="s">
        <v>2550</v>
      </c>
      <c r="F12" s="95" t="s">
        <v>2551</v>
      </c>
      <c r="G12" s="95" t="s">
        <v>2552</v>
      </c>
      <c r="H12" s="95" t="s">
        <v>2553</v>
      </c>
    </row>
    <row r="13" spans="1:17">
      <c r="A13" s="94">
        <v>11</v>
      </c>
      <c r="B13" s="95" t="s">
        <v>2554</v>
      </c>
      <c r="C13" s="95" t="s">
        <v>2555</v>
      </c>
      <c r="D13" s="95" t="s">
        <v>2556</v>
      </c>
      <c r="E13" s="95" t="s">
        <v>2557</v>
      </c>
      <c r="F13" s="95" t="s">
        <v>2558</v>
      </c>
      <c r="G13" s="95" t="s">
        <v>2559</v>
      </c>
      <c r="H13" s="95" t="s">
        <v>2560</v>
      </c>
    </row>
    <row r="14" spans="1:17">
      <c r="A14" s="94">
        <v>12</v>
      </c>
      <c r="B14" s="95" t="s">
        <v>2561</v>
      </c>
      <c r="C14" s="95" t="s">
        <v>2562</v>
      </c>
      <c r="D14" s="95" t="s">
        <v>2563</v>
      </c>
      <c r="E14" s="95" t="s">
        <v>2564</v>
      </c>
      <c r="F14" s="95" t="s">
        <v>2565</v>
      </c>
      <c r="G14" s="95" t="s">
        <v>2566</v>
      </c>
      <c r="H14" s="95" t="s">
        <v>2567</v>
      </c>
    </row>
    <row r="15" spans="1:17">
      <c r="A15" s="94">
        <v>13</v>
      </c>
      <c r="B15" s="95" t="s">
        <v>2568</v>
      </c>
      <c r="C15" s="95" t="s">
        <v>2569</v>
      </c>
      <c r="D15" s="95" t="s">
        <v>2570</v>
      </c>
      <c r="E15" s="95" t="s">
        <v>2571</v>
      </c>
      <c r="F15" s="95" t="s">
        <v>2572</v>
      </c>
      <c r="G15" s="95" t="s">
        <v>2573</v>
      </c>
      <c r="H15" s="95" t="s">
        <v>2574</v>
      </c>
      <c r="J15" s="225"/>
    </row>
    <row r="16" spans="1:17">
      <c r="A16" s="94">
        <v>14</v>
      </c>
      <c r="B16" s="95" t="s">
        <v>2575</v>
      </c>
      <c r="C16" s="95" t="s">
        <v>2576</v>
      </c>
      <c r="D16" s="96">
        <v>45748</v>
      </c>
      <c r="E16" s="96">
        <v>45749</v>
      </c>
      <c r="F16" s="96">
        <v>45750</v>
      </c>
      <c r="G16" s="96">
        <v>45751</v>
      </c>
      <c r="H16" s="96">
        <v>45752</v>
      </c>
      <c r="J16" s="225"/>
    </row>
    <row r="17" spans="1:11">
      <c r="A17" s="94">
        <v>15</v>
      </c>
      <c r="B17" s="96">
        <v>45753</v>
      </c>
      <c r="C17" s="96">
        <v>45754</v>
      </c>
      <c r="D17" s="96">
        <v>45755</v>
      </c>
      <c r="E17" s="96">
        <v>45756</v>
      </c>
      <c r="F17" s="96">
        <v>45757</v>
      </c>
      <c r="G17" s="96">
        <v>45758</v>
      </c>
      <c r="H17" s="96">
        <v>45759</v>
      </c>
      <c r="J17" s="225"/>
    </row>
    <row r="18" spans="1:11">
      <c r="A18" s="94">
        <v>16</v>
      </c>
      <c r="B18" s="96">
        <v>45760</v>
      </c>
      <c r="C18" s="96">
        <v>45761</v>
      </c>
      <c r="D18" s="96">
        <v>45762</v>
      </c>
      <c r="E18" s="96">
        <v>45763</v>
      </c>
      <c r="F18" s="96">
        <v>45764</v>
      </c>
      <c r="G18" s="96">
        <v>45765</v>
      </c>
      <c r="H18" s="96">
        <v>45766</v>
      </c>
      <c r="J18" s="225"/>
    </row>
    <row r="19" spans="1:11">
      <c r="A19" s="94">
        <v>17</v>
      </c>
      <c r="B19" s="96">
        <v>45767</v>
      </c>
      <c r="C19" s="96">
        <v>45768</v>
      </c>
      <c r="D19" s="96">
        <v>45769</v>
      </c>
      <c r="E19" s="96">
        <v>45770</v>
      </c>
      <c r="F19" s="96">
        <v>45771</v>
      </c>
      <c r="G19" s="96">
        <v>45772</v>
      </c>
      <c r="H19" s="96">
        <v>45773</v>
      </c>
      <c r="J19" s="225"/>
    </row>
    <row r="20" spans="1:11">
      <c r="A20" s="94">
        <v>18</v>
      </c>
      <c r="B20" s="96">
        <v>45774</v>
      </c>
      <c r="C20" s="96">
        <v>45775</v>
      </c>
      <c r="D20" s="96">
        <v>45776</v>
      </c>
      <c r="E20" s="96">
        <v>45777</v>
      </c>
      <c r="F20" s="95" t="s">
        <v>2577</v>
      </c>
      <c r="G20" s="95" t="s">
        <v>2578</v>
      </c>
      <c r="H20" s="95" t="s">
        <v>2579</v>
      </c>
      <c r="J20" s="225"/>
    </row>
    <row r="21" spans="1:11">
      <c r="A21" s="94">
        <v>19</v>
      </c>
      <c r="B21" s="95" t="s">
        <v>2580</v>
      </c>
      <c r="C21" s="95" t="s">
        <v>2581</v>
      </c>
      <c r="D21" s="95" t="s">
        <v>2582</v>
      </c>
      <c r="E21" s="95" t="s">
        <v>2583</v>
      </c>
      <c r="F21" s="95" t="s">
        <v>2584</v>
      </c>
      <c r="G21" s="95" t="s">
        <v>2585</v>
      </c>
      <c r="H21" s="95" t="s">
        <v>2586</v>
      </c>
      <c r="J21" s="225"/>
    </row>
    <row r="22" spans="1:11">
      <c r="A22" s="94">
        <v>20</v>
      </c>
      <c r="B22" s="95" t="s">
        <v>2587</v>
      </c>
      <c r="C22" s="95" t="s">
        <v>2588</v>
      </c>
      <c r="D22" s="95" t="s">
        <v>2589</v>
      </c>
      <c r="E22" s="95" t="s">
        <v>2590</v>
      </c>
      <c r="F22" s="95" t="s">
        <v>2591</v>
      </c>
      <c r="G22" s="95" t="s">
        <v>2592</v>
      </c>
      <c r="H22" s="95" t="s">
        <v>2593</v>
      </c>
      <c r="J22" s="225"/>
    </row>
    <row r="23" spans="1:11">
      <c r="A23" s="94">
        <v>21</v>
      </c>
      <c r="B23" s="95" t="s">
        <v>2594</v>
      </c>
      <c r="C23" s="95" t="s">
        <v>2595</v>
      </c>
      <c r="D23" s="95" t="s">
        <v>2596</v>
      </c>
      <c r="E23" s="95" t="s">
        <v>2597</v>
      </c>
      <c r="F23" s="95" t="s">
        <v>2598</v>
      </c>
      <c r="G23" s="95" t="s">
        <v>2599</v>
      </c>
      <c r="H23" s="95" t="s">
        <v>2600</v>
      </c>
      <c r="J23" s="225"/>
    </row>
    <row r="24" spans="1:11">
      <c r="A24" s="94">
        <v>22</v>
      </c>
      <c r="B24" s="95" t="s">
        <v>2601</v>
      </c>
      <c r="C24" s="95" t="s">
        <v>2602</v>
      </c>
      <c r="D24" s="95" t="s">
        <v>2603</v>
      </c>
      <c r="E24" s="95" t="s">
        <v>2604</v>
      </c>
      <c r="F24" s="95" t="s">
        <v>2605</v>
      </c>
      <c r="G24" s="95" t="s">
        <v>2606</v>
      </c>
      <c r="H24" s="95" t="s">
        <v>2607</v>
      </c>
      <c r="J24" s="225"/>
    </row>
    <row r="25" spans="1:11">
      <c r="A25" s="94">
        <v>23</v>
      </c>
      <c r="B25" s="96">
        <v>45809</v>
      </c>
      <c r="C25" s="96">
        <v>45810</v>
      </c>
      <c r="D25" s="96">
        <v>45811</v>
      </c>
      <c r="E25" s="96">
        <v>45812</v>
      </c>
      <c r="F25" s="96">
        <v>45813</v>
      </c>
      <c r="G25" s="96">
        <v>45814</v>
      </c>
      <c r="H25" s="96">
        <v>45815</v>
      </c>
      <c r="J25" s="225"/>
    </row>
    <row r="26" spans="1:11">
      <c r="A26" s="94">
        <v>24</v>
      </c>
      <c r="B26" s="96">
        <v>45816</v>
      </c>
      <c r="C26" s="96">
        <v>45817</v>
      </c>
      <c r="D26" s="96">
        <v>45818</v>
      </c>
      <c r="E26" s="96">
        <v>45819</v>
      </c>
      <c r="F26" s="96">
        <v>45820</v>
      </c>
      <c r="G26" s="96">
        <v>45821</v>
      </c>
      <c r="H26" s="96">
        <v>45822</v>
      </c>
      <c r="J26" s="225"/>
      <c r="K26" s="220"/>
    </row>
    <row r="27" spans="1:11">
      <c r="A27" s="94">
        <v>25</v>
      </c>
      <c r="B27" s="96">
        <v>45823</v>
      </c>
      <c r="C27" s="96">
        <v>45824</v>
      </c>
      <c r="D27" s="96">
        <v>45825</v>
      </c>
      <c r="E27" s="96">
        <v>45826</v>
      </c>
      <c r="F27" s="96">
        <v>45827</v>
      </c>
      <c r="G27" s="96">
        <v>45828</v>
      </c>
      <c r="H27" s="96">
        <v>45829</v>
      </c>
      <c r="J27" s="225"/>
      <c r="K27" s="220"/>
    </row>
    <row r="28" spans="1:11">
      <c r="A28" s="94">
        <v>26</v>
      </c>
      <c r="B28" s="96">
        <v>45830</v>
      </c>
      <c r="C28" s="96">
        <v>45831</v>
      </c>
      <c r="D28" s="96">
        <v>45832</v>
      </c>
      <c r="E28" s="96">
        <v>45833</v>
      </c>
      <c r="F28" s="96">
        <v>45834</v>
      </c>
      <c r="G28" s="96">
        <v>45835</v>
      </c>
      <c r="H28" s="96">
        <v>45836</v>
      </c>
      <c r="K28" s="220"/>
    </row>
    <row r="29" spans="1:11">
      <c r="A29" s="94">
        <v>27</v>
      </c>
      <c r="B29" s="96">
        <v>45837</v>
      </c>
      <c r="C29" s="96">
        <v>45838</v>
      </c>
      <c r="D29" s="96">
        <v>45839</v>
      </c>
      <c r="E29" s="96">
        <v>45840</v>
      </c>
      <c r="F29" s="96">
        <v>45841</v>
      </c>
      <c r="G29" s="96">
        <v>45842</v>
      </c>
      <c r="H29" s="96">
        <v>45843</v>
      </c>
      <c r="K29" s="220"/>
    </row>
    <row r="30" spans="1:11">
      <c r="A30" s="94">
        <v>28</v>
      </c>
      <c r="B30" s="96">
        <v>45844</v>
      </c>
      <c r="C30" s="96">
        <v>45845</v>
      </c>
      <c r="D30" s="96">
        <v>45846</v>
      </c>
      <c r="E30" s="96">
        <v>45847</v>
      </c>
      <c r="F30" s="96">
        <v>45848</v>
      </c>
      <c r="G30" s="96">
        <v>45849</v>
      </c>
      <c r="H30" s="96">
        <v>45850</v>
      </c>
      <c r="K30" s="220"/>
    </row>
    <row r="31" spans="1:11">
      <c r="A31" s="94">
        <v>29</v>
      </c>
      <c r="B31" s="96">
        <v>45851</v>
      </c>
      <c r="C31" s="96">
        <v>45852</v>
      </c>
      <c r="D31" s="96">
        <v>45853</v>
      </c>
      <c r="E31" s="96">
        <v>45854</v>
      </c>
      <c r="F31" s="96">
        <v>45855</v>
      </c>
      <c r="G31" s="96">
        <v>45856</v>
      </c>
      <c r="H31" s="96">
        <v>45857</v>
      </c>
      <c r="K31" s="220"/>
    </row>
    <row r="32" spans="1:11">
      <c r="A32" s="94">
        <v>30</v>
      </c>
      <c r="B32" s="96">
        <v>45858</v>
      </c>
      <c r="C32" s="96">
        <v>45859</v>
      </c>
      <c r="D32" s="96">
        <v>45860</v>
      </c>
      <c r="E32" s="96">
        <v>45861</v>
      </c>
      <c r="F32" s="96">
        <v>45862</v>
      </c>
      <c r="G32" s="96">
        <v>45863</v>
      </c>
      <c r="H32" s="96">
        <v>45864</v>
      </c>
      <c r="K32" s="220"/>
    </row>
    <row r="33" spans="1:12">
      <c r="A33" s="94">
        <v>31</v>
      </c>
      <c r="B33" s="96">
        <v>45865</v>
      </c>
      <c r="C33" s="96">
        <v>45866</v>
      </c>
      <c r="D33" s="96">
        <v>45867</v>
      </c>
      <c r="E33" s="96">
        <v>45868</v>
      </c>
      <c r="F33" s="96">
        <v>45869</v>
      </c>
      <c r="G33" s="96">
        <v>45870</v>
      </c>
      <c r="H33" s="96">
        <v>45871</v>
      </c>
      <c r="K33" s="220"/>
    </row>
    <row r="34" spans="1:12">
      <c r="A34" s="94">
        <v>32</v>
      </c>
      <c r="B34" s="96">
        <v>45872</v>
      </c>
      <c r="C34" s="96">
        <v>45873</v>
      </c>
      <c r="D34" s="96">
        <v>45874</v>
      </c>
      <c r="E34" s="96">
        <v>45875</v>
      </c>
      <c r="F34" s="96">
        <v>45876</v>
      </c>
      <c r="G34" s="96">
        <v>45877</v>
      </c>
      <c r="H34" s="96">
        <v>45878</v>
      </c>
      <c r="K34" s="220"/>
    </row>
    <row r="35" spans="1:12">
      <c r="A35" s="94">
        <v>33</v>
      </c>
      <c r="B35" s="96">
        <v>45879</v>
      </c>
      <c r="C35" s="96">
        <v>45880</v>
      </c>
      <c r="D35" s="96">
        <v>45881</v>
      </c>
      <c r="E35" s="96">
        <v>45882</v>
      </c>
      <c r="F35" s="96">
        <v>45883</v>
      </c>
      <c r="G35" s="96">
        <v>45884</v>
      </c>
      <c r="H35" s="96">
        <v>45885</v>
      </c>
      <c r="K35" s="220"/>
    </row>
    <row r="36" spans="1:12">
      <c r="A36" s="94">
        <v>34</v>
      </c>
      <c r="B36" s="96">
        <v>45886</v>
      </c>
      <c r="C36" s="96">
        <v>45887</v>
      </c>
      <c r="D36" s="96">
        <v>45888</v>
      </c>
      <c r="E36" s="96">
        <v>45889</v>
      </c>
      <c r="F36" s="96">
        <v>45890</v>
      </c>
      <c r="G36" s="96">
        <v>45891</v>
      </c>
      <c r="H36" s="96">
        <v>45892</v>
      </c>
      <c r="K36" s="220"/>
    </row>
    <row r="37" spans="1:12">
      <c r="A37" s="94">
        <v>35</v>
      </c>
      <c r="B37" s="96">
        <v>45893</v>
      </c>
      <c r="C37" s="96">
        <v>45894</v>
      </c>
      <c r="D37" s="96">
        <v>45895</v>
      </c>
      <c r="E37" s="96">
        <v>45896</v>
      </c>
      <c r="F37" s="96">
        <v>45897</v>
      </c>
      <c r="G37" s="96">
        <v>45898</v>
      </c>
      <c r="H37" s="96">
        <v>45899</v>
      </c>
      <c r="K37" s="220"/>
    </row>
    <row r="38" spans="1:12">
      <c r="A38" s="94">
        <v>36</v>
      </c>
      <c r="B38" s="96">
        <v>45900</v>
      </c>
      <c r="C38" s="96">
        <v>45901</v>
      </c>
      <c r="D38" s="96">
        <v>45902</v>
      </c>
      <c r="E38" s="96">
        <v>45903</v>
      </c>
      <c r="F38" s="96">
        <v>45904</v>
      </c>
      <c r="G38" s="96">
        <v>45905</v>
      </c>
      <c r="H38" s="96">
        <v>45906</v>
      </c>
      <c r="K38" s="220"/>
    </row>
    <row r="39" spans="1:12">
      <c r="A39" s="94">
        <v>37</v>
      </c>
      <c r="B39" s="96">
        <v>45907</v>
      </c>
      <c r="C39" s="96">
        <v>45908</v>
      </c>
      <c r="D39" s="96">
        <v>45909</v>
      </c>
      <c r="E39" s="96">
        <v>45910</v>
      </c>
      <c r="F39" s="96">
        <v>45911</v>
      </c>
      <c r="G39" s="96">
        <v>45912</v>
      </c>
      <c r="H39" s="96">
        <v>45913</v>
      </c>
      <c r="K39" s="220"/>
      <c r="L39" s="221"/>
    </row>
    <row r="40" spans="1:12">
      <c r="A40" s="94">
        <v>38</v>
      </c>
      <c r="B40" s="96">
        <v>45914</v>
      </c>
      <c r="C40" s="96">
        <v>45915</v>
      </c>
      <c r="D40" s="96">
        <v>45916</v>
      </c>
      <c r="E40" s="96">
        <v>45917</v>
      </c>
      <c r="F40" s="96">
        <v>45918</v>
      </c>
      <c r="G40" s="96">
        <v>45919</v>
      </c>
      <c r="H40" s="96">
        <v>45920</v>
      </c>
      <c r="K40" s="220"/>
      <c r="L40" s="221"/>
    </row>
    <row r="41" spans="1:12">
      <c r="A41" s="94">
        <v>39</v>
      </c>
      <c r="B41" s="96">
        <v>45921</v>
      </c>
      <c r="C41" s="96">
        <v>45922</v>
      </c>
      <c r="D41" s="96">
        <v>45923</v>
      </c>
      <c r="E41" s="96">
        <v>45924</v>
      </c>
      <c r="F41" s="96">
        <v>45925</v>
      </c>
      <c r="G41" s="96">
        <v>45926</v>
      </c>
      <c r="H41" s="96">
        <v>45927</v>
      </c>
      <c r="L41" s="221"/>
    </row>
    <row r="42" spans="1:12">
      <c r="A42" s="94">
        <v>40</v>
      </c>
      <c r="B42" s="96">
        <v>45928</v>
      </c>
      <c r="C42" s="96">
        <v>45929</v>
      </c>
      <c r="D42" s="96">
        <v>45930</v>
      </c>
      <c r="E42" s="95" t="s">
        <v>2608</v>
      </c>
      <c r="F42" s="95" t="s">
        <v>2609</v>
      </c>
      <c r="G42" s="95" t="s">
        <v>2610</v>
      </c>
      <c r="H42" s="95" t="s">
        <v>2611</v>
      </c>
      <c r="L42" s="221"/>
    </row>
    <row r="43" spans="1:12">
      <c r="A43" s="94">
        <v>41</v>
      </c>
      <c r="B43" s="95" t="s">
        <v>2612</v>
      </c>
      <c r="C43" s="95" t="s">
        <v>2613</v>
      </c>
      <c r="D43" s="95" t="s">
        <v>2614</v>
      </c>
      <c r="E43" s="95" t="s">
        <v>2615</v>
      </c>
      <c r="F43" s="95" t="s">
        <v>2616</v>
      </c>
      <c r="G43" s="95" t="s">
        <v>2617</v>
      </c>
      <c r="H43" s="95" t="s">
        <v>2618</v>
      </c>
      <c r="L43" s="221"/>
    </row>
    <row r="44" spans="1:12">
      <c r="A44" s="94">
        <v>42</v>
      </c>
      <c r="B44" s="95" t="s">
        <v>2619</v>
      </c>
      <c r="C44" s="95" t="s">
        <v>2620</v>
      </c>
      <c r="D44" s="95" t="s">
        <v>2621</v>
      </c>
      <c r="E44" s="95" t="s">
        <v>2622</v>
      </c>
      <c r="F44" s="95" t="s">
        <v>2623</v>
      </c>
      <c r="G44" s="95" t="s">
        <v>2624</v>
      </c>
      <c r="H44" s="95" t="s">
        <v>2625</v>
      </c>
      <c r="L44" s="221"/>
    </row>
    <row r="45" spans="1:12">
      <c r="A45" s="94">
        <v>43</v>
      </c>
      <c r="B45" s="95" t="s">
        <v>2626</v>
      </c>
      <c r="C45" s="95" t="s">
        <v>2627</v>
      </c>
      <c r="D45" s="95" t="s">
        <v>2628</v>
      </c>
      <c r="E45" s="95" t="s">
        <v>2629</v>
      </c>
      <c r="F45" s="95" t="s">
        <v>2630</v>
      </c>
      <c r="G45" s="95" t="s">
        <v>2631</v>
      </c>
      <c r="H45" s="95" t="s">
        <v>2632</v>
      </c>
      <c r="L45" s="221"/>
    </row>
    <row r="46" spans="1:12">
      <c r="A46" s="94">
        <v>44</v>
      </c>
      <c r="B46" s="95" t="s">
        <v>2633</v>
      </c>
      <c r="C46" s="95" t="s">
        <v>2634</v>
      </c>
      <c r="D46" s="95" t="s">
        <v>2635</v>
      </c>
      <c r="E46" s="95" t="s">
        <v>2636</v>
      </c>
      <c r="F46" s="95" t="s">
        <v>2637</v>
      </c>
      <c r="G46" s="95" t="s">
        <v>2638</v>
      </c>
      <c r="H46" s="96">
        <v>45962</v>
      </c>
      <c r="L46" s="221"/>
    </row>
    <row r="47" spans="1:12">
      <c r="A47" s="94">
        <v>45</v>
      </c>
      <c r="B47" s="96">
        <v>45963</v>
      </c>
      <c r="C47" s="96">
        <v>45964</v>
      </c>
      <c r="D47" s="96">
        <v>45965</v>
      </c>
      <c r="E47" s="96">
        <v>45966</v>
      </c>
      <c r="F47" s="96">
        <v>45967</v>
      </c>
      <c r="G47" s="96">
        <v>45968</v>
      </c>
      <c r="H47" s="96">
        <v>45969</v>
      </c>
      <c r="L47" s="221"/>
    </row>
    <row r="48" spans="1:12">
      <c r="A48" s="94">
        <v>46</v>
      </c>
      <c r="B48" s="96">
        <v>45970</v>
      </c>
      <c r="C48" s="96">
        <v>45971</v>
      </c>
      <c r="D48" s="96">
        <v>45972</v>
      </c>
      <c r="E48" s="96">
        <v>45973</v>
      </c>
      <c r="F48" s="96">
        <v>45974</v>
      </c>
      <c r="G48" s="96">
        <v>45975</v>
      </c>
      <c r="H48" s="96">
        <v>45976</v>
      </c>
      <c r="L48" s="221"/>
    </row>
    <row r="49" spans="1:13">
      <c r="A49" s="94">
        <v>47</v>
      </c>
      <c r="B49" s="96">
        <v>45977</v>
      </c>
      <c r="C49" s="96">
        <v>45978</v>
      </c>
      <c r="D49" s="96">
        <v>45979</v>
      </c>
      <c r="E49" s="96">
        <v>45980</v>
      </c>
      <c r="F49" s="96">
        <v>45981</v>
      </c>
      <c r="G49" s="96">
        <v>45982</v>
      </c>
      <c r="H49" s="96">
        <v>45983</v>
      </c>
      <c r="L49" s="221"/>
    </row>
    <row r="50" spans="1:13">
      <c r="A50" s="94">
        <v>48</v>
      </c>
      <c r="B50" s="96">
        <v>45984</v>
      </c>
      <c r="C50" s="96">
        <v>45985</v>
      </c>
      <c r="D50" s="96">
        <v>45986</v>
      </c>
      <c r="E50" s="96">
        <v>45987</v>
      </c>
      <c r="F50" s="96">
        <v>45988</v>
      </c>
      <c r="G50" s="96">
        <v>45989</v>
      </c>
      <c r="H50" s="96">
        <v>45990</v>
      </c>
      <c r="L50" s="221"/>
    </row>
    <row r="51" spans="1:13">
      <c r="A51" s="94">
        <v>49</v>
      </c>
      <c r="B51" s="96">
        <v>45991</v>
      </c>
      <c r="C51" s="95" t="s">
        <v>2639</v>
      </c>
      <c r="D51" s="95" t="s">
        <v>2640</v>
      </c>
      <c r="E51" s="95" t="s">
        <v>2641</v>
      </c>
      <c r="F51" s="95" t="s">
        <v>2642</v>
      </c>
      <c r="G51" s="95" t="s">
        <v>2643</v>
      </c>
      <c r="H51" s="95" t="s">
        <v>2644</v>
      </c>
      <c r="L51" s="221"/>
      <c r="M51" s="222"/>
    </row>
    <row r="52" spans="1:13">
      <c r="A52" s="94">
        <v>50</v>
      </c>
      <c r="B52" s="95" t="s">
        <v>2645</v>
      </c>
      <c r="C52" s="95" t="s">
        <v>2646</v>
      </c>
      <c r="D52" s="95" t="s">
        <v>2647</v>
      </c>
      <c r="E52" s="95" t="s">
        <v>2648</v>
      </c>
      <c r="F52" s="95" t="s">
        <v>2649</v>
      </c>
      <c r="G52" s="95" t="s">
        <v>2650</v>
      </c>
      <c r="H52" s="95" t="s">
        <v>2651</v>
      </c>
      <c r="L52" s="221"/>
      <c r="M52" s="222"/>
    </row>
    <row r="53" spans="1:13">
      <c r="A53" s="94">
        <v>51</v>
      </c>
      <c r="B53" s="95" t="s">
        <v>2652</v>
      </c>
      <c r="C53" s="95" t="s">
        <v>2653</v>
      </c>
      <c r="D53" s="95" t="s">
        <v>2654</v>
      </c>
      <c r="E53" s="95" t="s">
        <v>2655</v>
      </c>
      <c r="F53" s="95" t="s">
        <v>2656</v>
      </c>
      <c r="G53" s="95" t="s">
        <v>2657</v>
      </c>
      <c r="H53" s="95" t="s">
        <v>2658</v>
      </c>
      <c r="L53" s="221"/>
      <c r="M53" s="222"/>
    </row>
    <row r="54" spans="1:13" ht="15" thickBot="1">
      <c r="A54" s="94">
        <v>52</v>
      </c>
      <c r="B54" s="95" t="s">
        <v>2659</v>
      </c>
      <c r="C54" s="95" t="s">
        <v>2660</v>
      </c>
      <c r="D54" s="95" t="s">
        <v>2661</v>
      </c>
      <c r="E54" s="95" t="s">
        <v>2662</v>
      </c>
      <c r="F54" s="95" t="s">
        <v>2663</v>
      </c>
      <c r="G54" s="95" t="s">
        <v>2664</v>
      </c>
      <c r="H54" s="95" t="s">
        <v>2665</v>
      </c>
      <c r="M54" s="222"/>
    </row>
    <row r="55" spans="1:13" ht="15" thickBot="1">
      <c r="A55" s="94">
        <v>53</v>
      </c>
      <c r="B55" s="95" t="s">
        <v>2666</v>
      </c>
      <c r="C55" s="95" t="s">
        <v>2543</v>
      </c>
      <c r="D55" s="95" t="s">
        <v>2544</v>
      </c>
      <c r="E55" s="95" t="s">
        <v>2545</v>
      </c>
      <c r="F55" s="96">
        <v>45658</v>
      </c>
      <c r="G55" s="96">
        <v>45659</v>
      </c>
      <c r="H55" s="96">
        <v>45660</v>
      </c>
      <c r="M55" s="222"/>
    </row>
    <row r="56" spans="1:13" ht="15" thickBot="1">
      <c r="A56" s="94">
        <v>1</v>
      </c>
      <c r="B56" s="96">
        <v>45661</v>
      </c>
      <c r="C56" s="96">
        <v>45662</v>
      </c>
      <c r="D56" s="96">
        <v>45663</v>
      </c>
      <c r="E56" s="96">
        <v>45664</v>
      </c>
      <c r="F56" s="96">
        <v>45665</v>
      </c>
      <c r="G56" s="96">
        <v>45666</v>
      </c>
      <c r="H56" s="96">
        <v>45667</v>
      </c>
      <c r="M56" s="222"/>
    </row>
    <row r="57" spans="1:13" ht="15" thickBot="1">
      <c r="A57" s="94">
        <v>2</v>
      </c>
      <c r="B57" s="96">
        <v>45668</v>
      </c>
      <c r="C57" s="96">
        <v>45669</v>
      </c>
      <c r="D57" s="96">
        <v>45670</v>
      </c>
      <c r="E57" s="96">
        <v>45671</v>
      </c>
      <c r="F57" s="96">
        <v>45672</v>
      </c>
      <c r="G57" s="96">
        <v>45673</v>
      </c>
      <c r="H57" s="96">
        <v>45674</v>
      </c>
      <c r="M57" s="222"/>
    </row>
    <row r="58" spans="1:13">
      <c r="A58" s="94">
        <v>3</v>
      </c>
      <c r="B58" s="96">
        <v>45675</v>
      </c>
      <c r="C58" s="96">
        <v>45676</v>
      </c>
      <c r="D58" s="96">
        <v>45677</v>
      </c>
      <c r="E58" s="96">
        <v>45678</v>
      </c>
      <c r="F58" s="96">
        <v>45679</v>
      </c>
      <c r="G58" s="96">
        <v>45680</v>
      </c>
      <c r="H58" s="96">
        <v>45681</v>
      </c>
      <c r="M58" s="222"/>
    </row>
    <row r="59" spans="1:13">
      <c r="A59" s="94">
        <v>4</v>
      </c>
      <c r="B59" s="96">
        <v>45682</v>
      </c>
      <c r="C59" s="96">
        <v>45683</v>
      </c>
      <c r="D59" s="96">
        <v>45684</v>
      </c>
      <c r="E59" s="96">
        <v>45685</v>
      </c>
      <c r="F59" s="96">
        <v>45686</v>
      </c>
      <c r="G59" s="96">
        <v>45687</v>
      </c>
      <c r="H59" s="96">
        <v>45688</v>
      </c>
      <c r="M59" s="222"/>
    </row>
    <row r="60" spans="1:13">
      <c r="A60" s="94">
        <v>5</v>
      </c>
      <c r="B60" s="96">
        <v>45689</v>
      </c>
      <c r="C60" s="96">
        <v>45690</v>
      </c>
      <c r="D60" s="96">
        <v>45691</v>
      </c>
      <c r="E60" s="96">
        <v>45692</v>
      </c>
      <c r="F60" s="96">
        <v>45693</v>
      </c>
      <c r="G60" s="96">
        <v>45694</v>
      </c>
      <c r="H60" s="96">
        <v>45695</v>
      </c>
      <c r="M60" s="222"/>
    </row>
    <row r="61" spans="1:13" ht="15" thickBot="1">
      <c r="A61" s="94">
        <v>6</v>
      </c>
      <c r="B61" s="96">
        <v>45696</v>
      </c>
      <c r="C61" s="96">
        <v>45697</v>
      </c>
      <c r="D61" s="96">
        <v>45698</v>
      </c>
      <c r="E61" s="96">
        <v>45699</v>
      </c>
      <c r="F61" s="96">
        <v>45700</v>
      </c>
      <c r="G61" s="96">
        <v>45701</v>
      </c>
      <c r="H61" s="96">
        <v>45702</v>
      </c>
      <c r="M61" s="222"/>
    </row>
    <row r="62" spans="1:13" ht="15" thickBot="1">
      <c r="A62" s="94">
        <v>7</v>
      </c>
      <c r="B62" s="96">
        <v>45703</v>
      </c>
      <c r="C62" s="96">
        <v>45704</v>
      </c>
      <c r="D62" s="96">
        <v>45705</v>
      </c>
      <c r="E62" s="96">
        <v>45706</v>
      </c>
      <c r="F62" s="96">
        <v>45707</v>
      </c>
      <c r="G62" s="96">
        <v>45708</v>
      </c>
      <c r="H62" s="96">
        <v>45709</v>
      </c>
      <c r="M62" s="222"/>
    </row>
    <row r="63" spans="1:13" ht="15" thickBot="1">
      <c r="A63" s="94">
        <v>8</v>
      </c>
      <c r="B63" s="96">
        <v>45710</v>
      </c>
      <c r="C63" s="96">
        <v>45711</v>
      </c>
      <c r="D63" s="96">
        <v>45712</v>
      </c>
      <c r="E63" s="96">
        <v>45713</v>
      </c>
      <c r="F63" s="96">
        <v>45714</v>
      </c>
      <c r="G63" s="96">
        <v>45715</v>
      </c>
      <c r="H63" s="96">
        <v>45716</v>
      </c>
      <c r="M63" s="222"/>
    </row>
  </sheetData>
  <mergeCells count="1">
    <mergeCell ref="J1:M1"/>
  </mergeCells>
  <hyperlinks>
    <hyperlink ref="A3" r:id="rId1" display="1" xr:uid="{3C35AAF1-A96A-43B1-8F2B-D4DD20570D8F}"/>
    <hyperlink ref="A4" r:id="rId2" display="2" xr:uid="{40071FEE-A3EC-42FD-ADAA-6E733E041744}"/>
    <hyperlink ref="A5" r:id="rId3" display="3" xr:uid="{5CBFB28D-D1D9-489A-B117-C7B2BF930836}"/>
    <hyperlink ref="A6" r:id="rId4" display="4" xr:uid="{CC2D9AA0-7A2A-4BAC-A5F7-AECA7A21164C}"/>
    <hyperlink ref="A7" r:id="rId5" display="5" xr:uid="{B62D4444-9465-4E96-B519-99E7A97FFEA3}"/>
    <hyperlink ref="A8" r:id="rId6" display="6" xr:uid="{D8A1CF2D-8D04-4980-A649-1EEBDEB36211}"/>
    <hyperlink ref="A9" r:id="rId7" display="7" xr:uid="{90C81DFB-DFDD-479C-A38D-5CB40A868E4E}"/>
    <hyperlink ref="A10" r:id="rId8" display="8" xr:uid="{8D473039-25A6-4309-ACAD-C10AA51CBF2C}"/>
    <hyperlink ref="A11" r:id="rId9" display="9" xr:uid="{A02AA59A-21D7-4F7E-A369-F7496A6237FF}"/>
    <hyperlink ref="A12" r:id="rId10" display="10" xr:uid="{BC3D268F-5C51-4ED5-8DB9-5C66E7CC56CB}"/>
    <hyperlink ref="A13" r:id="rId11" display="11" xr:uid="{8674F3DA-9FB7-41ED-A878-796D4F5E0FED}"/>
    <hyperlink ref="A14" r:id="rId12" display="12" xr:uid="{B1E8384D-F36C-4501-B97A-F458A2CA28D7}"/>
    <hyperlink ref="A15" r:id="rId13" display="13" xr:uid="{A20C079A-0872-47DC-B4B2-9B6E8323AF49}"/>
    <hyperlink ref="A16" r:id="rId14" display="14" xr:uid="{AEBDBBE9-B66E-4189-9E4E-EA30CD7353D6}"/>
    <hyperlink ref="A17" r:id="rId15" display="15" xr:uid="{80F0C21B-5160-45CD-9B14-BC6AF3811B47}"/>
    <hyperlink ref="A18" r:id="rId16" display="16" xr:uid="{E2BAD542-4DF8-4D1C-B25A-7E32D2C748B2}"/>
    <hyperlink ref="A19" r:id="rId17" display="17" xr:uid="{06B8B4CD-863A-43AB-B4B4-F8D4D0E963DC}"/>
    <hyperlink ref="A20" r:id="rId18" display="18" xr:uid="{9C492FB5-9F03-45AB-A513-C26DCF036253}"/>
    <hyperlink ref="A21" r:id="rId19" display="19" xr:uid="{62F019D4-3F32-4E87-86D4-2BF73BC98635}"/>
    <hyperlink ref="A22" r:id="rId20" display="20" xr:uid="{D47B9919-A6A4-4AE5-B98F-0AD7344AE848}"/>
    <hyperlink ref="A23" r:id="rId21" display="21" xr:uid="{9EBE5AC8-E93D-4667-93E7-D197D7EA1C35}"/>
    <hyperlink ref="A24" r:id="rId22" display="22" xr:uid="{7B00766A-2DDE-4585-AFBA-EF1677EF075D}"/>
    <hyperlink ref="A25" r:id="rId23" display="23" xr:uid="{70B2399A-7C54-423C-BB03-8C7382E6BD15}"/>
    <hyperlink ref="A26" r:id="rId24" display="24" xr:uid="{737E9265-3669-4572-BDA2-0A570DF5C0EB}"/>
    <hyperlink ref="A27" r:id="rId25" display="25" xr:uid="{90778EB2-3608-4B98-935C-979614C30135}"/>
    <hyperlink ref="A28" r:id="rId26" display="26" xr:uid="{4495C972-690E-4D17-8919-BE552469DE82}"/>
    <hyperlink ref="A29" r:id="rId27" display="27" xr:uid="{1500C17A-D674-4250-A6A2-9857BD1861A2}"/>
    <hyperlink ref="A30" r:id="rId28" display="28" xr:uid="{D39A3723-DCE3-4D92-998A-8B192AF244F1}"/>
    <hyperlink ref="A31" r:id="rId29" display="29" xr:uid="{2EB4F3F5-BA1F-42B1-A618-B7DFA0968FDE}"/>
    <hyperlink ref="A32" r:id="rId30" display="30" xr:uid="{66FFD640-1166-4537-8444-20610F3838CC}"/>
    <hyperlink ref="A33" r:id="rId31" display="31" xr:uid="{1157946D-D20D-49AE-9E16-39F2F6702F1D}"/>
    <hyperlink ref="A34" r:id="rId32" display="32" xr:uid="{3B8145F1-51E8-45CB-9490-C02AB5746687}"/>
    <hyperlink ref="A35" r:id="rId33" display="33" xr:uid="{E98D30DB-0AEA-40A1-8292-E2CB44B9AEF6}"/>
    <hyperlink ref="A36" r:id="rId34" display="34" xr:uid="{70C2BB2A-657C-4FC6-BFBB-5A1A2DCF5922}"/>
    <hyperlink ref="A37" r:id="rId35" display="35" xr:uid="{ED50AF25-06EB-4230-B767-37FE23AEC968}"/>
    <hyperlink ref="A38" r:id="rId36" display="36" xr:uid="{5272D582-89DF-4E68-95E6-87748A8C9797}"/>
    <hyperlink ref="A39" r:id="rId37" display="37" xr:uid="{99B636DF-CD30-4279-9E44-AEE80AE126D2}"/>
    <hyperlink ref="A40" r:id="rId38" display="38" xr:uid="{0C9636AD-35FE-461A-81F2-BD9F8C805E79}"/>
    <hyperlink ref="A41" r:id="rId39" display="39" xr:uid="{30EAD56E-72F6-4F1C-B1A5-FF1A6A78F497}"/>
    <hyperlink ref="A42" r:id="rId40" display="40" xr:uid="{8EC23FF5-C2DD-427B-BA2B-9E85AF4917AB}"/>
    <hyperlink ref="A43" r:id="rId41" display="41" xr:uid="{71BAD416-5AC2-4B2D-B1D8-68DA9A1BC5A1}"/>
    <hyperlink ref="A44" r:id="rId42" display="42" xr:uid="{BB81081D-1A65-407B-9C68-945EABE4987E}"/>
    <hyperlink ref="A45" r:id="rId43" display="43" xr:uid="{2C23B979-88AC-4B1E-9450-68AA8866472B}"/>
    <hyperlink ref="A46" r:id="rId44" display="44" xr:uid="{5AA45F6D-F03C-493B-AC75-CA82C883FC70}"/>
    <hyperlink ref="A47" r:id="rId45" display="45" xr:uid="{76E7C0E6-17D8-4E4D-A5AA-BE155DBC268D}"/>
    <hyperlink ref="A48" r:id="rId46" display="46" xr:uid="{59B9AF8F-53F2-42D6-8712-CD8D463BEAC3}"/>
    <hyperlink ref="A49" r:id="rId47" display="47" xr:uid="{17A29F9F-F179-4420-A402-3851C3CBB67E}"/>
    <hyperlink ref="A50" r:id="rId48" display="48" xr:uid="{A8C6438E-6D21-4B5D-966A-625E994E1418}"/>
    <hyperlink ref="A51" r:id="rId49" display="49" xr:uid="{C87BF81A-47A1-4E89-BA21-7CA822FE6A57}"/>
    <hyperlink ref="A52" r:id="rId50" display="50" xr:uid="{E9D5B5B3-2D7A-40B6-8BB4-E5F0583F1284}"/>
    <hyperlink ref="A53" r:id="rId51" display="51" xr:uid="{8088B468-7DAB-4AE3-AA0C-5ABF90740C2D}"/>
    <hyperlink ref="A54" r:id="rId52" display="52" xr:uid="{937EB7BB-901A-4AA0-BA47-B98A659C7F50}"/>
    <hyperlink ref="A55" r:id="rId53" display="53" xr:uid="{4E87CCBF-D875-47F6-8175-D9A51C56FD5D}"/>
    <hyperlink ref="A56" r:id="rId54" display="1" xr:uid="{8ADD96F3-6462-4D14-8AC4-31B0C4C04A0B}"/>
    <hyperlink ref="A57" r:id="rId55" display="2" xr:uid="{E987CC9F-4DAF-4E0F-B052-24982E9EEA86}"/>
    <hyperlink ref="A58" r:id="rId56" display="3" xr:uid="{ECCF7B01-31B2-4572-8817-B53A980E8FEE}"/>
    <hyperlink ref="A59" r:id="rId57" display="4" xr:uid="{D4BF7549-69FD-4A52-9251-87E5C9C305F4}"/>
    <hyperlink ref="A60" r:id="rId58" display="5" xr:uid="{A3D5F908-3678-4016-8BFF-CB4680D701B1}"/>
    <hyperlink ref="A61" r:id="rId59" display="6" xr:uid="{4DEB7085-8FC1-4B97-B6ED-C58539E0AD38}"/>
    <hyperlink ref="A62:A63" r:id="rId60" display="6" xr:uid="{9D44CE56-F9F9-437C-8CB7-8949CEE8D63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8291E-CA11-47CE-B4B4-A3DA849657A4}">
  <dimension ref="A1:AA30"/>
  <sheetViews>
    <sheetView workbookViewId="0">
      <selection activeCell="F31" sqref="F31"/>
    </sheetView>
  </sheetViews>
  <sheetFormatPr defaultColWidth="8.85546875" defaultRowHeight="14.45"/>
  <cols>
    <col min="2" max="2" width="23.85546875" customWidth="1"/>
  </cols>
  <sheetData>
    <row r="1" spans="1:3">
      <c r="A1" s="205" t="s">
        <v>2667</v>
      </c>
      <c r="B1" s="7" t="s">
        <v>21</v>
      </c>
      <c r="C1" s="7" t="s">
        <v>2668</v>
      </c>
    </row>
    <row r="2" spans="1:3">
      <c r="A2" s="205">
        <v>1</v>
      </c>
      <c r="B2" s="205" t="s">
        <v>2669</v>
      </c>
      <c r="C2" s="205" t="s">
        <v>2670</v>
      </c>
    </row>
    <row r="3" spans="1:3">
      <c r="A3" s="205">
        <v>2</v>
      </c>
      <c r="B3" s="205" t="s">
        <v>2671</v>
      </c>
      <c r="C3" s="205" t="s">
        <v>2672</v>
      </c>
    </row>
    <row r="4" spans="1:3">
      <c r="A4" s="205">
        <v>3</v>
      </c>
      <c r="B4" s="205" t="s">
        <v>2673</v>
      </c>
      <c r="C4" s="205" t="s">
        <v>2674</v>
      </c>
    </row>
    <row r="5" spans="1:3">
      <c r="A5" s="205">
        <v>4</v>
      </c>
      <c r="B5" s="205" t="s">
        <v>2675</v>
      </c>
      <c r="C5" s="205" t="s">
        <v>2676</v>
      </c>
    </row>
    <row r="6" spans="1:3">
      <c r="A6" s="205">
        <v>5</v>
      </c>
      <c r="B6" s="205" t="s">
        <v>120</v>
      </c>
      <c r="C6" s="205" t="s">
        <v>2677</v>
      </c>
    </row>
    <row r="7" spans="1:3">
      <c r="A7" s="205">
        <v>6</v>
      </c>
      <c r="B7" s="205" t="s">
        <v>2678</v>
      </c>
      <c r="C7" s="205" t="s">
        <v>2679</v>
      </c>
    </row>
    <row r="8" spans="1:3">
      <c r="A8" s="205">
        <v>7</v>
      </c>
      <c r="B8" s="205" t="s">
        <v>60</v>
      </c>
      <c r="C8" s="205" t="s">
        <v>2680</v>
      </c>
    </row>
    <row r="9" spans="1:3" ht="15" customHeight="1">
      <c r="A9" s="205">
        <v>8</v>
      </c>
      <c r="B9" s="109" t="s">
        <v>126</v>
      </c>
      <c r="C9" t="s">
        <v>2681</v>
      </c>
    </row>
    <row r="10" spans="1:3" ht="15" customHeight="1">
      <c r="A10" s="205">
        <v>9</v>
      </c>
      <c r="B10" s="109" t="s">
        <v>2682</v>
      </c>
      <c r="C10" s="205" t="s">
        <v>2683</v>
      </c>
    </row>
    <row r="11" spans="1:3">
      <c r="A11" s="205">
        <v>10</v>
      </c>
      <c r="B11" s="205" t="s">
        <v>2684</v>
      </c>
      <c r="C11" s="205" t="s">
        <v>2685</v>
      </c>
    </row>
    <row r="12" spans="1:3">
      <c r="A12" s="205">
        <v>11</v>
      </c>
      <c r="B12" s="205" t="s">
        <v>2686</v>
      </c>
      <c r="C12" s="205" t="s">
        <v>2687</v>
      </c>
    </row>
    <row r="13" spans="1:3">
      <c r="A13" s="205">
        <v>12</v>
      </c>
      <c r="B13" s="205" t="s">
        <v>2688</v>
      </c>
      <c r="C13" s="205" t="s">
        <v>2689</v>
      </c>
    </row>
    <row r="14" spans="1:3">
      <c r="A14" s="205">
        <v>13</v>
      </c>
      <c r="B14" s="205" t="s">
        <v>79</v>
      </c>
      <c r="C14" s="205" t="s">
        <v>2690</v>
      </c>
    </row>
    <row r="15" spans="1:3">
      <c r="A15" s="205">
        <v>14</v>
      </c>
      <c r="B15" s="205" t="s">
        <v>731</v>
      </c>
      <c r="C15" s="205" t="s">
        <v>2691</v>
      </c>
    </row>
    <row r="16" spans="1:3">
      <c r="A16" s="205">
        <v>15</v>
      </c>
      <c r="B16" s="205" t="s">
        <v>2692</v>
      </c>
      <c r="C16" s="205" t="s">
        <v>2693</v>
      </c>
    </row>
    <row r="17" spans="1:27">
      <c r="A17" s="205">
        <v>16</v>
      </c>
      <c r="B17" s="205" t="s">
        <v>98</v>
      </c>
      <c r="C17" s="205" t="s">
        <v>2694</v>
      </c>
    </row>
    <row r="18" spans="1:27">
      <c r="A18" s="205">
        <v>17</v>
      </c>
      <c r="B18" s="239" t="s">
        <v>2512</v>
      </c>
      <c r="C18" s="239" t="s">
        <v>2695</v>
      </c>
      <c r="D18" s="239"/>
      <c r="E18" s="239"/>
      <c r="F18" s="239"/>
      <c r="G18" s="239"/>
      <c r="H18" s="239"/>
      <c r="I18" s="239"/>
      <c r="J18" s="239"/>
      <c r="K18" s="239"/>
      <c r="L18" s="239"/>
      <c r="M18" s="239"/>
      <c r="N18" s="239"/>
      <c r="O18" s="239"/>
      <c r="P18" s="239"/>
      <c r="Q18" s="239"/>
      <c r="R18" s="239"/>
      <c r="S18" s="239"/>
      <c r="T18" s="239"/>
      <c r="U18" s="239"/>
      <c r="V18" s="239"/>
      <c r="W18" s="239"/>
      <c r="X18" s="239"/>
      <c r="Y18" s="239"/>
      <c r="Z18" s="239"/>
      <c r="AA18" s="239"/>
    </row>
    <row r="19" spans="1:27">
      <c r="A19" s="205">
        <v>18</v>
      </c>
      <c r="B19" s="239" t="s">
        <v>2696</v>
      </c>
      <c r="C19" s="239" t="s">
        <v>2697</v>
      </c>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row>
    <row r="20" spans="1:27">
      <c r="A20" s="205">
        <v>19</v>
      </c>
      <c r="B20" s="239" t="s">
        <v>2698</v>
      </c>
      <c r="C20" s="239" t="s">
        <v>2699</v>
      </c>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row>
    <row r="21" spans="1:27">
      <c r="A21" s="205">
        <v>20</v>
      </c>
      <c r="B21" s="239" t="s">
        <v>2700</v>
      </c>
      <c r="C21" s="239" t="s">
        <v>2701</v>
      </c>
      <c r="D21" s="239"/>
      <c r="E21" s="239"/>
      <c r="F21" s="239"/>
      <c r="G21" s="239"/>
      <c r="H21" s="239"/>
      <c r="I21" s="239"/>
      <c r="J21" s="239"/>
      <c r="K21" s="239"/>
      <c r="L21" s="239"/>
      <c r="M21" s="239"/>
      <c r="N21" s="239"/>
      <c r="O21" s="239"/>
      <c r="P21" s="239"/>
      <c r="Q21" s="239"/>
      <c r="R21" s="239"/>
      <c r="S21" s="239"/>
      <c r="T21" s="239"/>
      <c r="U21" s="239"/>
      <c r="V21" s="239"/>
      <c r="W21" s="239"/>
      <c r="X21" s="239"/>
      <c r="Y21" s="239"/>
      <c r="Z21" s="239"/>
      <c r="AA21" s="239"/>
    </row>
    <row r="22" spans="1:27">
      <c r="A22" s="205">
        <v>21</v>
      </c>
      <c r="B22" s="239" t="s">
        <v>2702</v>
      </c>
      <c r="C22" s="239" t="s">
        <v>2703</v>
      </c>
      <c r="D22" s="239"/>
      <c r="E22" s="239"/>
      <c r="F22" s="239"/>
      <c r="G22" s="239"/>
      <c r="H22" s="239"/>
      <c r="I22" s="239"/>
      <c r="J22" s="239"/>
      <c r="K22" s="239"/>
      <c r="L22" s="239"/>
      <c r="M22" s="239"/>
      <c r="N22" s="239"/>
      <c r="O22" s="239"/>
      <c r="P22" s="239"/>
      <c r="Q22" s="239"/>
      <c r="R22" s="239"/>
      <c r="S22" s="239"/>
      <c r="T22" s="239"/>
      <c r="U22" s="239"/>
      <c r="V22" s="239"/>
      <c r="W22" s="239"/>
      <c r="X22" s="239"/>
      <c r="Y22" s="239"/>
      <c r="Z22" s="239"/>
      <c r="AA22" s="239"/>
    </row>
    <row r="23" spans="1:27">
      <c r="A23" s="205">
        <v>22</v>
      </c>
      <c r="B23" s="239" t="s">
        <v>2477</v>
      </c>
      <c r="C23" s="239" t="s">
        <v>2704</v>
      </c>
      <c r="D23" s="239"/>
      <c r="E23" s="239"/>
      <c r="F23" s="239"/>
      <c r="G23" s="239"/>
      <c r="H23" s="239"/>
      <c r="I23" s="239"/>
      <c r="J23" s="239"/>
      <c r="K23" s="239"/>
      <c r="L23" s="239"/>
      <c r="M23" s="239"/>
      <c r="N23" s="239"/>
      <c r="O23" s="239"/>
      <c r="P23" s="239"/>
      <c r="Q23" s="239"/>
      <c r="R23" s="239"/>
      <c r="S23" s="239"/>
      <c r="T23" s="239"/>
      <c r="U23" s="239"/>
      <c r="V23" s="239"/>
      <c r="W23" s="239"/>
      <c r="X23" s="239"/>
      <c r="Y23" s="239"/>
      <c r="Z23" s="239"/>
      <c r="AA23" s="239"/>
    </row>
    <row r="24" spans="1:27">
      <c r="A24" s="239"/>
      <c r="B24" s="239"/>
      <c r="C24" s="239"/>
      <c r="D24" s="239"/>
      <c r="E24" s="239"/>
      <c r="F24" s="239"/>
      <c r="G24" s="239"/>
      <c r="H24" s="239"/>
      <c r="I24" s="239"/>
      <c r="J24" s="239"/>
      <c r="K24" s="239"/>
      <c r="L24" s="239"/>
      <c r="M24" s="239"/>
      <c r="N24" s="239"/>
      <c r="O24" s="239"/>
      <c r="P24" s="239"/>
      <c r="Q24" s="239"/>
      <c r="R24" s="239"/>
      <c r="S24" s="239"/>
      <c r="T24" s="239"/>
      <c r="U24" s="239"/>
      <c r="V24" s="239"/>
      <c r="W24" s="239"/>
      <c r="X24" s="239"/>
      <c r="Y24" s="239"/>
      <c r="Z24" s="239"/>
      <c r="AA24" s="239"/>
    </row>
    <row r="25" spans="1:27">
      <c r="A25" s="239"/>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c r="Z25" s="239"/>
      <c r="AA25" s="239"/>
    </row>
    <row r="26" spans="1:27">
      <c r="A26" s="239"/>
      <c r="B26" s="239"/>
      <c r="C26" s="239"/>
      <c r="D26" s="239"/>
      <c r="E26" s="239"/>
      <c r="F26" s="239"/>
      <c r="G26" s="239"/>
      <c r="H26" s="239"/>
      <c r="I26" s="239"/>
      <c r="J26" s="239"/>
      <c r="K26" s="239"/>
      <c r="L26" s="239"/>
      <c r="M26" s="239"/>
      <c r="N26" s="239"/>
      <c r="O26" s="239"/>
      <c r="P26" s="239"/>
      <c r="Q26" s="239"/>
      <c r="R26" s="239"/>
      <c r="S26" s="239"/>
      <c r="T26" s="239"/>
      <c r="U26" s="239"/>
      <c r="V26" s="239"/>
      <c r="W26" s="239"/>
      <c r="X26" s="239"/>
      <c r="Y26" s="239"/>
      <c r="Z26" s="239"/>
      <c r="AA26" s="239"/>
    </row>
    <row r="27" spans="1:27">
      <c r="A27" s="239"/>
      <c r="B27" s="239"/>
      <c r="C27" s="239"/>
      <c r="D27" s="239"/>
      <c r="E27" s="239"/>
      <c r="F27" s="239"/>
      <c r="G27" s="239"/>
      <c r="H27" s="239"/>
      <c r="I27" s="239"/>
      <c r="J27" s="239"/>
      <c r="K27" s="239"/>
      <c r="L27" s="239"/>
      <c r="M27" s="239"/>
      <c r="N27" s="239"/>
      <c r="O27" s="239"/>
      <c r="P27" s="239"/>
      <c r="Q27" s="239"/>
      <c r="R27" s="239"/>
      <c r="S27" s="239"/>
      <c r="T27" s="239"/>
      <c r="U27" s="239"/>
      <c r="V27" s="239"/>
      <c r="W27" s="239"/>
      <c r="X27" s="239"/>
      <c r="Y27" s="239"/>
      <c r="Z27" s="239"/>
      <c r="AA27" s="239"/>
    </row>
    <row r="28" spans="1:27">
      <c r="A28" s="239"/>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c r="Z28" s="239"/>
      <c r="AA28" s="239"/>
    </row>
    <row r="29" spans="1:27">
      <c r="A29" s="239"/>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c r="Z29" s="239"/>
      <c r="AA29" s="239"/>
    </row>
    <row r="30" spans="1:27">
      <c r="A30" s="239"/>
      <c r="B30" s="239"/>
      <c r="C30" s="239"/>
      <c r="D30" s="239"/>
      <c r="E30" s="239"/>
      <c r="F30" s="239"/>
      <c r="G30" s="239"/>
      <c r="H30" s="239"/>
      <c r="I30" s="239"/>
      <c r="J30" s="239"/>
      <c r="K30" s="239"/>
      <c r="L30" s="239"/>
      <c r="M30" s="239"/>
      <c r="N30" s="239"/>
      <c r="O30" s="239"/>
      <c r="P30" s="239"/>
      <c r="Q30" s="239"/>
      <c r="R30" s="239"/>
      <c r="S30" s="239"/>
      <c r="T30" s="239"/>
      <c r="U30" s="239"/>
      <c r="V30" s="239"/>
      <c r="W30" s="239"/>
      <c r="X30" s="239"/>
      <c r="Y30" s="239"/>
      <c r="Z30" s="239"/>
      <c r="AA30" s="23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5206-A206-6842-88CF-93089D46A041}">
  <dimension ref="A4:K21"/>
  <sheetViews>
    <sheetView workbookViewId="0">
      <selection activeCell="I22" sqref="I22"/>
    </sheetView>
  </sheetViews>
  <sheetFormatPr defaultColWidth="11.42578125" defaultRowHeight="14.45"/>
  <cols>
    <col min="1" max="1" width="12.85546875" bestFit="1" customWidth="1"/>
    <col min="3" max="3" width="13.28515625" customWidth="1"/>
    <col min="5" max="5" width="12.42578125" customWidth="1"/>
  </cols>
  <sheetData>
    <row r="4" spans="1:11">
      <c r="A4" t="s">
        <v>2705</v>
      </c>
      <c r="C4" t="s">
        <v>61</v>
      </c>
      <c r="E4" t="s">
        <v>2706</v>
      </c>
      <c r="G4" t="s">
        <v>2707</v>
      </c>
      <c r="I4" t="s">
        <v>2708</v>
      </c>
      <c r="K4" t="s">
        <v>2709</v>
      </c>
    </row>
    <row r="5" spans="1:11" ht="29.1">
      <c r="A5" s="3" t="s">
        <v>64</v>
      </c>
      <c r="C5" t="s">
        <v>2710</v>
      </c>
      <c r="E5" t="s">
        <v>2711</v>
      </c>
      <c r="G5" s="10" t="s">
        <v>735</v>
      </c>
      <c r="I5" s="171" t="s">
        <v>736</v>
      </c>
      <c r="K5" t="s">
        <v>734</v>
      </c>
    </row>
    <row r="6" spans="1:11">
      <c r="A6" t="s">
        <v>73</v>
      </c>
      <c r="C6" t="s">
        <v>65</v>
      </c>
      <c r="E6" t="s">
        <v>2712</v>
      </c>
      <c r="G6" s="112" t="s">
        <v>743</v>
      </c>
      <c r="I6" s="171" t="s">
        <v>744</v>
      </c>
      <c r="K6" t="s">
        <v>2539</v>
      </c>
    </row>
    <row r="7" spans="1:11" ht="29.1">
      <c r="A7" t="s">
        <v>71</v>
      </c>
      <c r="C7" t="s">
        <v>68</v>
      </c>
      <c r="E7" t="s">
        <v>2713</v>
      </c>
      <c r="G7" s="4" t="s">
        <v>750</v>
      </c>
      <c r="I7" s="171" t="s">
        <v>747</v>
      </c>
      <c r="K7" t="s">
        <v>2540</v>
      </c>
    </row>
    <row r="8" spans="1:11" ht="43.5">
      <c r="E8" t="s">
        <v>2714</v>
      </c>
      <c r="G8" s="112" t="s">
        <v>764</v>
      </c>
      <c r="I8" s="171" t="s">
        <v>751</v>
      </c>
      <c r="K8" t="s">
        <v>2541</v>
      </c>
    </row>
    <row r="9" spans="1:11" ht="29.1">
      <c r="E9" s="3" t="s">
        <v>2715</v>
      </c>
      <c r="G9" s="4" t="s">
        <v>778</v>
      </c>
      <c r="I9" s="171" t="s">
        <v>756</v>
      </c>
      <c r="K9" t="s">
        <v>2542</v>
      </c>
    </row>
    <row r="10" spans="1:11" ht="29.1">
      <c r="E10" t="s">
        <v>2716</v>
      </c>
      <c r="I10" s="171" t="s">
        <v>793</v>
      </c>
      <c r="K10" t="s">
        <v>2717</v>
      </c>
    </row>
    <row r="11" spans="1:11">
      <c r="E11" t="s">
        <v>2718</v>
      </c>
      <c r="I11" s="171" t="s">
        <v>804</v>
      </c>
      <c r="K11" t="s">
        <v>2719</v>
      </c>
    </row>
    <row r="12" spans="1:11">
      <c r="E12" t="s">
        <v>2720</v>
      </c>
      <c r="I12" s="171" t="s">
        <v>809</v>
      </c>
    </row>
    <row r="13" spans="1:11">
      <c r="I13" s="171" t="s">
        <v>828</v>
      </c>
    </row>
    <row r="14" spans="1:11" ht="29.1">
      <c r="I14" s="173" t="s">
        <v>833</v>
      </c>
    </row>
    <row r="15" spans="1:11">
      <c r="I15" s="171" t="s">
        <v>837</v>
      </c>
    </row>
    <row r="16" spans="1:11" ht="29.1">
      <c r="I16" s="171" t="s">
        <v>840</v>
      </c>
    </row>
    <row r="17" spans="9:9" ht="29.1">
      <c r="I17" s="171" t="s">
        <v>887</v>
      </c>
    </row>
    <row r="18" spans="9:9">
      <c r="I18" s="171" t="s">
        <v>935</v>
      </c>
    </row>
    <row r="19" spans="9:9" ht="57.95">
      <c r="I19" s="172" t="s">
        <v>2721</v>
      </c>
    </row>
    <row r="20" spans="9:9">
      <c r="I20" s="172" t="s">
        <v>904</v>
      </c>
    </row>
    <row r="21" spans="9:9">
      <c r="I21" s="172" t="s">
        <v>914</v>
      </c>
    </row>
  </sheetData>
  <pageMargins left="0.7" right="0.7" top="0.75" bottom="0.75" header="0.3" footer="0.3"/>
  <legacyDrawing r:id="rId1"/>
  <tableParts count="6">
    <tablePart r:id="rId2"/>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9977C-0448-42CF-8DA9-32DFF3CAD1C5}">
  <dimension ref="A1"/>
  <sheetViews>
    <sheetView workbookViewId="0">
      <selection activeCell="L8" sqref="L8"/>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0c963b-3e47-445c-bef2-c44d7f531c4e">
      <Terms xmlns="http://schemas.microsoft.com/office/infopath/2007/PartnerControls"/>
    </lcf76f155ced4ddcb4097134ff3c332f>
    <TaxCatchAll xmlns="595493ea-8ce5-4ca6-af6d-e49542b0b0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FFC769F6C31D49A93E90F1B32C44A0" ma:contentTypeVersion="12" ma:contentTypeDescription="Create a new document." ma:contentTypeScope="" ma:versionID="b55c5a66772ff17a25e6e69b5e83e734">
  <xsd:schema xmlns:xsd="http://www.w3.org/2001/XMLSchema" xmlns:xs="http://www.w3.org/2001/XMLSchema" xmlns:p="http://schemas.microsoft.com/office/2006/metadata/properties" xmlns:ns2="3e0c963b-3e47-445c-bef2-c44d7f531c4e" xmlns:ns3="595493ea-8ce5-4ca6-af6d-e49542b0b0a6" targetNamespace="http://schemas.microsoft.com/office/2006/metadata/properties" ma:root="true" ma:fieldsID="9fa37d21bf69d8adac2830b3bbb03706" ns2:_="" ns3:_="">
    <xsd:import namespace="3e0c963b-3e47-445c-bef2-c44d7f531c4e"/>
    <xsd:import namespace="595493ea-8ce5-4ca6-af6d-e49542b0b0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c963b-3e47-445c-bef2-c44d7f531c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c22b278-09af-4a02-860a-c67d9bcb2f7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5493ea-8ce5-4ca6-af6d-e49542b0b0a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79dc642-8835-4ad5-9945-1c58e216fe0a}" ma:internalName="TaxCatchAll" ma:showField="CatchAllData" ma:web="595493ea-8ce5-4ca6-af6d-e49542b0b0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D125D0-4C56-4096-B862-79AD9C66AF03}"/>
</file>

<file path=customXml/itemProps2.xml><?xml version="1.0" encoding="utf-8"?>
<ds:datastoreItem xmlns:ds="http://schemas.openxmlformats.org/officeDocument/2006/customXml" ds:itemID="{E73F0CCB-7611-4B8D-8479-D3E36D4EBAD2}"/>
</file>

<file path=customXml/itemProps3.xml><?xml version="1.0" encoding="utf-8"?>
<ds:datastoreItem xmlns:ds="http://schemas.openxmlformats.org/officeDocument/2006/customXml" ds:itemID="{C550DFB3-4EE5-4BB2-93E7-E7469093B5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Lopez</dc:creator>
  <cp:keywords/>
  <dc:description/>
  <cp:lastModifiedBy>Cristina Torres Ramírez</cp:lastModifiedBy>
  <cp:revision/>
  <dcterms:created xsi:type="dcterms:W3CDTF">2025-11-14T13:23:44Z</dcterms:created>
  <dcterms:modified xsi:type="dcterms:W3CDTF">2026-03-23T08:53:48Z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0x01010087FFC769F6C31D49A93E90F1B32C44A0</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{"FileActivityType":"6","FileActivityTimeStamp":"2025-11-14T16:01:54.083Z","FileActivityUsersOnPage":[{"DisplayName":"Maria Lopez","Id":"malo08@dfki.de"}],"FileActivityNavigationId":null}</vt:lpwstr>
  </property>
  <property fmtid="{D5CDD505-2E9C-101B-9397-08002B2CF9AE}" pid="7" name="TriggerFlowInfo">
    <vt:lpwstr/>
  </property>
</Properties>
</file>