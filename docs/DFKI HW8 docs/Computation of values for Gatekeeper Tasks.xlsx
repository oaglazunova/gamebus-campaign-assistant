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listlu.sharepoint.com/sites/Team-Pro-HEALTHYW8_HEU_HLTH-2022-STAYHLTH-01-05_2022-External/Shared Documents/General/WP4 Campaign Preparation/"/>
    </mc:Choice>
  </mc:AlternateContent>
  <xr:revisionPtr revIDLastSave="84" documentId="13_ncr:1_{7456417A-EC68-1646-9E51-36041156925C}" xr6:coauthVersionLast="47" xr6:coauthVersionMax="47" xr10:uidLastSave="{AD18ADA0-3DE1-314B-919F-B54D2916BD79}"/>
  <bookViews>
    <workbookView xWindow="0" yWindow="600" windowWidth="51200" windowHeight="27340" xr2:uid="{F46888B5-E316-B04B-AD79-93E823A78899}"/>
  </bookViews>
  <sheets>
    <sheet name="Sheet1" sheetId="1" r:id="rId1"/>
    <sheet name="Sheet2" sheetId="2" r:id="rId2"/>
  </sheets>
  <definedNames>
    <definedName name="DAYS_FOR_LEVEL">Sheet1!$C$5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G8" i="1" s="1"/>
  <c r="F24" i="1"/>
  <c r="F9" i="1"/>
  <c r="G9" i="1" s="1"/>
  <c r="F10" i="1"/>
  <c r="G10" i="1" s="1"/>
  <c r="F11" i="1"/>
  <c r="G11" i="1" s="1"/>
  <c r="F12" i="1"/>
  <c r="F13" i="1"/>
  <c r="G13" i="1" s="1"/>
  <c r="F14" i="1"/>
  <c r="F15" i="1"/>
  <c r="F16" i="1"/>
  <c r="F17" i="1"/>
  <c r="G17" i="1" s="1"/>
  <c r="F18" i="1"/>
  <c r="F19" i="1"/>
  <c r="G16" i="1"/>
  <c r="G19" i="1"/>
  <c r="G18" i="1"/>
  <c r="G15" i="1"/>
  <c r="G14" i="1"/>
  <c r="G12" i="1"/>
  <c r="G20" i="1" l="1"/>
  <c r="C24" i="1" s="1"/>
  <c r="G24" i="1" l="1"/>
  <c r="F5" i="1" s="1" a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<sst xmlns="http://schemas.openxmlformats.org/spreadsheetml/2006/main" count="23" uniqueCount="18">
  <si>
    <r>
      <t xml:space="preserve">Only enter values in the input fields which are those with </t>
    </r>
    <r>
      <rPr>
        <b/>
        <sz val="20"/>
        <color rgb="FFFFFF00"/>
        <rFont val="Aptos Narrow (Body)"/>
      </rPr>
      <t>yellow</t>
    </r>
    <r>
      <rPr>
        <b/>
        <sz val="20"/>
        <color rgb="FFFF0000"/>
        <rFont val="Aptos Narrow (Body)"/>
      </rPr>
      <t xml:space="preserve"> background</t>
    </r>
  </si>
  <si>
    <t>Days to complete the level</t>
  </si>
  <si>
    <t>Level TargetPoints</t>
  </si>
  <si>
    <t>Task#</t>
  </si>
  <si>
    <t>Task Name</t>
  </si>
  <si>
    <t>Number of Points to Award</t>
  </si>
  <si>
    <t>Reward Count</t>
  </si>
  <si>
    <t>Time window for resetting the reward count</t>
  </si>
  <si>
    <t>maximum number of times for task</t>
  </si>
  <si>
    <t>maximum number of points for task</t>
  </si>
  <si>
    <t>Every Step Counts</t>
  </si>
  <si>
    <t>Get started with the HW8 Watch App</t>
  </si>
  <si>
    <t>Total</t>
  </si>
  <si>
    <t>Gatekeeper Task</t>
  </si>
  <si>
    <t>Gatekeeper Task#</t>
  </si>
  <si>
    <t>Gatekeepertask Name</t>
  </si>
  <si>
    <t>Your First Steps with HW8 Watch App</t>
  </si>
  <si>
    <t>Days to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</si>
</sst>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Aptos Narrow"/>
      <scheme val="minor"/>
    </font>
    <font>
      <b/>
      <sz val="20"/>
      <color rgb="FFFF0000"/>
      <name val="Aptos Narrow (Body)"/>
    </font>
    <font>
      <b/>
      <sz val="20"/>
      <color rgb="FFFFFF00"/>
      <name val="Aptos Narrow (Body)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theme="4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 style="medium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5" borderId="9" xfId="0" applyFill="1" applyBorder="1"/>
    <xf numFmtId="0" fontId="3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3" borderId="0" xfId="0" applyFill="1" applyProtection="1">
      <protection locked="0"/>
    </xf>
    <xf numFmtId="1" fontId="0" fillId="3" borderId="0" xfId="0" applyNumberFormat="1" applyFill="1" applyAlignment="1" applyProtection="1">
      <alignment horizontal="center"/>
      <protection locked="0"/>
    </xf>
    <xf numFmtId="0" fontId="0" fillId="4" borderId="8" xfId="0" applyFill="1" applyBorder="1" applyProtection="1">
      <protection locked="0"/>
    </xf>
    <xf numFmtId="1" fontId="0" fillId="4" borderId="8" xfId="0" applyNumberFormat="1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4" borderId="7" xfId="0" applyFill="1" applyBorder="1" applyAlignment="1" applyProtection="1">
      <alignment horizontal="center"/>
      <protection locked="0"/>
    </xf>
    <xf numFmtId="1" fontId="0" fillId="7" borderId="9" xfId="0" applyNumberForma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</cellXfs>
  <cellStyles count="1">
    <cellStyle name="Normal" xfId="0" builtinId="0"/>
  </cellStyles>
  <dxfs count="23"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FF00"/>
        </patternFill>
      </fill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theme="4"/>
        </right>
        <top style="thin">
          <color theme="4"/>
        </top>
        <bottom/>
      </border>
      <protection locked="0" hidden="0"/>
    </dxf>
    <dxf>
      <border outline="0">
        <top style="thin">
          <color theme="4"/>
        </top>
      </border>
    </dxf>
    <dxf>
      <border outline="0">
        <left style="thin">
          <color theme="4"/>
        </left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" formatCode="0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FFFF00"/>
        </patternFill>
      </fill>
      <protection locked="0" hidden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773A01-BB34-5D48-A795-C543402E8ED7}" name="Table1" displayName="Table1" ref="A7:G20" totalsRowCount="1" headerRowDxfId="22">
  <autoFilter ref="A7:G19" xr:uid="{E1773A01-BB34-5D48-A795-C543402E8E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C3D82A14-CB58-6E46-900D-60941B26BB88}" name="Task#" totalsRowLabel="Total" dataDxfId="21"/>
    <tableColumn id="2" xr3:uid="{E038D2D0-8280-0B4D-9A27-28E578101A4D}" name="Task Name" dataDxfId="20"/>
    <tableColumn id="3" xr3:uid="{3CC23CE5-48DC-3E43-8746-AEAC5A32FA16}" name="Number of Points to Award" dataDxfId="19"/>
    <tableColumn id="4" xr3:uid="{C470EEF3-1025-3647-B7E0-C1442E04FBD5}" name="Reward Count" dataDxfId="18"/>
    <tableColumn id="5" xr3:uid="{B08EF753-1558-EC49-B22C-D8FC97A45969}" name="Time window for resetting the reward count" dataDxfId="17"/>
    <tableColumn id="6" xr3:uid="{D476957D-7FD2-6143-999A-BA273B4E4E52}" name="maximum number of times for task" dataDxfId="16">
      <calculatedColumnFormula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calculatedColumnFormula>
    </tableColumn>
    <tableColumn id="7" xr3:uid="{87E0AF93-D2AF-DA4E-A1C0-0D3A040D9844}" name="maximum number of points for task" totalsRowFunction="sum" dataDxfId="15" totalsRowDxfId="0">
      <calculatedColumnFormula>Table1[[#This Row],[maximum number of times for task]]*Table1[[#This Row],[Number of Points to Award]]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18680B-32D3-1140-9B13-6E9170AB7EE1}" name="Table2" displayName="Table2" ref="A23:G24" totalsRowShown="0" headerRowDxfId="14" dataDxfId="12" headerRowBorderDxfId="13" tableBorderDxfId="11" totalsRowBorderDxfId="10">
  <autoFilter ref="A23:G24" xr:uid="{4318680B-32D3-1140-9B13-6E9170AB7E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B4FD55FB-3009-8648-8CFB-3D257CBE5D06}" name="Gatekeeper Task#" dataDxfId="9"/>
    <tableColumn id="2" xr3:uid="{0623012A-61AE-BD48-8C24-473808BEFE72}" name="Gatekeepertask Name" dataDxfId="8"/>
    <tableColumn id="3" xr3:uid="{798BE64F-B763-5D4E-91F7-C3521BA6D68E}" name="Number of Points to Award" dataDxfId="7">
      <calculatedColumnFormula>Table1[[#Totals],[maximum number of points for task]]+1</calculatedColumnFormula>
    </tableColumn>
    <tableColumn id="4" xr3:uid="{E4794195-1606-7841-8625-CE1BA33B2627}" name="Reward Count" dataDxfId="6"/>
    <tableColumn id="5" xr3:uid="{0D3215AF-61C3-A749-9E9C-336ED759E495}" name="Time window for resetting the reward count" dataDxfId="5"/>
    <tableColumn id="6" xr3:uid="{D1D38D6B-D8C5-C04D-AD58-4627DD50F8A4}" name="maximum number of times for task" dataDxfId="4">
      <calculatedColumnFormula>IFERROR(ROUNDDOWN((DAYS_FOR_LEVEL/_xlfn.SINGLE(Table2[Time window for resetting the reward count])),0)*_xlfn.SINGLE(Table2[Reward Count])+MIN(DAYS_FOR_LEVEL-ROUNDDOWN((DAYS_FOR_LEVEL/_xlfn.SINGLE(Table2[Time window for resetting the reward count])),0)*_xlfn.SINGLE(Table2[Time window for resetting the reward count]),_xlfn.SINGLE(Table2[Reward Count])),0)</calculatedColumnFormula>
    </tableColumn>
    <tableColumn id="7" xr3:uid="{71605EE3-0A45-F849-920A-289B06731A41}" name="maximum number of points for task" dataDxfId="3">
      <calculatedColumnFormula>Table2[[#This Row],[maximum number of times for task]]*Table2[[#This Row],[Number of Points to Award]]</calculatedColumnFormula>
    </tableColumn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A7E29F-BA65-0D4F-BBCA-FDE4C93EC49D}" name="Table3" displayName="Table3" ref="A3:A6" totalsRowShown="0" dataDxfId="2">
  <autoFilter ref="A3:A6" xr:uid="{A0A7E29F-BA65-0D4F-BBCA-FDE4C93EC49D}"/>
  <tableColumns count="1">
    <tableColumn id="1" xr3:uid="{EF88819C-F783-C349-9D30-9199A659592A}" name="Days to complete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5A03-AF5B-054C-B943-DD2181E33A85}">
  <dimension ref="A2:G24"/>
  <sheetViews>
    <sheetView tabSelected="1" zoomScale="110" zoomScaleNormal="110" workbookViewId="0">
      <selection activeCell="H10" sqref="H10"/>
    </sheetView>
  </sheetViews>
  <sheetFormatPr baseColWidth="10" defaultColWidth="11" defaultRowHeight="16" x14ac:dyDescent="0.2"/>
  <cols>
    <col min="1" max="1" width="18.33203125" customWidth="1"/>
    <col min="2" max="2" width="33.1640625" customWidth="1"/>
    <col min="3" max="3" width="27.33203125" customWidth="1"/>
    <col min="4" max="4" width="17.5" customWidth="1"/>
    <col min="5" max="5" width="42.33203125" customWidth="1"/>
    <col min="6" max="6" width="33.83203125" customWidth="1"/>
    <col min="7" max="7" width="34.6640625" customWidth="1"/>
  </cols>
  <sheetData>
    <row r="2" spans="1:7" ht="27" x14ac:dyDescent="0.35">
      <c r="A2" s="22" t="s">
        <v>0</v>
      </c>
      <c r="B2" s="22"/>
      <c r="C2" s="22"/>
      <c r="D2" s="22"/>
      <c r="E2" s="22"/>
      <c r="F2" s="22"/>
      <c r="G2" s="22"/>
    </row>
    <row r="5" spans="1:7" x14ac:dyDescent="0.2">
      <c r="B5" s="5" t="s">
        <v>1</v>
      </c>
      <c r="C5" s="17">
        <v>7</v>
      </c>
      <c r="E5" s="5" t="s">
        <v>2</v>
      </c>
      <c r="F5" s="20" cm="1">
        <f t="array" ref="F5">Table2[maximum number of points for task]</f>
        <v>0</v>
      </c>
    </row>
    <row r="6" spans="1:7" ht="17" thickBot="1" x14ac:dyDescent="0.25"/>
    <row r="7" spans="1:7" ht="69" customHeight="1" x14ac:dyDescent="0.2">
      <c r="A7" s="6" t="s">
        <v>3</v>
      </c>
      <c r="B7" s="6" t="s">
        <v>4</v>
      </c>
      <c r="C7" s="7" t="s">
        <v>5</v>
      </c>
      <c r="D7" s="7" t="s">
        <v>6</v>
      </c>
      <c r="E7" s="7" t="s">
        <v>7</v>
      </c>
      <c r="F7" s="8" t="s">
        <v>8</v>
      </c>
      <c r="G7" s="8" t="s">
        <v>9</v>
      </c>
    </row>
    <row r="8" spans="1:7" x14ac:dyDescent="0.2">
      <c r="A8" s="18">
        <v>1</v>
      </c>
      <c r="B8" s="13" t="s">
        <v>10</v>
      </c>
      <c r="C8" s="14">
        <v>10</v>
      </c>
      <c r="D8" s="14">
        <v>4</v>
      </c>
      <c r="E8" s="14">
        <v>7</v>
      </c>
      <c r="F8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4</v>
      </c>
      <c r="G8" s="2">
        <f>Table1[[#This Row],[maximum number of times for task]]*Table1[[#This Row],[Number of Points to Award]]</f>
        <v>40</v>
      </c>
    </row>
    <row r="9" spans="1:7" x14ac:dyDescent="0.2">
      <c r="A9" s="18">
        <v>2</v>
      </c>
      <c r="B9" s="13" t="s">
        <v>11</v>
      </c>
      <c r="C9" s="14">
        <v>61</v>
      </c>
      <c r="D9" s="14">
        <v>5</v>
      </c>
      <c r="E9" s="14">
        <v>3</v>
      </c>
      <c r="F9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11</v>
      </c>
      <c r="G9" s="2">
        <f>Table1[[#This Row],[maximum number of times for task]]*Table1[[#This Row],[Number of Points to Award]]</f>
        <v>671</v>
      </c>
    </row>
    <row r="10" spans="1:7" x14ac:dyDescent="0.2">
      <c r="A10" s="18"/>
      <c r="B10" s="13"/>
      <c r="C10" s="14">
        <v>10</v>
      </c>
      <c r="D10" s="14">
        <v>1</v>
      </c>
      <c r="E10" s="14">
        <v>5</v>
      </c>
      <c r="F10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2</v>
      </c>
      <c r="G10" s="2">
        <f>Table1[[#This Row],[maximum number of times for task]]*Table1[[#This Row],[Number of Points to Award]]</f>
        <v>20</v>
      </c>
    </row>
    <row r="11" spans="1:7" x14ac:dyDescent="0.2">
      <c r="A11" s="18"/>
      <c r="B11" s="13"/>
      <c r="C11" s="14"/>
      <c r="D11" s="14"/>
      <c r="E11" s="14"/>
      <c r="F11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1" s="2">
        <f>Table1[[#This Row],[maximum number of times for task]]*Table1[[#This Row],[Number of Points to Award]]</f>
        <v>0</v>
      </c>
    </row>
    <row r="12" spans="1:7" x14ac:dyDescent="0.2">
      <c r="A12" s="18"/>
      <c r="B12" s="13"/>
      <c r="C12" s="14"/>
      <c r="D12" s="14"/>
      <c r="E12" s="14"/>
      <c r="F12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2" s="2">
        <f>Table1[[#This Row],[maximum number of times for task]]*Table1[[#This Row],[Number of Points to Award]]</f>
        <v>0</v>
      </c>
    </row>
    <row r="13" spans="1:7" x14ac:dyDescent="0.2">
      <c r="A13" s="18"/>
      <c r="B13" s="13"/>
      <c r="C13" s="14"/>
      <c r="D13" s="14"/>
      <c r="E13" s="14"/>
      <c r="F13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3" s="2">
        <f>Table1[[#This Row],[maximum number of times for task]]*Table1[[#This Row],[Number of Points to Award]]</f>
        <v>0</v>
      </c>
    </row>
    <row r="14" spans="1:7" x14ac:dyDescent="0.2">
      <c r="A14" s="18"/>
      <c r="B14" s="13"/>
      <c r="C14" s="14"/>
      <c r="D14" s="14"/>
      <c r="E14" s="14"/>
      <c r="F14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4" s="2">
        <f>Table1[[#This Row],[maximum number of times for task]]*Table1[[#This Row],[Number of Points to Award]]</f>
        <v>0</v>
      </c>
    </row>
    <row r="15" spans="1:7" x14ac:dyDescent="0.2">
      <c r="A15" s="18"/>
      <c r="B15" s="13"/>
      <c r="C15" s="14"/>
      <c r="D15" s="14"/>
      <c r="E15" s="14"/>
      <c r="F15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5" s="2">
        <f>Table1[[#This Row],[maximum number of times for task]]*Table1[[#This Row],[Number of Points to Award]]</f>
        <v>0</v>
      </c>
    </row>
    <row r="16" spans="1:7" x14ac:dyDescent="0.2">
      <c r="A16" s="18"/>
      <c r="B16" s="13"/>
      <c r="C16" s="14"/>
      <c r="D16" s="14"/>
      <c r="E16" s="14"/>
      <c r="F16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6" s="2">
        <f>Table1[[#This Row],[maximum number of times for task]]*Table1[[#This Row],[Number of Points to Award]]</f>
        <v>0</v>
      </c>
    </row>
    <row r="17" spans="1:7" x14ac:dyDescent="0.2">
      <c r="A17" s="18"/>
      <c r="B17" s="13"/>
      <c r="C17" s="14"/>
      <c r="D17" s="14"/>
      <c r="E17" s="14"/>
      <c r="F17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7" s="2">
        <f>Table1[[#This Row],[maximum number of times for task]]*Table1[[#This Row],[Number of Points to Award]]</f>
        <v>0</v>
      </c>
    </row>
    <row r="18" spans="1:7" x14ac:dyDescent="0.2">
      <c r="A18" s="18"/>
      <c r="B18" s="13"/>
      <c r="C18" s="14"/>
      <c r="D18" s="14"/>
      <c r="E18" s="14"/>
      <c r="F18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8" s="2">
        <f>Table1[[#This Row],[maximum number of times for task]]*Table1[[#This Row],[Number of Points to Award]]</f>
        <v>0</v>
      </c>
    </row>
    <row r="19" spans="1:7" x14ac:dyDescent="0.2">
      <c r="A19" s="18"/>
      <c r="B19" s="13"/>
      <c r="C19" s="14"/>
      <c r="D19" s="14"/>
      <c r="E19" s="14"/>
      <c r="F19" s="1">
        <f>IFERROR(ROUNDDOWN((DAYS_FOR_LEVEL/Table1[[#This Row],[Time window for resetting the reward count]]),0)*Table1[[#This Row],[Reward Count]]+MIN(DAYS_FOR_LEVEL-ROUNDDOWN((DAYS_FOR_LEVEL/Table1[[#This Row],[Time window for resetting the reward count]]),0)*Table1[[#This Row],[Time window for resetting the reward count]],Table1[[#This Row],[Reward Count]]),0)</f>
        <v>0</v>
      </c>
      <c r="G19" s="2">
        <f>Table1[[#This Row],[maximum number of times for task]]*Table1[[#This Row],[Number of Points to Award]]</f>
        <v>0</v>
      </c>
    </row>
    <row r="20" spans="1:7" x14ac:dyDescent="0.2">
      <c r="A20" t="s">
        <v>12</v>
      </c>
      <c r="G20" s="2">
        <f>SUBTOTAL(109,Table1[maximum number of points for task])</f>
        <v>731</v>
      </c>
    </row>
    <row r="22" spans="1:7" ht="17" thickBot="1" x14ac:dyDescent="0.25">
      <c r="A22" s="21" t="s">
        <v>13</v>
      </c>
      <c r="B22" s="21"/>
      <c r="C22" s="21"/>
      <c r="D22" s="21"/>
      <c r="E22" s="21"/>
      <c r="F22" s="21"/>
      <c r="G22" s="21"/>
    </row>
    <row r="23" spans="1:7" ht="18" thickBot="1" x14ac:dyDescent="0.25">
      <c r="A23" s="9" t="s">
        <v>14</v>
      </c>
      <c r="B23" s="10" t="s">
        <v>15</v>
      </c>
      <c r="C23" s="11" t="s">
        <v>5</v>
      </c>
      <c r="D23" s="11" t="s">
        <v>6</v>
      </c>
      <c r="E23" s="11" t="s">
        <v>7</v>
      </c>
      <c r="F23" s="12" t="s">
        <v>8</v>
      </c>
      <c r="G23" s="12" t="s">
        <v>9</v>
      </c>
    </row>
    <row r="24" spans="1:7" x14ac:dyDescent="0.2">
      <c r="A24" s="19">
        <v>3</v>
      </c>
      <c r="B24" s="15" t="s">
        <v>16</v>
      </c>
      <c r="C24" s="4">
        <f>Table1[[#Totals],[maximum number of points for task]]+1</f>
        <v>732</v>
      </c>
      <c r="D24" s="16"/>
      <c r="E24" s="16"/>
      <c r="F24" s="1">
        <f>IFERROR(ROUNDDOWN((DAYS_FOR_LEVEL/_xlfn.SINGLE(Table2[Time window for resetting the reward count])),0)*_xlfn.SINGLE(Table2[Reward Count])+MIN(DAYS_FOR_LEVEL-ROUNDDOWN((DAYS_FOR_LEVEL/_xlfn.SINGLE(Table2[Time window for resetting the reward count])),0)*_xlfn.SINGLE(Table2[Time window for resetting the reward count]),_xlfn.SINGLE(Table2[Reward Count])),0)</f>
        <v>0</v>
      </c>
      <c r="G24" s="4">
        <f>Table2[[#This Row],[maximum number of times for task]]*Table2[[#This Row],[Number of Points to Award]]</f>
        <v>0</v>
      </c>
    </row>
  </sheetData>
  <mergeCells count="2">
    <mergeCell ref="A22:G22"/>
    <mergeCell ref="A2:G2"/>
  </mergeCells>
  <dataValidations count="1">
    <dataValidation type="list" allowBlank="1" showInputMessage="1" showErrorMessage="1" sqref="C5" xr:uid="{3BD37FDF-CFE4-1740-8692-6E8685567E0C}">
      <formula1>INDIRECT("Table3[Days to complete]")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4577-AC80-4847-BEBA-CCD3709E2D7D}">
  <dimension ref="A3:A6"/>
  <sheetViews>
    <sheetView workbookViewId="0">
      <selection activeCell="A7" sqref="A7"/>
    </sheetView>
  </sheetViews>
  <sheetFormatPr baseColWidth="10" defaultColWidth="11" defaultRowHeight="16" x14ac:dyDescent="0.2"/>
  <cols>
    <col min="1" max="1" width="17.5" customWidth="1"/>
  </cols>
  <sheetData>
    <row r="3" spans="1:1" x14ac:dyDescent="0.2">
      <c r="A3" t="s">
        <v>17</v>
      </c>
    </row>
    <row r="4" spans="1:1" x14ac:dyDescent="0.2">
      <c r="A4" s="3">
        <v>3</v>
      </c>
    </row>
    <row r="5" spans="1:1" x14ac:dyDescent="0.2">
      <c r="A5" s="3">
        <v>7</v>
      </c>
    </row>
    <row r="6" spans="1:1" x14ac:dyDescent="0.2">
      <c r="A6" s="3">
        <v>14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FFC769F6C31D49A93E90F1B32C44A0" ma:contentTypeVersion="11" ma:contentTypeDescription="Create a new document." ma:contentTypeScope="" ma:versionID="60310d51edc7f8c02ee1c85af153c487">
  <xsd:schema xmlns:xsd="http://www.w3.org/2001/XMLSchema" xmlns:xs="http://www.w3.org/2001/XMLSchema" xmlns:p="http://schemas.microsoft.com/office/2006/metadata/properties" xmlns:ns2="3e0c963b-3e47-445c-bef2-c44d7f531c4e" xmlns:ns3="595493ea-8ce5-4ca6-af6d-e49542b0b0a6" targetNamespace="http://schemas.microsoft.com/office/2006/metadata/properties" ma:root="true" ma:fieldsID="9850422bdf0ac277ed345a5268f58e3d" ns2:_="" ns3:_="">
    <xsd:import namespace="3e0c963b-3e47-445c-bef2-c44d7f531c4e"/>
    <xsd:import namespace="595493ea-8ce5-4ca6-af6d-e49542b0b0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c963b-3e47-445c-bef2-c44d7f531c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c22b278-09af-4a02-860a-c67d9bcb2f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5493ea-8ce5-4ca6-af6d-e49542b0b0a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79dc642-8835-4ad5-9945-1c58e216fe0a}" ma:internalName="TaxCatchAll" ma:showField="CatchAllData" ma:web="595493ea-8ce5-4ca6-af6d-e49542b0b0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0c963b-3e47-445c-bef2-c44d7f531c4e">
      <Terms xmlns="http://schemas.microsoft.com/office/infopath/2007/PartnerControls"/>
    </lcf76f155ced4ddcb4097134ff3c332f>
    <TaxCatchAll xmlns="595493ea-8ce5-4ca6-af6d-e49542b0b0a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BE5D92-FA4C-493D-93EF-1DA1FF1CCE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0c963b-3e47-445c-bef2-c44d7f531c4e"/>
    <ds:schemaRef ds:uri="595493ea-8ce5-4ca6-af6d-e49542b0b0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E41BDC-2079-4C82-B0D1-E94A594FE07A}">
  <ds:schemaRefs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3e0c963b-3e47-445c-bef2-c44d7f531c4e"/>
    <ds:schemaRef ds:uri="http://schemas.microsoft.com/office/infopath/2007/PartnerControls"/>
    <ds:schemaRef ds:uri="http://schemas.openxmlformats.org/package/2006/metadata/core-properties"/>
    <ds:schemaRef ds:uri="595493ea-8ce5-4ca6-af6d-e49542b0b0a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7297891-61FB-46A8-86EE-A4E6BA951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DAYS_FOR_LEVEL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Serge Autexier</dc:creator>
  <cp:keywords/>
  <dc:description/>
  <cp:lastModifiedBy>Serge Autexier</cp:lastModifiedBy>
  <cp:revision/>
  <dcterms:created xsi:type="dcterms:W3CDTF">2026-01-19T12:19:30Z</dcterms:created>
  <dcterms:modified xsi:type="dcterms:W3CDTF">2026-02-13T17:59:02Z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0x01010087FFC769F6C31D49A93E90F1B32C44A0</vt:lpwstr>
  </property>
  <property fmtid="{D5CDD505-2E9C-101B-9397-08002B2CF9AE}" pid="3" name="MediaServiceImageTags">
    <vt:lpwstr/>
  </property>
</Properties>
</file>